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36429ecab44c8e" /></Relationships>
</file>

<file path=xl/workbook.xml><?xml version="1.0" encoding="utf-8"?>
<x:workbook xmlns:x="http://schemas.openxmlformats.org/spreadsheetml/2006/main">
  <x:sheets>
    <x:sheet xmlns:r="http://schemas.openxmlformats.org/officeDocument/2006/relationships" name="Summary" sheetId="1" r:id="R40b2fc7aee6b47f4"/>
    <x:sheet xmlns:r="http://schemas.openxmlformats.org/officeDocument/2006/relationships" name="All Physical Cards" sheetId="2" r:id="R01be436cdab14048"/>
    <x:sheet xmlns:r="http://schemas.openxmlformats.org/officeDocument/2006/relationships" name="Valuable $1+" sheetId="3" r:id="Rede2ad1a72834cfd"/>
    <x:sheet xmlns:r="http://schemas.openxmlformats.org/officeDocument/2006/relationships" name="Review Queue" sheetId="4" r:id="R44cdc8c8a14c4b2a"/>
    <x:sheet xmlns:r="http://schemas.openxmlformats.org/officeDocument/2006/relationships" name="Sports Stray" sheetId="5" r:id="R43feba8876704c83"/>
    <x:sheet xmlns:r="http://schemas.openxmlformats.org/officeDocument/2006/relationships" name="Grading Candidates" sheetId="6" r:id="R917f65de22ae40e1"/>
    <x:sheet xmlns:r="http://schemas.openxmlformats.org/officeDocument/2006/relationships" name="PDF Import Audit" sheetId="7" r:id="R7b84af66d6ab4ff9"/>
    <x:sheet xmlns:r="http://schemas.openxmlformats.org/officeDocument/2006/relationships" name="Handoff" sheetId="8" r:id="Rca8aa76a08294d1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
    <x:numFmt numFmtId="203" formatCode="0.0"/>
    <x:numFmt numFmtId="204" formatCode="0%"/>
  </x:numFmts>
  <x:fonts count="12">
    <x:font>
      <x:sz val="11"/>
      <x:name val="Carlito"/>
    </x:font>
    <x:font>
      <x:b/>
      <x:sz val="11"/>
      <x:color rgb="FFFFFFFF"/>
      <x:name val="Carlito"/>
    </x:font>
    <x:font>
      <x:b/>
      <x:sz val="18"/>
      <x:color rgb="FFFFFFFF"/>
      <x:name val="Carlito"/>
    </x:font>
    <x:font>
      <x:b/>
      <x:sz val="11"/>
      <x:color rgb="FF1F1F1F"/>
      <x:name val="Carlito"/>
    </x:font>
    <x:font>
      <x:b/>
      <x:sz val="14"/>
      <x:color rgb="FF1F1F1F"/>
      <x:name val="Carlito"/>
    </x:font>
    <x:font>
      <x:b/>
      <x:sz val="11"/>
      <x:name val="Carlito"/>
    </x:font>
    <x:font>
      <x:i/>
      <x:sz val="11"/>
      <x:color rgb="FF404040"/>
      <x:name val="Carlito"/>
    </x:font>
    <x:font>
      <x:b/>
      <x:sz val="11"/>
      <x:color rgb="FF990000"/>
      <x:name val="Carlito"/>
    </x:font>
    <x:font>
      <x:b/>
      <x:sz val="11"/>
      <x:color rgb="FFB45F06"/>
      <x:name val="Carlito"/>
    </x:font>
    <x:font>
      <x:b/>
      <x:sz val="11"/>
      <x:color rgb="FF7F6000"/>
      <x:name val="Carlito"/>
    </x:font>
    <x:font>
      <x:b/>
      <x:sz val="11"/>
      <x:color rgb="FF1F4E78"/>
      <x:name val="Carlito"/>
    </x:font>
    <x:font>
      <x:i/>
      <x:sz val="11"/>
      <x:color rgb="FF7F6000"/>
      <x:name val="Carlito"/>
    </x:font>
  </x:fonts>
  <x:fills count="23">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F4CCCC"/>
      </x:patternFill>
    </x:fill>
    <x:fill>
      <x:patternFill patternType="solid">
        <x:fgColor rgb="FFFCE5CD"/>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1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200" fontId="4" fillId="4" borderId="0" xfId="0" applyNumberFormat="1" applyFont="1" applyFill="1" applyBorder="1" applyAlignment="1">
      <x:alignment horizontal="center" vertical="center"/>
    </x:xf>
    <x:xf numFmtId="200" fontId="4" fillId="4"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202" fontId="3" fillId="6" borderId="0" xfId="0" applyNumberFormat="1" applyFont="1" applyFill="1" applyBorder="1" applyAlignment="1">
      <x:alignment horizontal="center" vertical="center"/>
    </x:xf>
    <x:xf numFmtId="202"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horizontal="center"/>
    </x:xf>
    <x:xf numFmtId="0" fontId="8" fillId="9" borderId="0" xfId="0" applyNumberFormat="1" applyFont="1" applyFill="1" applyBorder="1" applyAlignment="1">
      <x:alignment horizontal="center" vertical="center"/>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horizontal="center"/>
    </x:xf>
    <x:xf numFmtId="0" fontId="9" fillId="10" borderId="0" xfId="0" applyNumberFormat="1" applyFont="1" applyFill="1" applyBorder="1" applyAlignment="1">
      <x:alignment horizontal="center" vertical="center"/>
    </x:xf>
    <x:xf numFmtId="0" fontId="10" fillId="6" borderId="0" xfId="0" applyNumberFormat="1" applyFont="1" applyFill="1" applyBorder="1"/>
    <x:xf numFmtId="0" fontId="10" fillId="6" borderId="0" xfId="0" applyNumberFormat="1" applyFont="1" applyFill="1" applyBorder="1" applyAlignment="1">
      <x:alignment horizontal="center"/>
    </x:xf>
    <x:xf numFmtId="0" fontId="10" fillId="6" borderId="0" xfId="0" applyNumberFormat="1" applyFont="1" applyFill="1" applyBorder="1" applyAlignment="1">
      <x:alignment horizontal="center" vertical="center"/>
    </x:xf>
    <x:xf numFmtId="0" fontId="7" fillId="8"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8" fillId="9" borderId="0" xfId="0" applyNumberFormat="1" applyFont="1" applyFill="1" applyBorder="1" applyAlignment="1">
      <x:alignment horizontal="center" vertical="top"/>
    </x:xf>
    <x:xf numFmtId="0" fontId="9" fillId="10" borderId="0" xfId="0" applyNumberFormat="1" applyFont="1" applyFill="1" applyBorder="1" applyAlignment="1">
      <x:alignment horizontal="center" vertical="top"/>
    </x:xf>
    <x:xf numFmtId="0" fontId="10" fillId="6" borderId="0" xfId="0" applyNumberFormat="1" applyFont="1" applyFill="1" applyBorder="1" applyAlignment="1">
      <x:alignment horizontal="center" vertical="top"/>
    </x:xf>
    <x:xf numFmtId="202" fontId="0" fillId="0" borderId="0" xfId="0" applyNumberFormat="1" applyFont="1" applyFill="1" applyBorder="1" applyAlignment="1">
      <x:alignment vertical="top" wrapText="1"/>
    </x:xf>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202" fontId="3" fillId="4" borderId="0" xfId="0" applyNumberFormat="1" applyFont="1" applyFill="1" applyBorder="1" applyAlignment="1">
      <x:alignment horizontal="center" vertical="center"/>
    </x:xf>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10" fillId="4" borderId="0" xfId="0" applyNumberFormat="1" applyFont="1" applyFill="1" applyBorder="1" applyAlignment="1">
      <x:alignment horizontal="center" vertical="top"/>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204" fontId="0" fillId="0"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vertical="center"/>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vertical="center"/>
    </x:xf>
    <x:xf numFmtId="202" fontId="5" fillId="15" borderId="0" xfId="0" applyNumberFormat="1" applyFont="1" applyFill="1" applyBorder="1" applyAlignment="1">
      <x:alignment vertical="center"/>
    </x:xf>
    <x:xf numFmtId="0" fontId="0" fillId="16" borderId="0" xfId="0" applyNumberFormat="1" applyFont="1" applyFill="1" applyBorder="1"/>
    <x:xf numFmtId="0" fontId="11" fillId="16" borderId="0" xfId="0" applyNumberFormat="1" applyFont="1" applyFill="1" applyBorder="1"/>
    <x:xf numFmtId="0" fontId="11" fillId="16" borderId="0" xfId="0" applyNumberFormat="1" applyFont="1" applyFill="1" applyBorder="1" applyAlignment="1">
      <x:alignment wrapText="1"/>
    </x:xf>
    <x:xf numFmtId="0" fontId="11" fillId="16" borderId="0" xfId="0" applyNumberFormat="1" applyFont="1" applyFill="1" applyBorder="1" applyAlignment="1">
      <x:alignment vertical="center" wrapText="1"/>
    </x:xf>
    <x:xf numFmtId="0" fontId="5" fillId="7" borderId="0" xfId="0" applyNumberFormat="1" applyFont="1" applyFill="1" applyBorder="1"/>
    <x:xf numFmtId="0" fontId="5" fillId="7" borderId="0" xfId="0" applyNumberFormat="1" applyFont="1" applyFill="1" applyBorder="1" applyAlignment="1">
      <x:alignment vertical="center"/>
    </x:xf>
    <x:xf numFmtId="202" fontId="5" fillId="7" borderId="0" xfId="0" applyNumberFormat="1" applyFont="1" applyFill="1" applyBorder="1" applyAlignment="1">
      <x:alignment vertical="center"/>
    </x:xf>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1" fillId="17"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0" fillId="18" borderId="0" xfId="0" applyNumberFormat="1" applyFont="1" applyFill="1" applyBorder="1"/>
    <x:xf numFmtId="0" fontId="5" fillId="18" borderId="0" xfId="0" applyNumberFormat="1" applyFont="1" applyFill="1" applyBorder="1"/>
    <x:xf numFmtId="202" fontId="5" fillId="18" borderId="0" xfId="0" applyNumberFormat="1" applyFont="1" applyFill="1" applyBorder="1"/>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xf numFmtId="0" fontId="11" fillId="19" borderId="0" xfId="0" applyNumberFormat="1" applyFont="1" applyFill="1" applyBorder="1" applyAlignment="1">
      <x:alignment vertical="center" wrapText="1"/>
    </x:xf>
    <x:xf numFmtId="202" fontId="5" fillId="4"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0" fillId="21" borderId="0" xfId="0" applyNumberFormat="1" applyFont="1" applyFill="1" applyBorder="1"/>
    <x:xf numFmtId="0" fontId="5" fillId="21" borderId="0" xfId="0" applyNumberFormat="1" applyFont="1" applyFill="1" applyBorder="1"/>
    <x:xf numFmtId="202" fontId="5" fillId="21" borderId="0" xfId="0" applyNumberFormat="1" applyFont="1" applyFill="1" applyBorder="1"/>
    <x:xf numFmtId="0" fontId="0" fillId="22" borderId="0" xfId="0" applyNumberFormat="1" applyFont="1" applyFill="1" applyBorder="1"/>
    <x:xf numFmtId="0" fontId="11" fillId="22" borderId="0" xfId="0" applyNumberFormat="1" applyFont="1" applyFill="1" applyBorder="1"/>
    <x:xf numFmtId="0" fontId="11" fillId="22" borderId="0" xfId="0" applyNumberFormat="1" applyFont="1" applyFill="1" applyBorder="1" applyAlignment="1">
      <x:alignment wrapText="1"/>
    </x:xf>
    <x:xf numFmtId="0" fontId="11" fillId="22" borderId="0" xfId="0" applyNumberFormat="1" applyFont="1" applyFill="1" applyBorder="1" applyAlignment="1">
      <x:alignment vertical="center" wrapText="1"/>
    </x:xf>
    <x:xf numFmtId="0" fontId="5"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wrapText="1"/>
    </x:xf>
    <x:xf numFmtId="204" fontId="0" fillId="0" borderId="0" xfId="0" applyNumberFormat="1" applyFont="1" applyFill="1" applyBorder="1" applyAlignment="1">
      <x:alignment wrapText="1"/>
    </x:xf>
  </x:cellXfs>
  <x:cellStyles count="1">
    <x:cellStyle name="Normal" xfId="0"/>
  </x:cellStyles>
  <x:dxfs count="8">
    <x:dxf>
      <x:font>
        <x:b/>
        <x:color rgb="FFB91C1C"/>
      </x:font>
      <x:fill>
        <x:patternFill>
          <x:bgColor rgb="FFFCE8E6"/>
        </x:patternFill>
      </x:fill>
    </x:dxf>
    <x:dxf>
      <x:font>
        <x:b/>
        <x:color rgb="FF137333"/>
      </x:font>
      <x:fill>
        <x:patternFill>
          <x:bgColor rgb="FFE6F4EA"/>
        </x:patternFill>
      </x:fill>
    </x:dxf>
    <x:dxf>
      <x:font>
        <x:b/>
      </x:font>
      <x:fill>
        <x:patternFill>
          <x:bgColor rgb="FFFFF2CC"/>
        </x:patternFill>
      </x:fill>
    </x:dxf>
    <x:dxf>
      <x:font>
        <x:b/>
        <x:color rgb="FFB91C1C"/>
      </x:font>
      <x:fill>
        <x:patternFill>
          <x:bgColor rgb="FFFCE8E6"/>
        </x:patternFill>
      </x:fill>
    </x:dxf>
    <x:dxf>
      <x:font>
        <x:b/>
        <x:color rgb="FF137333"/>
      </x:font>
      <x:fill>
        <x:patternFill>
          <x:bgColor rgb="FFE6F4EA"/>
        </x:patternFill>
      </x:fill>
    </x:dxf>
    <x:dxf>
      <x:font>
        <x:b/>
      </x:font>
      <x:fill>
        <x:patternFill>
          <x:bgColor rgb="FFFFF2CC"/>
        </x:patternFill>
      </x:fill>
    </x:dxf>
    <x:dxf>
      <x:font>
        <x:b/>
        <x:color rgb="FFB91C1C"/>
      </x:font>
      <x:fill>
        <x:patternFill>
          <x:bgColor rgb="FFFCE8E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8526c741dc4a4f" /><Relationship Type="http://schemas.openxmlformats.org/officeDocument/2006/relationships/theme" Target="/xl/theme/theme1.xml" Id="R8d4ac9a7c896455c" /><Relationship Type="http://schemas.openxmlformats.org/officeDocument/2006/relationships/sharedStrings" Target="/xl/sharedStrings.xml" Id="R616000e4e7634d4c" /><Relationship Type="http://schemas.openxmlformats.org/officeDocument/2006/relationships/worksheet" Target="/xl/worksheets/sheet1.xml" Id="R40b2fc7aee6b47f4" /><Relationship Type="http://schemas.openxmlformats.org/officeDocument/2006/relationships/worksheet" Target="/xl/worksheets/sheet2.xml" Id="R01be436cdab14048" /><Relationship Type="http://schemas.openxmlformats.org/officeDocument/2006/relationships/worksheet" Target="/xl/worksheets/sheet3.xml" Id="Rede2ad1a72834cfd" /><Relationship Type="http://schemas.openxmlformats.org/officeDocument/2006/relationships/worksheet" Target="/xl/worksheets/sheet4.xml" Id="R44cdc8c8a14c4b2a" /><Relationship Type="http://schemas.openxmlformats.org/officeDocument/2006/relationships/worksheet" Target="/xl/worksheets/sheet5.xml" Id="R43feba8876704c83" /><Relationship Type="http://schemas.openxmlformats.org/officeDocument/2006/relationships/worksheet" Target="/xl/worksheets/sheet6.xml" Id="R917f65de22ae40e1" /><Relationship Type="http://schemas.openxmlformats.org/officeDocument/2006/relationships/worksheet" Target="/xl/worksheets/sheet7.xml" Id="R7b84af66d6ab4ff9" /><Relationship Type="http://schemas.openxmlformats.org/officeDocument/2006/relationships/worksheet" Target="/xl/worksheets/sheet8.xml" Id="Rca8aa76a08294d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26bd6f4ab644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Physical Cards by Value Pile</a:t>
            </a:r>
          </a:p>
        </c:rich>
      </c:tx>
    </c:title>
    <c:plotArea>
      <c:barChart>
        <c:barDir val="col"/>
        <c:grouping val="clustered"/>
        <c:varyColors val="0"/>
        <c:ser>
          <c:idx val="0"/>
          <c:order val="0"/>
          <c:tx>
            <c:v>Card Count</c:v>
          </c:tx>
          <c:cat>
            <c:strRef>
              <c:f>'Summary'!$A$9:$A$12</c:f>
              <c:strCache>
                <c:ptCount val="0"/>
              </c:strCache>
            </c:strRef>
          </c:cat>
          <c:val>
            <c:numRef>
              <c:f>'Summary'!$B$9:$B$12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26bd6f4ab6449c"/>
        </a:graphicData>
      </a:graphic>
    </xdr:graphicFrame>
    <xdr:clientData/>
  </xdr:twoCellAnchor>
</xdr:wsDr>
</file>

<file path=xl/tables/table1.xml><?xml version="1.0" encoding="utf-8"?>
<x:table xmlns:x="http://schemas.openxmlformats.org/spreadsheetml/2006/main" id="1" name="AllPhysicalCardsTable" displayName="AllPhysicalCardsTable" ref="A1:W265" headerRowCount="1" totalsRowCount="0" totalsRowShown="0">
  <x:tableColumns count="23">
    <x:tableColumn id="1" name="ID"/>
    <x:tableColumn id="2" name="Section"/>
    <x:tableColumn id="3" name="Card Name"/>
    <x:tableColumn id="4" name="Card No."/>
    <x:tableColumn id="5" name="Set"/>
    <x:tableColumn id="6" name="Year"/>
    <x:tableColumn id="7" name="Variant / Printing"/>
    <x:tableColumn id="8" name="Copy"/>
    <x:tableColumn id="9" name="Clean Raw Low"/>
    <x:tableColumn id="10" name="Clean Raw High"/>
    <x:tableColumn id="11" name="Clean Raw Mid"/>
    <x:tableColumn id="12" name="Pile"/>
    <x:tableColumn id="13" name="Sleeve"/>
    <x:tableColumn id="14" name="Toploader"/>
    <x:tableColumn id="15" name="Counts Toward $1+"/>
    <x:tableColumn id="16" name="Condition"/>
    <x:tableColumn id="17" name="As-Is Low"/>
    <x:tableColumn id="18" name="As-Is High"/>
    <x:tableColumn id="19" name="As-Is Mid"/>
    <x:tableColumn id="20" name="Notes"/>
    <x:tableColumn id="21" name="Source Chat Index"/>
    <x:tableColumn id="22" name="Source Basis"/>
    <x:tableColumn id="23" name="Research URL"/>
  </x:tableColumns>
  <x:tableStyleInfo name="TableStyleMedium2" showFirstColumn="0" showLastColumn="0" showRowStripes="1" showColumnStripes="0"/>
</x:table>
</file>

<file path=xl/tables/table2.xml><?xml version="1.0" encoding="utf-8"?>
<x:table xmlns:x="http://schemas.openxmlformats.org/spreadsheetml/2006/main" id="2" name="ValuableCardsTable" displayName="ValuableCardsTable" ref="A1:W184" headerRowCount="1" totalsRowCount="0" totalsRowShown="0">
  <x:tableColumns count="23">
    <x:tableColumn id="1" name="ID"/>
    <x:tableColumn id="2" name="Section"/>
    <x:tableColumn id="3" name="Card Name"/>
    <x:tableColumn id="4" name="Card No."/>
    <x:tableColumn id="5" name="Set"/>
    <x:tableColumn id="6" name="Year"/>
    <x:tableColumn id="7" name="Variant / Printing"/>
    <x:tableColumn id="8" name="Copy"/>
    <x:tableColumn id="9" name="Clean Raw Low"/>
    <x:tableColumn id="10" name="Clean Raw High"/>
    <x:tableColumn id="11" name="Clean Raw Mid"/>
    <x:tableColumn id="12" name="Pile"/>
    <x:tableColumn id="13" name="Sleeve"/>
    <x:tableColumn id="14" name="Toploader"/>
    <x:tableColumn id="15" name="Counts Toward $1+"/>
    <x:tableColumn id="16" name="Condition"/>
    <x:tableColumn id="17" name="As-Is Low"/>
    <x:tableColumn id="18" name="As-Is High"/>
    <x:tableColumn id="19" name="As-Is Mid"/>
    <x:tableColumn id="20" name="Notes"/>
    <x:tableColumn id="21" name="Source Chat Index"/>
    <x:tableColumn id="22" name="Source Basis"/>
    <x:tableColumn id="23" name="Research URL"/>
  </x:tableColumns>
  <x:tableStyleInfo name="TableStyleMedium2" showFirstColumn="0" showLastColumn="0" showRowStripes="1" showColumnStripes="0"/>
</x:table>
</file>

<file path=xl/tables/table3.xml><?xml version="1.0" encoding="utf-8"?>
<x:table xmlns:x="http://schemas.openxmlformats.org/spreadsheetml/2006/main" id="3" name="ReviewQueueTable" displayName="ReviewQueueTable" ref="A1:F19" headerRowCount="1" totalsRowCount="0" totalsRowShown="0">
  <x:tableColumns count="6">
    <x:tableColumn id="1" name="Review Queue"/>
    <x:tableColumn id="2" name="Card / Target"/>
    <x:tableColumn id="3" name="Issue / Why Review"/>
    <x:tableColumn id="4" name="Action"/>
    <x:tableColumn id="5" name="Source Chat Index"/>
    <x:tableColumn id="6" name="Potential Value / Note"/>
  </x:tableColumns>
  <x:tableStyleInfo name="TableStyleMedium2" showFirstColumn="0" showLastColumn="0" showRowStripes="1" showColumnStripes="0"/>
</x:table>
</file>

<file path=xl/tables/table4.xml><?xml version="1.0" encoding="utf-8"?>
<x:table xmlns:x="http://schemas.openxmlformats.org/spreadsheetml/2006/main" id="4" name="SportsStrayTable" displayName="SportsStrayTable" ref="A1:L2" headerRowCount="1" totalsRowCount="0" totalsRowShown="0">
  <x:tableColumns count="12">
    <x:tableColumn id="1" name="Card"/>
    <x:tableColumn id="2" name="Card No."/>
    <x:tableColumn id="3" name="Set"/>
    <x:tableColumn id="4" name="Year"/>
    <x:tableColumn id="5" name="Variant"/>
    <x:tableColumn id="6" name="Qty"/>
    <x:tableColumn id="7" name="Clean Raw Low"/>
    <x:tableColumn id="8" name="Clean Raw High"/>
    <x:tableColumn id="9" name="Sleeve"/>
    <x:tableColumn id="10" name="Toploader"/>
    <x:tableColumn id="11" name="Notes"/>
    <x:tableColumn id="12" name="Source Chat Index"/>
  </x:tableColumns>
  <x:tableStyleInfo name="TableStyleMedium2" showFirstColumn="0" showLastColumn="0" showRowStripes="1" showColumnStripes="0"/>
</x:table>
</file>

<file path=xl/tables/table5.xml><?xml version="1.0" encoding="utf-8"?>
<x:table xmlns:x="http://schemas.openxmlformats.org/spreadsheetml/2006/main" id="5" name="GradingCandidatesTable" displayName="GradingCandidatesTable" ref="A9:S106" headerRowCount="1" totalsRowCount="0" totalsRowShown="0">
  <x:tableColumns count="19">
    <x:tableColumn id="1" name="Tier"/>
    <x:tableColumn id="2" name="Master ID"/>
    <x:tableColumn id="3" name="Card"/>
    <x:tableColumn id="4" name="Card No."/>
    <x:tableColumn id="5" name="Set"/>
    <x:tableColumn id="6" name="Year"/>
    <x:tableColumn id="7" name="Variant / Printing"/>
    <x:tableColumn id="8" name="Copy"/>
    <x:tableColumn id="9" name="Raw Low"/>
    <x:tableColumn id="10" name="Raw High"/>
    <x:tableColumn id="11" name="Raw Mid"/>
    <x:tableColumn id="12" name="As-Is Mid"/>
    <x:tableColumn id="13" name="Known Condition"/>
    <x:tableColumn id="14" name="Why It Is a Candidate"/>
    <x:tableColumn id="15" name="Condition Gate"/>
    <x:tableColumn id="16" name="Submission Timing"/>
    <x:tableColumn id="17" name="Pre-Grade Estimate"/>
    <x:tableColumn id="18" name="Decision"/>
    <x:tableColumn id="19"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f21b50ce724773" /></Relationships>
</file>

<file path=xl/worksheets/_rels/sheet2.xml.rels>&#65279;<?xml version="1.0" encoding="utf-8"?><Relationships xmlns="http://schemas.openxmlformats.org/package/2006/relationships"><Relationship Type="http://schemas.openxmlformats.org/officeDocument/2006/relationships/table" Target="/xl/tables/table1.xml" Id="Rd78acc5177f14499" /></Relationships>
</file>

<file path=xl/worksheets/_rels/sheet3.xml.rels>&#65279;<?xml version="1.0" encoding="utf-8"?><Relationships xmlns="http://schemas.openxmlformats.org/package/2006/relationships"><Relationship Type="http://schemas.openxmlformats.org/officeDocument/2006/relationships/table" Target="/xl/tables/table2.xml" Id="R6813def7d7934ec8" /></Relationships>
</file>

<file path=xl/worksheets/_rels/sheet4.xml.rels>&#65279;<?xml version="1.0" encoding="utf-8"?><Relationships xmlns="http://schemas.openxmlformats.org/package/2006/relationships"><Relationship Type="http://schemas.openxmlformats.org/officeDocument/2006/relationships/table" Target="/xl/tables/table3.xml" Id="Rb02b69cc0f5e4a4e" /></Relationships>
</file>

<file path=xl/worksheets/_rels/sheet5.xml.rels>&#65279;<?xml version="1.0" encoding="utf-8"?><Relationships xmlns="http://schemas.openxmlformats.org/package/2006/relationships"><Relationship Type="http://schemas.openxmlformats.org/officeDocument/2006/relationships/table" Target="/xl/tables/table4.xml" Id="R3dc4a11a3d1342c4" /></Relationships>
</file>

<file path=xl/worksheets/_rels/sheet6.xml.rels>&#65279;<?xml version="1.0" encoding="utf-8"?><Relationships xmlns="http://schemas.openxmlformats.org/package/2006/relationships"><Relationship Type="http://schemas.openxmlformats.org/officeDocument/2006/relationships/table" Target="/xl/tables/table5.xml" Id="R7a6efeb378174651"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2" hidden="0" customWidth="1"/>
    <x:col min="7" max="7" width="18" hidden="0" customWidth="1"/>
    <x:col min="8" max="8" width="18" hidden="0" customWidth="1"/>
  </x:cols>
  <x:sheetData>
    <x:row r="1" ht="32" customHeight="1">
      <x:c r="A1" s="27" t="str">
        <x:v>Pokémon Collection — Reconstructed Inventory</x:v>
      </x:c>
      <x:c r="B1" s="27"/>
      <x:c r="C1" s="27"/>
      <x:c r="D1" s="27"/>
      <x:c r="E1" s="27"/>
      <x:c r="F1" s="27"/>
      <x:c r="G1" s="27"/>
      <x:c r="H1" s="27"/>
    </x:row>
    <x:row r="2">
      <x:c r="A2"/>
      <x:c r="B2"/>
      <x:c r="C2"/>
      <x:c r="D2"/>
      <x:c r="E2"/>
      <x:c r="F2"/>
      <x:c r="G2"/>
      <x:c r="H2"/>
    </x:row>
    <x:row r="3">
      <x:c r="A3" s="35" t="str">
        <x:v>Pokémon Physical Cards</x:v>
      </x:c>
      <x:c r="B3" s="40" t="n">
        <x:f>COUNTA('All Physical Cards'!A2:A861)</x:f>
        <x:v>860</x:v>
      </x:c>
      <x:c r="C3"/>
      <x:c r="D3" s="35" t="str">
        <x:v>Cards Counting Toward $1+</x:v>
      </x:c>
      <x:c r="E3" s="40" t="n">
        <x:f>COUNTIF('All Physical Cards'!O2:O861,"Yes")</x:f>
        <x:v>732</x:v>
      </x:c>
      <x:c r="F3"/>
      <x:c r="G3" s="35" t="str">
        <x:v>Toploader Cards</x:v>
      </x:c>
      <x:c r="H3" s="40" t="n">
        <x:f>COUNTIF('All Physical Cards'!N2:N861,"Yes")</x:f>
        <x:v>190</x:v>
      </x:c>
    </x:row>
    <x:row r="4">
      <x:c r="A4"/>
      <x:c r="B4"/>
      <x:c r="C4"/>
      <x:c r="D4"/>
      <x:c r="E4"/>
      <x:c r="F4"/>
      <x:c r="G4"/>
      <x:c r="H4"/>
    </x:row>
    <x:row r="5">
      <x:c r="A5" s="35" t="str">
        <x:v>Clean Raw Low</x:v>
      </x:c>
      <x:c r="B5" s="42" t="n">
        <x:f>SUM('All Physical Cards'!I2:I861)</x:f>
        <x:v>9927.679999999998</x:v>
      </x:c>
      <x:c r="C5"/>
      <x:c r="D5" s="35" t="str">
        <x:v>Clean Raw High</x:v>
      </x:c>
      <x:c r="E5" s="42" t="n">
        <x:f>SUM('All Physical Cards'!J2:J861)</x:f>
        <x:v>15335.94999999999</x:v>
      </x:c>
      <x:c r="F5"/>
      <x:c r="G5" s="35" t="str">
        <x:v>As-Is Midpoint</x:v>
      </x:c>
      <x:c r="H5" s="42" t="n">
        <x:f>SUM('All Physical Cards'!S2:S861)</x:f>
        <x:v>12175.225000000006</x:v>
      </x:c>
    </x:row>
    <x:row r="6">
      <x:c r="A6"/>
      <x:c r="B6"/>
      <x:c r="C6"/>
      <x:c r="D6"/>
      <x:c r="E6"/>
      <x:c r="F6"/>
      <x:c r="G6"/>
      <x:c r="H6"/>
    </x:row>
    <x:row r="7">
      <x:c r="A7"/>
      <x:c r="B7"/>
      <x:c r="C7"/>
      <x:c r="D7"/>
      <x:c r="E7"/>
      <x:c r="F7"/>
      <x:c r="G7"/>
      <x:c r="H7"/>
    </x:row>
    <x:row r="8">
      <x:c r="A8" s="6" t="str">
        <x:v>Pile</x:v>
      </x:c>
      <x:c r="B8" s="6" t="str">
        <x:v>Card Count</x:v>
      </x:c>
      <x:c r="C8" s="6" t="str">
        <x:v>Clean Raw Mid Total</x:v>
      </x:c>
      <x:c r="D8" s="6" t="str">
        <x:v>As-Is Mid Total</x:v>
      </x:c>
      <x:c r="E8"/>
      <x:c r="F8"/>
      <x:c r="G8"/>
      <x:c r="H8"/>
    </x:row>
    <x:row r="9">
      <x:c r="A9" t="str">
        <x:v>&lt;$1</x:v>
      </x:c>
      <x:c r="B9" t="n">
        <x:f>SUMPRODUCT(--('All Physical Cards'!L2:L861=A9))</x:f>
        <x:v>126</x:v>
      </x:c>
      <x:c r="C9" s="44" t="n">
        <x:f>SUMPRODUCT(--('All Physical Cards'!L2:L861=A9),'All Physical Cards'!K2:K861)</x:f>
        <x:v>84.17499999999997</x:v>
      </x:c>
      <x:c r="D9" s="44" t="n">
        <x:f>SUMPRODUCT(--('All Physical Cards'!L2:L861=A9),'All Physical Cards'!S2:S861)</x:f>
        <x:v>84.17499999999997</x:v>
      </x:c>
      <x:c r="E9"/>
      <x:c r="F9"/>
      <x:c r="G9"/>
      <x:c r="H9"/>
    </x:row>
    <x:row r="10">
      <x:c r="A10" t="str">
        <x:v>$1–5</x:v>
      </x:c>
      <x:c r="B10" t="n">
        <x:f>COUNTIF('All Physical Cards'!L2:L861,A10)</x:f>
        <x:v>369</x:v>
      </x:c>
      <x:c r="C10" s="44" t="n">
        <x:f>SUMIF('All Physical Cards'!L2:L861,A10,'All Physical Cards'!K2:K861)</x:f>
        <x:v>922.7999999999998</x:v>
      </x:c>
      <x:c r="D10" s="44" t="n">
        <x:f>SUMIF('All Physical Cards'!L2:L861,A10,'All Physical Cards'!S2:S861)</x:f>
        <x:v>920.2999999999998</x:v>
      </x:c>
      <x:c r="E10"/>
      <x:c r="F10"/>
      <x:c r="G10"/>
      <x:c r="H10"/>
    </x:row>
    <x:row r="11">
      <x:c r="A11" t="str">
        <x:v>$5–20</x:v>
      </x:c>
      <x:c r="B11" t="n">
        <x:f>COUNTIF('All Physical Cards'!L2:L861,A11)</x:f>
        <x:v>219</x:v>
      </x:c>
      <x:c r="C11" s="44" t="n">
        <x:f>SUMIF('All Physical Cards'!L2:L861,A11,'All Physical Cards'!K2:K861)</x:f>
        <x:v>2258.975</x:v>
      </x:c>
      <x:c r="D11" s="44" t="n">
        <x:f>SUMIF('All Physical Cards'!L2:L861,A11,'All Physical Cards'!S2:S861)</x:f>
        <x:v>2193.6349999999998</x:v>
      </x:c>
      <x:c r="E11"/>
      <x:c r="F11"/>
      <x:c r="G11"/>
      <x:c r="H11"/>
    </x:row>
    <x:row r="12">
      <x:c r="A12" t="str">
        <x:v>$20+</x:v>
      </x:c>
      <x:c r="B12" t="n">
        <x:f>COUNTIF('All Physical Cards'!L2:L861,A12)</x:f>
        <x:v>135</x:v>
      </x:c>
      <x:c r="C12" s="44" t="n">
        <x:f>SUMIF('All Physical Cards'!L2:L861,A12,'All Physical Cards'!K2:K861)</x:f>
        <x:v>9365.865</x:v>
      </x:c>
      <x:c r="D12" s="44" t="n">
        <x:f>SUMIF('All Physical Cards'!L2:L861,A12,'All Physical Cards'!S2:S861)</x:f>
        <x:v>8977.115</x:v>
      </x:c>
      <x:c r="E12"/>
      <x:c r="F12"/>
      <x:c r="G12"/>
      <x:c r="H12"/>
    </x:row>
    <x:row r="13">
      <x:c r="A13" t="str">
        <x:v>Counterfeit / novelty</x:v>
      </x:c>
      <x:c r="B13" t="n">
        <x:f>COUNTIF('All Physical Cards'!L2:L861,A13)</x:f>
        <x:v>0</x:v>
      </x:c>
      <x:c r="C13" t="n">
        <x:f>SUMIF('All Physical Cards'!L2:L861,A13,'All Physical Cards'!K2:K861)</x:f>
        <x:v>0</x:v>
      </x:c>
      <x:c r="D13" t="n">
        <x:f>SUMIF('All Physical Cards'!L2:L861,A13,'All Physical Cards'!S2:S861)</x:f>
        <x:v>0</x:v>
      </x:c>
      <x:c r="E13"/>
      <x:c r="F13"/>
      <x:c r="G13"/>
      <x:c r="H13"/>
    </x:row>
    <x:row r="14">
      <x:c r="A14" t="str">
        <x:v>Needs ID</x:v>
      </x:c>
      <x:c r="B14" t="n">
        <x:f>COUNTIF('All Physical Cards'!L2:L861,A14)</x:f>
        <x:v>10</x:v>
      </x:c>
      <x:c r="C14" t="n">
        <x:f>SUMIF('All Physical Cards'!L2:L861,A14,'All Physical Cards'!K2:K861)</x:f>
        <x:v>0</x:v>
      </x:c>
      <x:c r="D14" t="n">
        <x:f>SUMIF('All Physical Cards'!L2:L861,A14,'All Physical Cards'!S2:S861)</x:f>
        <x:v>0</x:v>
      </x:c>
      <x:c r="E14"/>
      <x:c r="F14"/>
      <x:c r="G14"/>
      <x:c r="H14"/>
    </x:row>
    <x:row r="15">
      <x:c r="A15" s="6" t="str">
        <x:v>Section</x:v>
      </x:c>
      <x:c r="B15" s="6" t="str">
        <x:v>Physical Cards</x:v>
      </x:c>
      <x:c r="C15" s="6" t="str">
        <x:v>Clean Raw Mid</x:v>
      </x:c>
      <x:c r="D15" s="6" t="str">
        <x:v>As-Is Mid</x:v>
      </x:c>
      <x:c r="E15"/>
      <x:c r="F15"/>
      <x:c r="G15"/>
      <x:c r="H15"/>
    </x:row>
    <x:row r="16">
      <x:c r="A16" t="str">
        <x:v>Trainer/Item/Stadium</x:v>
      </x:c>
      <x:c r="B16" t="n">
        <x:f>COUNTIF('All Physical Cards'!B2:B861,A16)</x:f>
        <x:v>133</x:v>
      </x:c>
      <x:c r="C16" s="44" t="n">
        <x:f>SUMIF('All Physical Cards'!B2:B861,A16,'All Physical Cards'!K2:K861)</x:f>
        <x:v>426.75000000000017</x:v>
      </x:c>
      <x:c r="D16" s="44" t="n">
        <x:f>SUMIF('All Physical Cards'!B2:B861,A16,'All Physical Cards'!S2:S861)</x:f>
        <x:v>390.75000000000017</x:v>
      </x:c>
      <x:c r="E16"/>
      <x:c r="F16"/>
      <x:c r="G16"/>
      <x:c r="H16"/>
    </x:row>
    <x:row r="17">
      <x:c r="A17" t="str">
        <x:v>Dragon / Dragon Vault</x:v>
      </x:c>
      <x:c r="B17" t="n">
        <x:f>COUNTIF('All Physical Cards'!B2:B861,A17)</x:f>
        <x:v>78</x:v>
      </x:c>
      <x:c r="C17" s="44" t="n">
        <x:f>SUMIF('All Physical Cards'!B2:B861,A17,'All Physical Cards'!K2:K861)</x:f>
        <x:v>709.8500000000001</x:v>
      </x:c>
      <x:c r="D17" s="44" t="n">
        <x:f>SUMIF('All Physical Cards'!B2:B861,A17,'All Physical Cards'!S2:S861)</x:f>
        <x:v>659.8500000000001</x:v>
      </x:c>
      <x:c r="E17"/>
      <x:c r="F17"/>
      <x:c r="G17"/>
      <x:c r="H17"/>
    </x:row>
    <x:row r="18">
      <x:c r="A18" t="str">
        <x:v>Post-Dragon / Mixed Pokémon</x:v>
      </x:c>
      <x:c r="B18" t="n">
        <x:f>COUNTIF('All Physical Cards'!B2:B861,A18)</x:f>
        <x:v>47</x:v>
      </x:c>
      <x:c r="C18" s="44" t="n">
        <x:f>SUMIF('All Physical Cards'!B2:B861,A18,'All Physical Cards'!K2:K861)</x:f>
        <x:v>411.49</x:v>
      </x:c>
      <x:c r="D18" s="44" t="n">
        <x:f>SUMIF('All Physical Cards'!B2:B861,A18,'All Physical Cards'!S2:S861)</x:f>
        <x:v>249.89999999999998</x:v>
      </x:c>
      <x:c r="E18"/>
      <x:c r="F18"/>
      <x:c r="G18"/>
      <x:c r="H18"/>
    </x:row>
    <x:row r="19">
      <x:c r="A19" t="str">
        <x:v>After $1+ Logging Rule / Rares</x:v>
      </x:c>
      <x:c r="B19" t="n">
        <x:f>COUNTIF('All Physical Cards'!B2:B861,A19)</x:f>
        <x:v>42</x:v>
      </x:c>
      <x:c r="C19" s="44" t="n">
        <x:f>SUMIF('All Physical Cards'!B2:B861,A19,'All Physical Cards'!K2:K861)</x:f>
        <x:v>411.4949999999998</x:v>
      </x:c>
      <x:c r="D19" s="44" t="n">
        <x:f>SUMIF('All Physical Cards'!B2:B861,A19,'All Physical Cards'!S2:S861)</x:f>
        <x:v>403.4949999999998</x:v>
      </x:c>
      <x:c r="E19"/>
      <x:c r="F19"/>
      <x:c r="G19"/>
      <x:c r="H19"/>
    </x:row>
    <x:row r="20">
      <x:c r="A20" t="str">
        <x:v>Fire / Commons</x:v>
      </x:c>
      <x:c r="B20" t="n">
        <x:f>COUNTIF('All Physical Cards'!B2:B861,A20)</x:f>
        <x:v>50</x:v>
      </x:c>
      <x:c r="C20" t="n">
        <x:f>SUMIF('All Physical Cards'!B2:B861,A20,'All Physical Cards'!K2:K861)</x:f>
        <x:v>233.27499999999998</x:v>
      </x:c>
      <x:c r="D20" t="n">
        <x:f>SUMIF('All Physical Cards'!B2:B861,A20,'All Physical Cards'!S2:S861)</x:f>
        <x:v>233.27499999999998</x:v>
      </x:c>
      <x:c r="E20"/>
      <x:c r="F20"/>
      <x:c r="G20"/>
      <x:c r="H20"/>
    </x:row>
    <x:row r="21">
      <x:c r="A21" t="str">
        <x:v>Fire / Uncommons</x:v>
      </x:c>
      <x:c r="B21" t="n">
        <x:f>COUNTIF('All Physical Cards'!B2:B861,A21)</x:f>
        <x:v>45</x:v>
      </x:c>
      <x:c r="C21" t="n">
        <x:f>SUMIF('All Physical Cards'!B2:B861,A21,'All Physical Cards'!K2:K861)</x:f>
        <x:v>239.72500000000005</x:v>
      </x:c>
      <x:c r="D21" t="n">
        <x:f>SUMIF('All Physical Cards'!B2:B861,A21,'All Physical Cards'!S2:S861)</x:f>
        <x:v>239.72500000000005</x:v>
      </x:c>
      <x:c r="E21"/>
      <x:c r="F21"/>
      <x:c r="G21"/>
      <x:c r="H21"/>
    </x:row>
    <x:row r="22">
      <x:c r="A22" s="6" t="str">
        <x:v>Fire / Rares</x:v>
      </x:c>
      <x:c r="B22" s="6" t="n">
        <x:f>COUNTIF('All Physical Cards'!B2:B861,A22)</x:f>
        <x:v>31</x:v>
      </x:c>
      <x:c r="C22" s="6" t="n">
        <x:f>SUMIF('All Physical Cards'!B2:B861,A22,'All Physical Cards'!K2:K861)</x:f>
        <x:v>297.775</x:v>
      </x:c>
      <x:c r="D22" s="6" t="n">
        <x:f>SUMIF('All Physical Cards'!B2:B861,A22,'All Physical Cards'!S2:S861)</x:f>
        <x:v>297.775</x:v>
      </x:c>
      <x:c r="E22" s="6"/>
      <x:c r="F22" s="6"/>
      <x:c r="G22" s="6" t="str"/>
      <x:c r="H22" s="6" t="str"/>
    </x:row>
    <x:row r="23" ht="28" customHeight="1">
      <x:c r="A23" s="47" t="str">
        <x:v>Fighting / Commons</x:v>
      </x:c>
      <x:c r="B23" s="50" t="n">
        <x:f>COUNTIF('All Physical Cards'!B2:B861,A23)</x:f>
        <x:v>32</x:v>
      </x:c>
      <x:c r="C23" s="50" t="n">
        <x:f>SUMIF('All Physical Cards'!B2:B861,A23,'All Physical Cards'!K2:K861)</x:f>
        <x:v>176.25000000000003</x:v>
      </x:c>
      <x:c r="D23" s="50" t="n">
        <x:f>SUMIF('All Physical Cards'!B2:B861,A23,'All Physical Cards'!S2:S861)</x:f>
        <x:v>176.25000000000003</x:v>
      </x:c>
      <x:c r="E23" s="50"/>
      <x:c r="F23" s="50"/>
      <x:c r="G23" s="50" t="str"/>
      <x:c r="H23" s="50" t="str"/>
    </x:row>
    <x:row r="24" ht="28" customHeight="1">
      <x:c r="A24" s="47" t="str">
        <x:v>Fighting / Uncommons</x:v>
      </x:c>
      <x:c r="B24" s="50" t="n">
        <x:f>COUNTIF('All Physical Cards'!B2:B861,A24)</x:f>
        <x:v>16</x:v>
      </x:c>
      <x:c r="C24" s="50" t="n">
        <x:f>SUMIF('All Physical Cards'!B2:B861,A24,'All Physical Cards'!K2:K861)</x:f>
        <x:v>44.550000000000004</x:v>
      </x:c>
      <x:c r="D24" s="50" t="n">
        <x:f>SUMIF('All Physical Cards'!B2:B861,A24,'All Physical Cards'!S2:S861)</x:f>
        <x:v>44.550000000000004</x:v>
      </x:c>
      <x:c r="E24" s="50"/>
      <x:c r="F24" s="50"/>
      <x:c r="G24" s="50" t="str"/>
      <x:c r="H24" s="50" t="str"/>
    </x:row>
    <x:row r="25" ht="28" customHeight="1">
      <x:c r="A25" s="47" t="str">
        <x:v>Fighting / Rares</x:v>
      </x:c>
      <x:c r="B25" s="50" t="n">
        <x:f>COUNTIF('All Physical Cards'!B2:B861,A25)</x:f>
        <x:v>25</x:v>
      </x:c>
      <x:c r="C25" s="50" t="n">
        <x:f>SUMIF('All Physical Cards'!B2:B861,A25,'All Physical Cards'!K2:K861)</x:f>
        <x:v>308.925</x:v>
      </x:c>
      <x:c r="D25" s="50" t="n">
        <x:f>SUMIF('All Physical Cards'!B2:B861,A25,'All Physical Cards'!S2:S861)</x:f>
        <x:v>193.925</x:v>
      </x:c>
      <x:c r="E25" s="50"/>
      <x:c r="F25" s="50"/>
      <x:c r="G25" s="50" t="str"/>
      <x:c r="H25" s="50" t="str"/>
    </x:row>
    <x:row r="26">
      <x:c r="A26" t="str">
        <x:v>Electric / Commons</x:v>
      </x:c>
      <x:c r="B26" t="n">
        <x:f>COUNTIF('All Physical Cards'!B2:B861,A26)</x:f>
        <x:v>50</x:v>
      </x:c>
      <x:c r="C26" t="n">
        <x:f>SUMIF('All Physical Cards'!B2:B861,A26,'All Physical Cards'!K2:K861)</x:f>
        <x:v>282.6750000000001</x:v>
      </x:c>
      <x:c r="D26" t="n">
        <x:f>SUMIF('All Physical Cards'!B2:B861,A26,'All Physical Cards'!S2:S861)</x:f>
        <x:v>271.92500000000007</x:v>
      </x:c>
      <x:c r="E26"/>
      <x:c r="F26"/>
      <x:c r="G26"/>
      <x:c r="H26"/>
    </x:row>
    <x:row r="27">
      <x:c r="A27" t="str">
        <x:v>Electric / Uncommons</x:v>
      </x:c>
      <x:c r="B27" t="n">
        <x:f>COUNTIF('All Physical Cards'!B2:B861,A27)</x:f>
        <x:v>2</x:v>
      </x:c>
      <x:c r="C27" t="n">
        <x:f>SUMIF('All Physical Cards'!B2:B861,A27,'All Physical Cards'!K2:K861)</x:f>
        <x:v>17.75</x:v>
      </x:c>
      <x:c r="D27" t="n">
        <x:f>SUMIF('All Physical Cards'!B2:B861,A27,'All Physical Cards'!S2:S861)</x:f>
        <x:v>6.25</x:v>
      </x:c>
      <x:c r="E27"/>
      <x:c r="F27"/>
      <x:c r="G27"/>
      <x:c r="H27"/>
    </x:row>
    <x:row r="28">
      <x:c r="A28" t="str">
        <x:v>Electric / Rares</x:v>
      </x:c>
      <x:c r="B28" t="n">
        <x:f>COUNTIF('All Physical Cards'!B2:B861,A28)</x:f>
        <x:v>32</x:v>
      </x:c>
      <x:c r="C28" t="n">
        <x:f>SUMIF('All Physical Cards'!B2:B861,A28,'All Physical Cards'!K2:K861)</x:f>
        <x:v>342.25</x:v>
      </x:c>
      <x:c r="D28" t="n">
        <x:f>SUMIF('All Physical Cards'!B2:B861,A28,'All Physical Cards'!S2:S861)</x:f>
        <x:v>326</x:v>
      </x:c>
      <x:c r="E28"/>
      <x:c r="F28"/>
      <x:c r="G28"/>
      <x:c r="H28"/>
    </x:row>
    <x:row r="29">
      <x:c r="A29" t="str">
        <x:v>Water / Rares</x:v>
      </x:c>
      <x:c r="B29" t="n">
        <x:f>COUNTIF('All Physical Cards'!B2:B861,A29)</x:f>
        <x:v>7</x:v>
      </x:c>
      <x:c r="C29" t="n">
        <x:f>SUMIF('All Physical Cards'!B2:B861,A29,'All Physical Cards'!K2:K861)</x:f>
        <x:v>39.325</x:v>
      </x:c>
      <x:c r="D29" t="n">
        <x:f>SUMIF('All Physical Cards'!B2:B861,A29,'All Physical Cards'!S2:S861)</x:f>
        <x:v>39.325</x:v>
      </x:c>
      <x:c r="E29"/>
      <x:c r="F29"/>
      <x:c r="G29"/>
      <x:c r="H29"/>
    </x:row>
    <x:row r="30">
      <x:c r="A30" t="str">
        <x:v>Metal / Rares</x:v>
      </x:c>
      <x:c r="B30" t="n">
        <x:f>COUNTIF('All Physical Cards'!B2:B861,A30)</x:f>
        <x:v>3</x:v>
      </x:c>
      <x:c r="C30" t="n">
        <x:f>SUMIF('All Physical Cards'!B2:B861,A30,'All Physical Cards'!K2:K861)</x:f>
        <x:v>17</x:v>
      </x:c>
      <x:c r="D30" t="n">
        <x:f>SUMIF('All Physical Cards'!B2:B861,A30,'All Physical Cards'!S2:S861)</x:f>
        <x:v>17</x:v>
      </x:c>
      <x:c r="E30"/>
      <x:c r="F30"/>
      <x:c r="G30"/>
      <x:c r="H30"/>
    </x:row>
    <x:row r="31">
      <x:c r="A31" t="str">
        <x:v>Dragon / Rares</x:v>
      </x:c>
      <x:c r="B31" t="n">
        <x:f>COUNTIF('All Physical Cards'!B2:B861,A31)</x:f>
        <x:v>1</x:v>
      </x:c>
      <x:c r="C31" t="n">
        <x:f>SUMIF('All Physical Cards'!B2:B861,A31,'All Physical Cards'!K2:K861)</x:f>
        <x:v>1.125</x:v>
      </x:c>
      <x:c r="D31" t="n">
        <x:f>SUMIF('All Physical Cards'!B2:B861,A31,'All Physical Cards'!S2:S861)</x:f>
        <x:v>1.125</x:v>
      </x:c>
      <x:c r="E31"/>
      <x:c r="F31"/>
      <x:c r="G31"/>
      <x:c r="H31"/>
    </x:row>
    <x:row r="32">
      <x:c r="A32" t="str">
        <x:v>Grass / Rares</x:v>
      </x:c>
      <x:c r="B32" t="n">
        <x:f>COUNTIF('All Physical Cards'!B2:B861,A32)</x:f>
        <x:v>1</x:v>
      </x:c>
      <x:c r="C32" t="n">
        <x:f>SUMIF('All Physical Cards'!B2:B861,A32,'All Physical Cards'!K2:K861)</x:f>
        <x:v>2.125</x:v>
      </x:c>
      <x:c r="D32" t="n">
        <x:f>SUMIF('All Physical Cards'!B2:B861,A32,'All Physical Cards'!S2:S861)</x:f>
        <x:v>2.125</x:v>
      </x:c>
      <x:c r="E32"/>
      <x:c r="F32"/>
      <x:c r="G32"/>
      <x:c r="H32"/>
    </x:row>
    <x:row r="33">
      <x:c r="A33" t="str">
        <x:v>Energy / Special</x:v>
      </x:c>
      <x:c r="B33" t="n">
        <x:f>COUNTIF('All Physical Cards'!B2:B861,A33)</x:f>
        <x:v>15</x:v>
      </x:c>
      <x:c r="C33" t="n">
        <x:f>SUMIF('All Physical Cards'!B2:B861,A33,'All Physical Cards'!K2:K861)</x:f>
        <x:v>61.225</x:v>
      </x:c>
      <x:c r="D33" t="n">
        <x:f>SUMIF('All Physical Cards'!B2:B861,A33,'All Physical Cards'!S2:S861)</x:f>
        <x:v>61.225</x:v>
      </x:c>
      <x:c r="E33"/>
      <x:c r="F33"/>
      <x:c r="G33"/>
      <x:c r="H33"/>
    </x:row>
    <x:row r="34">
      <x:c r="A34" t="str">
        <x:v>Jumbo / Oversized</x:v>
      </x:c>
      <x:c r="B34" t="n">
        <x:f>COUNTIF('All Physical Cards'!B2:B861,A34)</x:f>
        <x:v>9</x:v>
      </x:c>
      <x:c r="C34" t="n">
        <x:f>SUMIF('All Physical Cards'!B2:B861,A34,'All Physical Cards'!K2:K861)</x:f>
        <x:v>142.75</x:v>
      </x:c>
      <x:c r="D34" t="n">
        <x:f>SUMIF('All Physical Cards'!B2:B861,A34,'All Physical Cards'!S2:S861)</x:f>
        <x:v>142.75</x:v>
      </x:c>
      <x:c r="E34"/>
      <x:c r="F34"/>
      <x:c r="G34"/>
      <x:c r="H34"/>
    </x:row>
    <x:row r="35">
      <x:c r="A35" t="str">
        <x:v>Psychic / Rares</x:v>
      </x:c>
      <x:c r="B35" t="n">
        <x:f>COUNTIF('All Physical Cards'!B2:B861,A35)</x:f>
        <x:v>13</x:v>
      </x:c>
      <x:c r="C35" t="n">
        <x:f>SUMIF('All Physical Cards'!B2:B861,A35,'All Physical Cards'!K2:K861)</x:f>
        <x:v>111.5</x:v>
      </x:c>
      <x:c r="D35" t="n">
        <x:f>SUMIF('All Physical Cards'!B2:B861,A35,'All Physical Cards'!S2:S861)</x:f>
        <x:v>111.5</x:v>
      </x:c>
      <x:c r="E35"/>
      <x:c r="F35"/>
      <x:c r="G35"/>
      <x:c r="H35"/>
    </x:row>
    <x:row r="36">
      <x:c r="A36" t="str">
        <x:v>EX / Full Art</x:v>
      </x:c>
      <x:c r="B36" t="n">
        <x:f>COUNTIF('All Physical Cards'!B2:B861,A36)</x:f>
        <x:v>26</x:v>
      </x:c>
      <x:c r="C36" t="n">
        <x:f>SUMIF('All Physical Cards'!B2:B861,A36,'All Physical Cards'!K2:K861)</x:f>
        <x:v>2769.5</x:v>
      </x:c>
      <x:c r="D36" t="n">
        <x:f>SUMIF('All Physical Cards'!B2:B861,A36,'All Physical Cards'!S2:S861)</x:f>
        <x:v>2769.5</x:v>
      </x:c>
      <x:c r="E36"/>
      <x:c r="F36"/>
      <x:c r="G36"/>
      <x:c r="H36"/>
    </x:row>
    <x:row r="37">
      <x:c r="A37" t="str">
        <x:v>LEGEND / Special</x:v>
      </x:c>
      <x:c r="B37" t="n">
        <x:f>COUNTIF('All Physical Cards'!B2:B861,A37)</x:f>
        <x:v>4</x:v>
      </x:c>
      <x:c r="C37" t="n">
        <x:f>SUMIF('All Physical Cards'!B2:B861,A37,'All Physical Cards'!K2:K861)</x:f>
        <x:v>292.5</x:v>
      </x:c>
      <x:c r="D37" t="n">
        <x:f>SUMIF('All Physical Cards'!B2:B861,A37,'All Physical Cards'!S2:S861)</x:f>
        <x:v>245</x:v>
      </x:c>
      <x:c r="E37"/>
      <x:c r="F37"/>
      <x:c r="G37"/>
      <x:c r="H37"/>
    </x:row>
    <x:row r="38">
      <x:c r="A38" t="str">
        <x:v>Audit Notes</x:v>
      </x:c>
      <x:c r="B38" t="n">
        <x:f>COUNTIF('All Physical Cards'!B2:B861,A38)</x:f>
        <x:v>0</x:v>
      </x:c>
      <x:c r="C38" t="n">
        <x:f>SUMIF('All Physical Cards'!B2:B861,A38,'All Physical Cards'!K2:K861)</x:f>
        <x:v>0</x:v>
      </x:c>
      <x:c r="D38" t="n">
        <x:f>SUMIF('All Physical Cards'!B2:B861,A38,'All Physical Cards'!S2:S861)</x:f>
        <x:v>0</x:v>
      </x:c>
      <x:c r="E38"/>
      <x:c r="F38"/>
      <x:c r="G38"/>
      <x:c r="H38"/>
    </x:row>
    <x:row r="39">
      <x:c r="A39" t="str">
        <x:v>Reconstructed physical-card count</x:v>
      </x:c>
      <x:c r="B39" t="n">
        <x:f>COUNTIF('All Physical Cards'!B2:B861,A39)</x:f>
        <x:v>0</x:v>
      </x:c>
      <x:c r="C39" t="n">
        <x:f>SUMIF('All Physical Cards'!B2:B861,A39,'All Physical Cards'!K2:K861)</x:f>
        <x:v>0</x:v>
      </x:c>
      <x:c r="D39" t="n">
        <x:f>SUMIF('All Physical Cards'!B2:B861,A39,'All Physical Cards'!S2:S861)</x:f>
        <x:v>0</x:v>
      </x:c>
      <x:c r="E39"/>
      <x:c r="F39"/>
      <x:c r="G39"/>
      <x:c r="H39"/>
    </x:row>
    <x:row r="40">
      <x:c r="A40" t="str">
        <x:v>Separate non-Pokémon card</x:v>
      </x:c>
      <x:c r="B40" t="n">
        <x:f>COUNTIF('All Physical Cards'!B2:B861,A40)</x:f>
        <x:v>0</x:v>
      </x:c>
      <x:c r="C40" t="n">
        <x:f>SUMIF('All Physical Cards'!B2:B861,A40,'All Physical Cards'!K2:K861)</x:f>
        <x:v>0</x:v>
      </x:c>
      <x:c r="D40" t="n">
        <x:f>SUMIF('All Physical Cards'!B2:B861,A40,'All Physical Cards'!S2:S861)</x:f>
        <x:v>0</x:v>
      </x:c>
      <x:c r="E40"/>
      <x:c r="F40"/>
      <x:c r="G40"/>
      <x:c r="H40"/>
    </x:row>
    <x:row r="41">
      <x:c r="A41" t="str">
        <x:v>Clean/NM benchmarks: original rows reflect the exported chat; cards added after reconstruction use current market research as of Aug. 17, 2026. High-end Full Art/Secret Rare ranges are deliberately broad when recent raw sales are volatile.</x:v>
      </x:c>
      <x:c r="B41" t="n">
        <x:f>COUNTIF('All Physical Cards'!B2:B861,A41)</x:f>
        <x:v>0</x:v>
      </x:c>
      <x:c r="C41" t="n">
        <x:f>SUMIF('All Physical Cards'!B2:B861,A41,'All Physical Cards'!K2:K861)</x:f>
        <x:v>0</x:v>
      </x:c>
      <x:c r="D41" t="n">
        <x:f>SUMIF('All Physical Cards'!B2:B861,A41,'All Physical Cards'!S2:S861)</x:f>
        <x:v>0</x:v>
      </x:c>
      <x:c r="E41"/>
      <x:c r="F41"/>
      <x:c r="G41"/>
      <x:c r="H41"/>
    </x:row>
    <x:row r="42">
      <x:c r="A42" t="str">
        <x:v>Most recent bulk addition: 86 new physical cards from the updated Sokalsky7's Collection.pdf (new listings on pages 2–13 before the previously imported Gyarados G section).</x:v>
      </x:c>
      <x:c r="B42" t="n">
        <x:f>COUNTIF('All Physical Cards'!B2:B861,A42)</x:f>
        <x:v>0</x:v>
      </x:c>
      <x:c r="C42" t="n">
        <x:f>SUMIF('All Physical Cards'!B2:B861,A42,'All Physical Cards'!K2:K861)</x:f>
        <x:v>0</x:v>
      </x:c>
      <x:c r="D42" t="n">
        <x:f>SUMIF('All Physical Cards'!B2:B861,A42,'All Physical Cards'!S2:S861)</x:f>
        <x:v>0</x:v>
      </x:c>
      <x:c r="E42"/>
      <x:c r="F42"/>
      <x:c r="G42"/>
      <x:c r="H42"/>
    </x:row>
    <x:row r="43">
      <x:c r="A43" s="155" t="str">
        <x:v>PDF Import / Added Cards</x:v>
      </x:c>
      <x:c r="B43" s="155" t="n">
        <x:f>COUNTIF('All Physical Cards'!B2:B861,A43)</x:f>
        <x:v>198</x:v>
      </x:c>
      <x:c r="C43" s="155" t="n">
        <x:f>SUMIF('All Physical Cards'!B2:B861,A43,'All Physical Cards'!K2:K861)</x:f>
        <x:v>5292.004999999999</x:v>
      </x:c>
      <x:c r="D43" s="155" t="n">
        <x:f>SUMIF('All Physical Cards'!B2:B861,A43,'All Physical Cards'!S2:S861)</x:f>
        <x:v>5292.004999999999</x:v>
      </x:c>
      <x:c r="E43"/>
      <x:c r="F43"/>
      <x:c r="G43"/>
      <x:c r="H43"/>
    </x:row>
    <x:row r="44" ht="22" customHeight="1">
      <x:c r="A44" s="93" t="str">
        <x:v>Grading Audit (Condition Aside)</x:v>
      </x:c>
      <x:c r="B44" s="93" t="n">
        <x:f>COUNTIF('All Physical Cards'!B2:B861,A44)</x:f>
        <x:v>0</x:v>
      </x:c>
      <x:c r="C44" s="93" t="n">
        <x:f>SUMIF('All Physical Cards'!B2:B861,A44,'All Physical Cards'!K2:K861)</x:f>
        <x:v>0</x:v>
      </x:c>
      <x:c r="D44" s="93" t="n">
        <x:f>SUMIF('All Physical Cards'!B2:B861,A44,'All Physical Cards'!S2:S861)</x:f>
        <x:v>0</x:v>
      </x:c>
      <x:c r="E44"/>
      <x:c r="F44" s="133" t="str">
        <x:v>Grading-Adjusted Collection EV</x:v>
      </x:c>
      <x:c r="G44" s="133"/>
      <x:c r="H44" s="133"/>
    </x:row>
    <x:row r="45" ht="22" customHeight="1">
      <x:c r="A45" s="96" t="str">
        <x:v>Primary Candidates (A–C)</x:v>
      </x:c>
      <x:c r="B45" s="96" t="n">
        <x:f>COUNTIF('All Physical Cards'!B2:B861,A45)</x:f>
        <x:v>0</x:v>
      </x:c>
      <x:c r="C45" s="96" t="n">
        <x:f>SUMIF('All Physical Cards'!B2:B861,A45,'All Physical Cards'!K2:K861)</x:f>
        <x:v>0</x:v>
      </x:c>
      <x:c r="D45" s="96" t="n">
        <x:f>SUMIF('All Physical Cards'!B2:B861,A45,'All Physical Cards'!S2:S861)</x:f>
        <x:v>0</x:v>
      </x:c>
      <x:c r="E45"/>
      <x:c r="F45" s="136" t="str">
        <x:v>Cards Manually Pre-Graded</x:v>
      </x:c>
      <x:c r="G45" s="136"/>
      <x:c r="H45" s="136" t="n">
        <x:f>COUNT('Grading Candidates'!AO10:AO151)</x:f>
        <x:v>18</x:v>
      </x:c>
    </x:row>
    <x:row r="46" ht="22" customHeight="1">
      <x:c r="A46" s="96" t="str">
        <x:v>A — Priority</x:v>
      </x:c>
      <x:c r="B46" s="96" t="n">
        <x:f>COUNTIF('All Physical Cards'!B2:B861,A46)</x:f>
        <x:v>0</x:v>
      </x:c>
      <x:c r="C46" s="96" t="n">
        <x:f>SUMIF('All Physical Cards'!B2:B861,A46,'All Physical Cards'!K2:K861)</x:f>
        <x:v>0</x:v>
      </x:c>
      <x:c r="D46" s="96" t="n">
        <x:f>SUMIF('All Physical Cards'!B2:B861,A46,'All Physical Cards'!S2:S861)</x:f>
        <x:v>0</x:v>
      </x:c>
      <x:c r="E46"/>
      <x:c r="F46" s="136" t="str">
        <x:v>Pre-Graded Raw Midpoint</x:v>
      </x:c>
      <x:c r="G46" s="136"/>
      <x:c r="H46" s="137" t="n">
        <x:f>SUM('Grading Candidates'!AP10:AP151)</x:f>
        <x:v>1060.435</x:v>
      </x:c>
    </x:row>
    <x:row r="47">
      <x:c r="A47"/>
      <x:c r="B47" t="n">
        <x:f>COUNTIF('All Physical Cards'!B2:B861,A47)</x:f>
        <x:v>0</x:v>
      </x:c>
      <x:c r="C47" t="n">
        <x:f>SUMIF('All Physical Cards'!B2:B861,A47,'All Physical Cards'!K2:K861)</x:f>
        <x:v>0</x:v>
      </x:c>
      <x:c r="D47" t="n">
        <x:f>SUMIF('All Physical Cards'!B2:B861,A47,'All Physical Cards'!S2:S861)</x:f>
        <x:v>0</x:v>
      </x:c>
      <x:c r="E47"/>
      <x:c r="F47" s="136" t="str">
        <x:v>Expected Slab Value (Gross)</x:v>
      </x:c>
      <x:c r="G47" s="136"/>
      <x:c r="H47" s="137" t="n">
        <x:f>SUM('Grading Candidates'!AO10:AO151)</x:f>
        <x:v>5552.280500000003</x:v>
      </x:c>
    </x:row>
    <x:row r="48">
      <x:c r="A48"/>
      <x:c r="B48" t="n">
        <x:f>COUNTIF('All Physical Cards'!B2:B861,A48)</x:f>
        <x:v>0</x:v>
      </x:c>
      <x:c r="C48" t="n">
        <x:f>SUMIF('All Physical Cards'!B2:B861,A48,'All Physical Cards'!K2:K861)</x:f>
        <x:v>0</x:v>
      </x:c>
      <x:c r="D48" t="n">
        <x:f>SUMIF('All Physical Cards'!B2:B861,A48,'All Physical Cards'!S2:S861)</x:f>
        <x:v>0</x:v>
      </x:c>
      <x:c r="E48"/>
      <x:c r="F48" s="136" t="str">
        <x:v>Gross Grading EV Uplift</x:v>
      </x:c>
      <x:c r="G48" s="136"/>
      <x:c r="H48" s="137" t="n">
        <x:f>SUM('Grading Candidates'!AQ10:AQ151)</x:f>
        <x:v>4491.8455</x:v>
      </x:c>
    </x:row>
    <x:row r="49">
      <x:c r="A49"/>
      <x:c r="B49" t="n">
        <x:f>COUNTIF('All Physical Cards'!B2:B861,A49)</x:f>
        <x:v>0</x:v>
      </x:c>
      <x:c r="C49" t="n">
        <x:f>SUMIF('All Physical Cards'!B2:B861,A49,'All Physical Cards'!K2:K861)</x:f>
        <x:v>0</x:v>
      </x:c>
      <x:c r="D49" t="n">
        <x:f>SUMIF('All Physical Cards'!B2:B861,A49,'All Physical Cards'!S2:S861)</x:f>
        <x:v>0</x:v>
      </x:c>
      <x:c r="E49"/>
      <x:c r="F49" s="136" t="str">
        <x:v>Collection EV w/ Grading</x:v>
      </x:c>
      <x:c r="G49" s="136"/>
      <x:c r="H49" s="137" t="n">
        <x:f>(B5+E5)/2+H48</x:f>
        <x:v>17123.660499999994</x:v>
      </x:c>
    </x:row>
    <x:row r="50">
      <x:c r="A50"/>
      <x:c r="B50" t="n">
        <x:f>COUNTIF('All Physical Cards'!B2:B861,A50)</x:f>
        <x:v>0</x:v>
      </x:c>
      <x:c r="C50" t="n">
        <x:f>SUMIF('All Physical Cards'!B2:B861,A50,'All Physical Cards'!K2:K861)</x:f>
        <x:v>0</x:v>
      </x:c>
      <x:c r="D50" t="n">
        <x:f>SUMIF('All Physical Cards'!B2:B861,A50,'All Physical Cards'!S2:S861)</x:f>
        <x:v>0</x:v>
      </x:c>
      <x:c r="E50"/>
      <x:c r="F50"/>
      <x:c r="G50"/>
      <x:c r="H50"/>
    </x:row>
    <x:row r="51">
      <x:c r="A51"/>
      <x:c r="B51" t="n">
        <x:f>COUNTIF('All Physical Cards'!B2:B861,A51)</x:f>
        <x:v>0</x:v>
      </x:c>
      <x:c r="C51" t="n">
        <x:f>SUMIF('All Physical Cards'!B2:B861,A51,'All Physical Cards'!K2:K861)</x:f>
        <x:v>0</x:v>
      </x:c>
      <x:c r="D51" t="n">
        <x:f>SUMIF('All Physical Cards'!B2:B861,A51,'All Physical Cards'!S2:S861)</x:f>
        <x:v>0</x:v>
      </x:c>
      <x:c r="E51"/>
      <x:c r="F51" s="141" t="str">
        <x:v>Gross EV replaces each inspected card's raw midpoint with its probability-weighted PSA value. It does not yet subtract grading, shipping, insurance, selling fees, or taxes.</x:v>
      </x:c>
      <x:c r="G51" s="141"/>
      <x:c r="H51" s="141"/>
    </x:row>
    <x:row r="52">
      <x:c r="F52" s="141"/>
      <x:c r="G52" s="141"/>
      <x:c r="H52" s="141"/>
    </x:row>
  </x:sheetData>
  <x:mergeCells>
    <x:mergeCell ref="A1:H1"/>
    <x:mergeCell ref="B23:H23"/>
    <x:mergeCell ref="B24:H24"/>
    <x:mergeCell ref="B25:H25"/>
    <x:mergeCell ref="A44:D44"/>
    <x:mergeCell ref="F44:H44"/>
    <x:mergeCell ref="F51:H52"/>
    <x:mergeCell ref="A41:H41"/>
    <x:mergeCell ref="A42:H42"/>
  </x:mergeCells>
  <x:pageMargins left="0.7" right="0.7" top="0.75" bottom="0.75" header="0.3" footer="0.3"/>
  <x:drawing xmlns:r="http://schemas.openxmlformats.org/officeDocument/2006/relationships" r:id="R40f21b50ce724773"/>
</x:worksheet>
</file>

<file path=xl/worksheets/sheet2.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11" hidden="0" customWidth="1"/>
    <x:col min="5" max="5" width="25" hidden="0" customWidth="1"/>
    <x:col min="6" max="6" width="8" hidden="0" customWidth="1"/>
    <x:col min="7" max="7" width="27" hidden="0" customWidth="1"/>
    <x:col min="8" max="8" width="9" hidden="0" customWidth="1"/>
    <x:col min="9" max="9" width="12" hidden="0" customWidth="1"/>
    <x:col min="10" max="10" width="12" hidden="0" customWidth="1"/>
    <x:col min="11" max="11" width="12" hidden="0" customWidth="1"/>
    <x:col min="12" max="12" width="10" hidden="0" customWidth="1"/>
    <x:col min="13" max="13" width="9" hidden="0" customWidth="1"/>
    <x:col min="14" max="14" width="10" hidden="0" customWidth="1"/>
    <x:col min="15" max="15" width="16" hidden="0" customWidth="1"/>
    <x:col min="16" max="16" width="24" hidden="0" customWidth="1"/>
    <x:col min="17" max="17" width="11" hidden="0" customWidth="1"/>
    <x:col min="18" max="18" width="11" hidden="0" customWidth="1"/>
    <x:col min="19" max="19" width="11" hidden="0" customWidth="1"/>
    <x:col min="20" max="20" width="42" hidden="0" customWidth="1"/>
    <x:col min="21" max="21" width="12" hidden="0" customWidth="1"/>
    <x:col min="22" max="22" width="32" hidden="0" customWidth="1"/>
    <x:col min="23" max="23" width="42" hidden="0" customWidth="1"/>
  </x:cols>
  <x:sheetData>
    <x:row r="1" ht="32" customHeight="1">
      <x:c r="A1" s="6" t="str">
        <x:v>ID</x:v>
      </x:c>
      <x:c r="B1" s="6" t="str">
        <x:v>Section</x:v>
      </x:c>
      <x:c r="C1" s="6" t="str">
        <x:v>Card Name</x:v>
      </x:c>
      <x:c r="D1" s="6" t="str">
        <x:v>Card No.</x:v>
      </x:c>
      <x:c r="E1" s="6" t="str">
        <x:v>Set</x:v>
      </x:c>
      <x:c r="F1" s="6" t="str">
        <x:v>Year</x:v>
      </x:c>
      <x:c r="G1" s="6" t="str">
        <x:v>Variant / Printing</x:v>
      </x:c>
      <x:c r="H1" s="6" t="str">
        <x:v>Copy</x:v>
      </x:c>
      <x:c r="I1" s="6" t="str">
        <x:v>Clean Raw Low</x:v>
      </x:c>
      <x:c r="J1" s="6" t="str">
        <x:v>Clean Raw High</x:v>
      </x:c>
      <x:c r="K1" s="6" t="str">
        <x:v>Clean Raw Mid</x:v>
      </x:c>
      <x:c r="L1" s="6" t="str">
        <x:v>Pile</x:v>
      </x:c>
      <x:c r="M1" s="6" t="str">
        <x:v>Sleeve</x:v>
      </x:c>
      <x:c r="N1" s="6" t="str">
        <x:v>Toploader</x:v>
      </x:c>
      <x:c r="O1" s="6" t="str">
        <x:v>Counts Toward $1+</x:v>
      </x:c>
      <x:c r="P1" s="6" t="str">
        <x:v>Condition</x:v>
      </x:c>
      <x:c r="Q1" s="6" t="str">
        <x:v>As-Is Low</x:v>
      </x:c>
      <x:c r="R1" s="6" t="str">
        <x:v>As-Is High</x:v>
      </x:c>
      <x:c r="S1" s="6" t="str">
        <x:v>As-Is Mid</x:v>
      </x:c>
      <x:c r="T1" s="6" t="str">
        <x:v>Notes</x:v>
      </x:c>
      <x:c r="U1" s="6" t="str">
        <x:v>Source Chat Index</x:v>
      </x:c>
      <x:c r="V1" s="6" t="str">
        <x:v>Source Basis</x:v>
      </x:c>
      <x:c r="W1" s="6" t="str">
        <x:v>Research URL</x:v>
      </x:c>
    </x:row>
    <x:row r="2">
      <x:c r="A2" s="18" t="n">
        <x:v>1</x:v>
      </x:c>
      <x:c r="B2" s="14" t="str">
        <x:v>Trainer/Item/Stadium</x:v>
      </x:c>
      <x:c r="C2" s="14" t="str">
        <x:v>Reversal Trigger (Team Plasma)</x:v>
      </x:c>
      <x:c r="D2" s="14" t="str">
        <x:v>86/101</x:v>
      </x:c>
      <x:c r="E2" s="14" t="str">
        <x:v>Plasma Blast</x:v>
      </x:c>
      <x:c r="F2" s="18" t="n">
        <x:v>2013</x:v>
      </x:c>
      <x:c r="G2" s="14" t="str">
        <x:v>Regular / first copy (WC comment later unclear)</x:v>
      </x:c>
      <x:c r="H2" s="14" t="str">
        <x:v>1 of 1</x:v>
      </x:c>
      <x:c r="I2" s="16" t="n">
        <x:v>0.2</x:v>
      </x:c>
      <x:c r="J2" s="16" t="n">
        <x:v>0.3</x:v>
      </x:c>
      <x:c r="K2" s="16" t="n">
        <x:f>IF(AND(ISNUMBER(I2),ISNUMBER(J2)),AVERAGE(I2:J2),"")</x:f>
        <x:v>0.25</x:v>
      </x:c>
      <x:c r="L2" s="14" t="str">
        <x:v>&lt;$1</x:v>
      </x:c>
      <x:c r="M2" s="14" t="str">
        <x:v>No</x:v>
      </x:c>
      <x:c r="N2" s="14" t="str">
        <x:v>No</x:v>
      </x:c>
      <x:c r="O2" s="14" t="str">
        <x:v>No</x:v>
      </x:c>
      <x:c r="P2" s="14" t="str">
        <x:v>Clean/NM benchmark unless noted</x:v>
      </x:c>
      <x:c r="Q2" s="16" t="n">
        <x:v>0.2</x:v>
      </x:c>
      <x:c r="R2" s="16" t="n">
        <x:v>0.3</x:v>
      </x:c>
      <x:c r="S2" s="16" t="n">
        <x:f>IF(AND(ISNUMBER(Q2),ISNUMBER(R2)),AVERAGE(Q2:R2),K2)</x:f>
        <x:v>0.25</x:v>
      </x:c>
      <x:c r="T2" s="14" t="str">
        <x:v>Initial card; later chat called both first cards World Championships on the back. Keep variant note flagged.</x:v>
      </x:c>
      <x:c r="U2" s="18" t="n">
        <x:v>1</x:v>
      </x:c>
      <x:c r="V2" s="14" t="str">
        <x:v>Uploaded Pokémon chat JSON / prior card-by-card research</x:v>
      </x:c>
      <x:c r="W2" s="14" t="str"/>
    </x:row>
    <x:row r="3">
      <x:c r="A3" s="18" t="n">
        <x:v>2</x:v>
      </x:c>
      <x:c r="B3" s="14" t="str">
        <x:v>Trainer/Item/Stadium</x:v>
      </x:c>
      <x:c r="C3" s="14" t="str">
        <x:v>Rare Candy</x:v>
      </x:c>
      <x:c r="D3" s="14" t="str">
        <x:v>88/100</x:v>
      </x:c>
      <x:c r="E3" s="14" t="str">
        <x:v>2004 World Championships / EX Sandstorm reprint</x:v>
      </x:c>
      <x:c r="F3" s="18" t="n">
        <x:v>2004</x:v>
      </x:c>
      <x:c r="G3" s="14" t="str">
        <x:v>World Championships</x:v>
      </x:c>
      <x:c r="H3" s="14" t="str">
        <x:v>1 of 1</x:v>
      </x:c>
      <x:c r="I3" s="16" t="n">
        <x:v>1.75</x:v>
      </x:c>
      <x:c r="J3" s="16" t="n">
        <x:v>3.3</x:v>
      </x:c>
      <x:c r="K3" s="16" t="n">
        <x:f>IF(AND(ISNUMBER(I3),ISNUMBER(J3)),AVERAGE(I3:J3),"")</x:f>
        <x:v>2.525</x:v>
      </x:c>
      <x:c r="L3" s="14" t="str">
        <x:v>$1–5</x:v>
      </x:c>
      <x:c r="M3" s="14" t="str">
        <x:v>Yes</x:v>
      </x:c>
      <x:c r="N3" s="14" t="str">
        <x:v>No</x:v>
      </x:c>
      <x:c r="O3" s="14" t="str">
        <x:v>Yes</x:v>
      </x:c>
      <x:c r="P3" s="14" t="str">
        <x:v>Clean/NM benchmark unless noted</x:v>
      </x:c>
      <x:c r="Q3" s="16" t="n">
        <x:v>1.75</x:v>
      </x:c>
      <x:c r="R3" s="16" t="n">
        <x:v>3.3</x:v>
      </x:c>
      <x:c r="S3" s="16" t="n">
        <x:f>IF(AND(ISNUMBER(Q3),ISNUMBER(R3)),AVERAGE(Q3:R3),K3)</x:f>
        <x:v>2.525</x:v>
      </x:c>
      <x:c r="T3" s="14" t="str"/>
      <x:c r="U3" s="18" t="n">
        <x:v>7</x:v>
      </x:c>
      <x:c r="V3" s="14" t="str">
        <x:v>Uploaded Pokémon chat JSON / prior card-by-card research</x:v>
      </x:c>
      <x:c r="W3" s="14" t="str"/>
    </x:row>
    <x:row r="4">
      <x:c r="A4" s="18" t="n">
        <x:v>3</x:v>
      </x:c>
      <x:c r="B4" s="14" t="str">
        <x:v>Trainer/Item/Stadium</x:v>
      </x:c>
      <x:c r="C4" s="14" t="str">
        <x:v>Bill</x:v>
      </x:c>
      <x:c r="D4" s="14" t="str">
        <x:v>118/130</x:v>
      </x:c>
      <x:c r="E4" s="14" t="str">
        <x:v>Base Set 2</x:v>
      </x:c>
      <x:c r="F4" s="18" t="n">
        <x:v>2000</x:v>
      </x:c>
      <x:c r="G4" s="14" t="str">
        <x:v>Regular</x:v>
      </x:c>
      <x:c r="H4" s="14" t="str">
        <x:v>1 of 2</x:v>
      </x:c>
      <x:c r="I4" s="16" t="n">
        <x:v>0.4</x:v>
      </x:c>
      <x:c r="J4" s="16" t="n">
        <x:v>0.4</x:v>
      </x:c>
      <x:c r="K4" s="16" t="n">
        <x:f>IF(AND(ISNUMBER(I4),ISNUMBER(J4)),AVERAGE(I4:J4),"")</x:f>
        <x:v>0.4</x:v>
      </x:c>
      <x:c r="L4" s="14" t="str">
        <x:v>&lt;$1</x:v>
      </x:c>
      <x:c r="M4" s="14" t="str">
        <x:v>Yes</x:v>
      </x:c>
      <x:c r="N4" s="14" t="str">
        <x:v>No</x:v>
      </x:c>
      <x:c r="O4" s="14" t="str">
        <x:v>No</x:v>
      </x:c>
      <x:c r="P4" s="14" t="str">
        <x:v>Clean/NM benchmark unless noted</x:v>
      </x:c>
      <x:c r="Q4" s="16" t="n">
        <x:v>0.4</x:v>
      </x:c>
      <x:c r="R4" s="16" t="n">
        <x:v>0.4</x:v>
      </x:c>
      <x:c r="S4" s="16" t="n">
        <x:f>IF(AND(ISNUMBER(Q4),ISNUMBER(R4)),AVERAGE(Q4:R4),K4)</x:f>
        <x:v>0.4</x:v>
      </x:c>
      <x:c r="T4" s="14" t="str">
        <x:v>Very clean; penny sleeve despite low value.</x:v>
      </x:c>
      <x:c r="U4" s="18" t="n">
        <x:v>16</x:v>
      </x:c>
      <x:c r="V4" s="14" t="str">
        <x:v>Uploaded Pokémon chat JSON / prior card-by-card research</x:v>
      </x:c>
      <x:c r="W4" s="14" t="str"/>
    </x:row>
    <x:row r="5">
      <x:c r="A5" s="18" t="n">
        <x:v>4</x:v>
      </x:c>
      <x:c r="B5" s="14" t="str">
        <x:v>Trainer/Item/Stadium</x:v>
      </x:c>
      <x:c r="C5" s="14" t="str">
        <x:v>Bill</x:v>
      </x:c>
      <x:c r="D5" s="14" t="str">
        <x:v>118/130</x:v>
      </x:c>
      <x:c r="E5" s="14" t="str">
        <x:v>Base Set 2</x:v>
      </x:c>
      <x:c r="F5" s="18" t="n">
        <x:v>2000</x:v>
      </x:c>
      <x:c r="G5" s="14" t="str">
        <x:v>Regular</x:v>
      </x:c>
      <x:c r="H5" s="14" t="str">
        <x:v>2 of 2</x:v>
      </x:c>
      <x:c r="I5" s="16" t="n">
        <x:v>0.4</x:v>
      </x:c>
      <x:c r="J5" s="16" t="n">
        <x:v>0.4</x:v>
      </x:c>
      <x:c r="K5" s="16" t="n">
        <x:f>IF(AND(ISNUMBER(I5),ISNUMBER(J5)),AVERAGE(I5:J5),"")</x:f>
        <x:v>0.4</x:v>
      </x:c>
      <x:c r="L5" s="14" t="str">
        <x:v>&lt;$1</x:v>
      </x:c>
      <x:c r="M5" s="14" t="str">
        <x:v>Yes</x:v>
      </x:c>
      <x:c r="N5" s="14" t="str">
        <x:v>No</x:v>
      </x:c>
      <x:c r="O5" s="14" t="str">
        <x:v>No</x:v>
      </x:c>
      <x:c r="P5" s="14" t="str">
        <x:v>Clean/NM benchmark unless noted</x:v>
      </x:c>
      <x:c r="Q5" s="16" t="n">
        <x:v>0.4</x:v>
      </x:c>
      <x:c r="R5" s="16" t="n">
        <x:v>0.4</x:v>
      </x:c>
      <x:c r="S5" s="16" t="n">
        <x:f>IF(AND(ISNUMBER(Q5),ISNUMBER(R5)),AVERAGE(Q5:R5),K5)</x:f>
        <x:v>0.4</x:v>
      </x:c>
      <x:c r="T5" s="14" t="str">
        <x:v>Very clean; penny sleeve despite low value.</x:v>
      </x:c>
      <x:c r="U5" s="18" t="n">
        <x:v>16</x:v>
      </x:c>
      <x:c r="V5" s="14" t="str">
        <x:v>Uploaded Pokémon chat JSON / prior card-by-card research</x:v>
      </x:c>
      <x:c r="W5" s="14" t="str"/>
    </x:row>
    <x:row r="6">
      <x:c r="A6" s="18" t="n">
        <x:v>5</x:v>
      </x:c>
      <x:c r="B6" s="14" t="str">
        <x:v>Trainer/Item/Stadium</x:v>
      </x:c>
      <x:c r="C6" s="14" t="str">
        <x:v>Dome Fossil</x:v>
      </x:c>
      <x:c r="D6" s="14" t="str">
        <x:v>92/99</x:v>
      </x:c>
      <x:c r="E6" s="14" t="str">
        <x:v>Platinum: Arceus</x:v>
      </x:c>
      <x:c r="F6" s="18" t="n">
        <x:v>2009</x:v>
      </x:c>
      <x:c r="G6" s="14" t="str">
        <x:v>Reverse Holo</x:v>
      </x:c>
      <x:c r="H6" s="14" t="str">
        <x:v>1 of 1</x:v>
      </x:c>
      <x:c r="I6" s="16" t="n">
        <x:v>2</x:v>
      </x:c>
      <x:c r="J6" s="16" t="n">
        <x:v>4</x:v>
      </x:c>
      <x:c r="K6" s="16" t="n">
        <x:f>IF(AND(ISNUMBER(I6),ISNUMBER(J6)),AVERAGE(I6:J6),"")</x:f>
        <x:v>3</x:v>
      </x:c>
      <x:c r="L6" s="14" t="str">
        <x:v>$1–5</x:v>
      </x:c>
      <x:c r="M6" s="14" t="str">
        <x:v>Yes</x:v>
      </x:c>
      <x:c r="N6" s="14" t="str">
        <x:v>No</x:v>
      </x:c>
      <x:c r="O6" s="14" t="str">
        <x:v>Yes</x:v>
      </x:c>
      <x:c r="P6" s="14" t="str">
        <x:v>Clean/NM benchmark unless noted</x:v>
      </x:c>
      <x:c r="Q6" s="16" t="n">
        <x:v>2</x:v>
      </x:c>
      <x:c r="R6" s="16" t="n">
        <x:v>4</x:v>
      </x:c>
      <x:c r="S6" s="16" t="n">
        <x:f>IF(AND(ISNUMBER(Q6),ISNUMBER(R6)),AVERAGE(Q6:R6),K6)</x:f>
        <x:v>3</x:v>
      </x:c>
      <x:c r="T6" s="14" t="str"/>
      <x:c r="U6" s="18" t="n">
        <x:v>22</x:v>
      </x:c>
      <x:c r="V6" s="14" t="str">
        <x:v>Uploaded Pokémon chat JSON / prior card-by-card research</x:v>
      </x:c>
      <x:c r="W6" s="14" t="str"/>
    </x:row>
    <x:row r="7">
      <x:c r="A7" s="18" t="n">
        <x:v>6</x:v>
      </x:c>
      <x:c r="B7" s="14" t="str">
        <x:v>Trainer/Item/Stadium</x:v>
      </x:c>
      <x:c r="C7" s="14" t="str">
        <x:v>Defender</x:v>
      </x:c>
      <x:c r="D7" s="14" t="str">
        <x:v>109/130</x:v>
      </x:c>
      <x:c r="E7" s="14" t="str">
        <x:v>Base Set 2</x:v>
      </x:c>
      <x:c r="F7" s="18" t="n">
        <x:v>2000</x:v>
      </x:c>
      <x:c r="G7" s="14" t="str">
        <x:v>Regular</x:v>
      </x:c>
      <x:c r="H7" s="14" t="str">
        <x:v>1 of 1</x:v>
      </x:c>
      <x:c r="I7" s="16" t="n">
        <x:v>0.5</x:v>
      </x:c>
      <x:c r="J7" s="16" t="n">
        <x:v>0.5</x:v>
      </x:c>
      <x:c r="K7" s="16" t="n">
        <x:f>IF(AND(ISNUMBER(I7),ISNUMBER(J7)),AVERAGE(I7:J7),"")</x:f>
        <x:v>0.5</x:v>
      </x:c>
      <x:c r="L7" s="14" t="str">
        <x:v>&lt;$1</x:v>
      </x:c>
      <x:c r="M7" s="14" t="str">
        <x:v>No</x:v>
      </x:c>
      <x:c r="N7" s="14" t="str">
        <x:v>No</x:v>
      </x:c>
      <x:c r="O7" s="14" t="str">
        <x:v>No</x:v>
      </x:c>
      <x:c r="P7" s="14" t="str">
        <x:v>Clean/NM benchmark unless noted</x:v>
      </x:c>
      <x:c r="Q7" s="16" t="n">
        <x:v>0.5</x:v>
      </x:c>
      <x:c r="R7" s="16" t="n">
        <x:v>0.5</x:v>
      </x:c>
      <x:c r="S7" s="16" t="n">
        <x:f>IF(AND(ISNUMBER(Q7),ISNUMBER(R7)),AVERAGE(Q7:R7),K7)</x:f>
        <x:v>0.5</x:v>
      </x:c>
      <x:c r="T7" s="14" t="str"/>
      <x:c r="U7" s="18" t="n">
        <x:v>34</x:v>
      </x:c>
      <x:c r="V7" s="14" t="str">
        <x:v>Uploaded Pokémon chat JSON / prior card-by-card research</x:v>
      </x:c>
      <x:c r="W7" s="14" t="str"/>
    </x:row>
    <x:row r="8">
      <x:c r="A8" s="18" t="n">
        <x:v>7</x:v>
      </x:c>
      <x:c r="B8" s="14" t="str">
        <x:v>Trainer/Item/Stadium</x:v>
      </x:c>
      <x:c r="C8" s="14" t="str">
        <x:v>Dark Patch</x:v>
      </x:c>
      <x:c r="D8" s="14" t="str">
        <x:v>93/108</x:v>
      </x:c>
      <x:c r="E8" s="14" t="str">
        <x:v>Dark Explorers</x:v>
      </x:c>
      <x:c r="F8" s="18" t="n">
        <x:v>2012</x:v>
      </x:c>
      <x:c r="G8" s="14" t="str">
        <x:v>Reverse Holo</x:v>
      </x:c>
      <x:c r="H8" s="14" t="str">
        <x:v>1 of 1</x:v>
      </x:c>
      <x:c r="I8" s="16" t="n">
        <x:v>4.3</x:v>
      </x:c>
      <x:c r="J8" s="16" t="n">
        <x:v>4.3</x:v>
      </x:c>
      <x:c r="K8" s="16" t="n">
        <x:f>IF(AND(ISNUMBER(I8),ISNUMBER(J8)),AVERAGE(I8:J8),"")</x:f>
        <x:v>4.3</x:v>
      </x:c>
      <x:c r="L8" s="14" t="str">
        <x:v>$1–5</x:v>
      </x:c>
      <x:c r="M8" s="14" t="str">
        <x:v>Yes</x:v>
      </x:c>
      <x:c r="N8" s="14" t="str">
        <x:v>No</x:v>
      </x:c>
      <x:c r="O8" s="14" t="str">
        <x:v>Yes</x:v>
      </x:c>
      <x:c r="P8" s="14" t="str">
        <x:v>Clean/NM benchmark unless noted</x:v>
      </x:c>
      <x:c r="Q8" s="16" t="n">
        <x:v>4.3</x:v>
      </x:c>
      <x:c r="R8" s="16" t="n">
        <x:v>4.3</x:v>
      </x:c>
      <x:c r="S8" s="16" t="n">
        <x:f>IF(AND(ISNUMBER(Q8),ISNUMBER(R8)),AVERAGE(Q8:R8),K8)</x:f>
        <x:v>4.3</x:v>
      </x:c>
      <x:c r="T8" s="14" t="str"/>
      <x:c r="U8" s="18" t="n">
        <x:v>40</x:v>
      </x:c>
      <x:c r="V8" s="14" t="str">
        <x:v>Uploaded Pokémon chat JSON / prior card-by-card research</x:v>
      </x:c>
      <x:c r="W8" s="14" t="str"/>
    </x:row>
    <x:row r="9">
      <x:c r="A9" s="18" t="n">
        <x:v>8</x:v>
      </x:c>
      <x:c r="B9" s="14" t="str">
        <x:v>Trainer/Item/Stadium</x:v>
      </x:c>
      <x:c r="C9" s="14" t="str">
        <x:v>Rescue Scarf</x:v>
      </x:c>
      <x:c r="D9" s="14" t="str">
        <x:v>115/124</x:v>
      </x:c>
      <x:c r="E9" s="14" t="str">
        <x:v>Dragons Exalted</x:v>
      </x:c>
      <x:c r="F9" s="18" t="n">
        <x:v>2012</x:v>
      </x:c>
      <x:c r="G9" s="14" t="str">
        <x:v>Reverse Holo</x:v>
      </x:c>
      <x:c r="H9" s="14" t="str">
        <x:v>1 of 1</x:v>
      </x:c>
      <x:c r="I9" s="16" t="n">
        <x:v>2</x:v>
      </x:c>
      <x:c r="J9" s="16" t="n">
        <x:v>3</x:v>
      </x:c>
      <x:c r="K9" s="16" t="n">
        <x:f>IF(AND(ISNUMBER(I9),ISNUMBER(J9)),AVERAGE(I9:J9),"")</x:f>
        <x:v>2.5</x:v>
      </x:c>
      <x:c r="L9" s="14" t="str">
        <x:v>$1–5</x:v>
      </x:c>
      <x:c r="M9" s="14" t="str">
        <x:v>Yes</x:v>
      </x:c>
      <x:c r="N9" s="14" t="str">
        <x:v>No</x:v>
      </x:c>
      <x:c r="O9" s="14" t="str">
        <x:v>Yes</x:v>
      </x:c>
      <x:c r="P9" s="14" t="str">
        <x:v>Clean/NM benchmark unless noted</x:v>
      </x:c>
      <x:c r="Q9" s="16" t="n">
        <x:v>2</x:v>
      </x:c>
      <x:c r="R9" s="16" t="n">
        <x:v>3</x:v>
      </x:c>
      <x:c r="S9" s="16" t="n">
        <x:f>IF(AND(ISNUMBER(Q9),ISNUMBER(R9)),AVERAGE(Q9:R9),K9)</x:f>
        <x:v>2.5</x:v>
      </x:c>
      <x:c r="T9" s="14" t="str"/>
      <x:c r="U9" s="18" t="n">
        <x:v>46</x:v>
      </x:c>
      <x:c r="V9" s="14" t="str">
        <x:v>Uploaded Pokémon chat JSON / prior card-by-card research</x:v>
      </x:c>
      <x:c r="W9" s="14" t="str"/>
    </x:row>
    <x:row r="10">
      <x:c r="A10" s="18" t="n">
        <x:v>9</x:v>
      </x:c>
      <x:c r="B10" s="14" t="str">
        <x:v>Trainer/Item/Stadium</x:v>
      </x:c>
      <x:c r="C10" s="14" t="str">
        <x:v>Recycle</x:v>
      </x:c>
      <x:c r="D10" s="14" t="str">
        <x:v>96/98</x:v>
      </x:c>
      <x:c r="E10" s="14" t="str">
        <x:v>Emerging Powers</x:v>
      </x:c>
      <x:c r="F10" s="18" t="n">
        <x:v>2011</x:v>
      </x:c>
      <x:c r="G10" s="14" t="str">
        <x:v>Reverse Holo</x:v>
      </x:c>
      <x:c r="H10" s="14" t="str">
        <x:v>1 of 1</x:v>
      </x:c>
      <x:c r="I10" s="16" t="n">
        <x:v>0.9</x:v>
      </x:c>
      <x:c r="J10" s="16" t="n">
        <x:v>1.05</x:v>
      </x:c>
      <x:c r="K10" s="16" t="n">
        <x:f>IF(AND(ISNUMBER(I10),ISNUMBER(J10)),AVERAGE(I10:J10),"")</x:f>
        <x:v>0.9750000000000001</x:v>
      </x:c>
      <x:c r="L10" s="14" t="str">
        <x:v>$1–5</x:v>
      </x:c>
      <x:c r="M10" s="14" t="str">
        <x:v>Yes</x:v>
      </x:c>
      <x:c r="N10" s="14" t="str">
        <x:v>No</x:v>
      </x:c>
      <x:c r="O10" s="14" t="str">
        <x:v>Yes</x:v>
      </x:c>
      <x:c r="P10" s="14" t="str">
        <x:v>Clean/NM benchmark unless noted</x:v>
      </x:c>
      <x:c r="Q10" s="16" t="n">
        <x:v>0.9</x:v>
      </x:c>
      <x:c r="R10" s="16" t="n">
        <x:v>1.05</x:v>
      </x:c>
      <x:c r="S10" s="16" t="n">
        <x:f>IF(AND(ISNUMBER(Q10),ISNUMBER(R10)),AVERAGE(Q10:R10),K10)</x:f>
        <x:v>0.9750000000000001</x:v>
      </x:c>
      <x:c r="T10" s="14" t="str">
        <x:v>Borderline $1.</x:v>
      </x:c>
      <x:c r="U10" s="18" t="n">
        <x:v>52</x:v>
      </x:c>
      <x:c r="V10" s="14" t="str">
        <x:v>Uploaded Pokémon chat JSON / prior card-by-card research</x:v>
      </x:c>
      <x:c r="W10" s="14" t="str"/>
    </x:row>
    <x:row r="11">
      <x:c r="A11" s="18" t="n">
        <x:v>10</x:v>
      </x:c>
      <x:c r="B11" s="14" t="str">
        <x:v>Trainer/Item/Stadium</x:v>
      </x:c>
      <x:c r="C11" s="14" t="str">
        <x:v>Rare Candy</x:v>
      </x:c>
      <x:c r="D11" s="14" t="str">
        <x:v>85/101</x:v>
      </x:c>
      <x:c r="E11" s="14" t="str">
        <x:v>Plasma Blast</x:v>
      </x:c>
      <x:c r="F11" s="18" t="n">
        <x:v>2013</x:v>
      </x:c>
      <x:c r="G11" s="14" t="str">
        <x:v>Reverse Holo</x:v>
      </x:c>
      <x:c r="H11" s="14" t="str">
        <x:v>1 of 1</x:v>
      </x:c>
      <x:c r="I11" s="16" t="n">
        <x:v>2</x:v>
      </x:c>
      <x:c r="J11" s="16" t="n">
        <x:v>3</x:v>
      </x:c>
      <x:c r="K11" s="16" t="n">
        <x:f>IF(AND(ISNUMBER(I11),ISNUMBER(J11)),AVERAGE(I11:J11),"")</x:f>
        <x:v>2.5</x:v>
      </x:c>
      <x:c r="L11" s="14" t="str">
        <x:v>$1–5</x:v>
      </x:c>
      <x:c r="M11" s="14" t="str">
        <x:v>Yes</x:v>
      </x:c>
      <x:c r="N11" s="14" t="str">
        <x:v>No</x:v>
      </x:c>
      <x:c r="O11" s="14" t="str">
        <x:v>Yes</x:v>
      </x:c>
      <x:c r="P11" s="14" t="str">
        <x:v>Clean/NM benchmark unless noted</x:v>
      </x:c>
      <x:c r="Q11" s="16" t="n">
        <x:v>2</x:v>
      </x:c>
      <x:c r="R11" s="16" t="n">
        <x:v>3</x:v>
      </x:c>
      <x:c r="S11" s="16" t="n">
        <x:f>IF(AND(ISNUMBER(Q11),ISNUMBER(R11)),AVERAGE(Q11:R11),K11)</x:f>
        <x:v>2.5</x:v>
      </x:c>
      <x:c r="T11" s="14" t="str"/>
      <x:c r="U11" s="18" t="n">
        <x:v>58</x:v>
      </x:c>
      <x:c r="V11" s="14" t="str">
        <x:v>Uploaded Pokémon chat JSON / prior card-by-card research</x:v>
      </x:c>
      <x:c r="W11" s="14" t="str"/>
    </x:row>
    <x:row r="12">
      <x:c r="A12" s="18" t="n">
        <x:v>11</x:v>
      </x:c>
      <x:c r="B12" s="14" t="str">
        <x:v>Trainer/Item/Stadium</x:v>
      </x:c>
      <x:c r="C12" s="14" t="str">
        <x:v>Giant Cape</x:v>
      </x:c>
      <x:c r="D12" s="14" t="str">
        <x:v>114/124</x:v>
      </x:c>
      <x:c r="E12" s="14" t="str">
        <x:v>Dragons Exalted</x:v>
      </x:c>
      <x:c r="F12" s="18" t="n">
        <x:v>2012</x:v>
      </x:c>
      <x:c r="G12" s="14" t="str">
        <x:v>Reverse Holo</x:v>
      </x:c>
      <x:c r="H12" s="14" t="str">
        <x:v>1 of 1</x:v>
      </x:c>
      <x:c r="I12" s="16" t="n">
        <x:v>0.5</x:v>
      </x:c>
      <x:c r="J12" s="16" t="n">
        <x:v>0.5</x:v>
      </x:c>
      <x:c r="K12" s="16" t="n">
        <x:f>IF(AND(ISNUMBER(I12),ISNUMBER(J12)),AVERAGE(I12:J12),"")</x:f>
        <x:v>0.5</x:v>
      </x:c>
      <x:c r="L12" s="14" t="str">
        <x:v>&lt;$1</x:v>
      </x:c>
      <x:c r="M12" s="14" t="str">
        <x:v>Yes</x:v>
      </x:c>
      <x:c r="N12" s="14" t="str">
        <x:v>No</x:v>
      </x:c>
      <x:c r="O12" s="14" t="str">
        <x:v>No</x:v>
      </x:c>
      <x:c r="P12" s="14" t="str">
        <x:v>Clean/NM benchmark unless noted</x:v>
      </x:c>
      <x:c r="Q12" s="16" t="n">
        <x:v>0.5</x:v>
      </x:c>
      <x:c r="R12" s="16" t="n">
        <x:v>0.5</x:v>
      </x:c>
      <x:c r="S12" s="16" t="n">
        <x:f>IF(AND(ISNUMBER(Q12),ISNUMBER(R12)),AVERAGE(Q12:R12),K12)</x:f>
        <x:v>0.5</x:v>
      </x:c>
      <x:c r="T12" s="14" t="str"/>
      <x:c r="U12" s="18" t="n">
        <x:v>64</x:v>
      </x:c>
      <x:c r="V12" s="14" t="str">
        <x:v>Uploaded Pokémon chat JSON / prior card-by-card research</x:v>
      </x:c>
      <x:c r="W12" s="14" t="str"/>
    </x:row>
    <x:row r="13">
      <x:c r="A13" s="18" t="n">
        <x:v>12</x:v>
      </x:c>
      <x:c r="B13" s="14" t="str">
        <x:v>Trainer/Item/Stadium</x:v>
      </x:c>
      <x:c r="C13" s="14" t="str">
        <x:v>Computer Search</x:v>
      </x:c>
      <x:c r="D13" s="14" t="str">
        <x:v>137/149</x:v>
      </x:c>
      <x:c r="E13" s="14" t="str">
        <x:v>Boundaries Crossed</x:v>
      </x:c>
      <x:c r="F13" s="18" t="n">
        <x:v>2012</x:v>
      </x:c>
      <x:c r="G13" s="14" t="str">
        <x:v>ACE SPEC Holo</x:v>
      </x:c>
      <x:c r="H13" s="14" t="str">
        <x:v>1 of 1</x:v>
      </x:c>
      <x:c r="I13" s="16" t="n">
        <x:v>13</x:v>
      </x:c>
      <x:c r="J13" s="16" t="n">
        <x:v>18</x:v>
      </x:c>
      <x:c r="K13" s="16" t="n">
        <x:f>IF(AND(ISNUMBER(I13),ISNUMBER(J13)),AVERAGE(I13:J13),"")</x:f>
        <x:v>15.5</x:v>
      </x:c>
      <x:c r="L13" s="14" t="str">
        <x:v>$5–20</x:v>
      </x:c>
      <x:c r="M13" s="14" t="str">
        <x:v>Yes</x:v>
      </x:c>
      <x:c r="N13" s="14" t="str">
        <x:v>Yes</x:v>
      </x:c>
      <x:c r="O13" s="14" t="str">
        <x:v>Yes</x:v>
      </x:c>
      <x:c r="P13" s="14" t="str">
        <x:v>Clean/NM benchmark unless noted</x:v>
      </x:c>
      <x:c r="Q13" s="16" t="n">
        <x:v>13</x:v>
      </x:c>
      <x:c r="R13" s="16" t="n">
        <x:v>18</x:v>
      </x:c>
      <x:c r="S13" s="16" t="n">
        <x:f>IF(AND(ISNUMBER(Q13),ISNUMBER(R13)),AVERAGE(Q13:R13),K13)</x:f>
        <x:v>15.5</x:v>
      </x:c>
      <x:c r="T13" s="14" t="str"/>
      <x:c r="U13" s="18" t="n">
        <x:v>71</x:v>
      </x:c>
      <x:c r="V13" s="14" t="str">
        <x:v>Uploaded Pokémon chat JSON / prior card-by-card research</x:v>
      </x:c>
      <x:c r="W13" s="14" t="str"/>
    </x:row>
    <x:row r="14">
      <x:c r="A14" s="18" t="n">
        <x:v>13</x:v>
      </x:c>
      <x:c r="B14" s="14" t="str">
        <x:v>Trainer/Item/Stadium</x:v>
      </x:c>
      <x:c r="C14" s="14" t="str">
        <x:v>Computer Search</x:v>
      </x:c>
      <x:c r="D14" s="14" t="str">
        <x:v>101/130</x:v>
      </x:c>
      <x:c r="E14" s="14" t="str">
        <x:v>Base Set 2</x:v>
      </x:c>
      <x:c r="F14" s="18" t="n">
        <x:v>2000</x:v>
      </x:c>
      <x:c r="G14" s="14" t="str">
        <x:v>Regular Rare</x:v>
      </x:c>
      <x:c r="H14" s="14" t="str">
        <x:v>1 of 1</x:v>
      </x:c>
      <x:c r="I14" s="16" t="n">
        <x:v>2.5</x:v>
      </x:c>
      <x:c r="J14" s="16" t="n">
        <x:v>5</x:v>
      </x:c>
      <x:c r="K14" s="16" t="n">
        <x:f>IF(AND(ISNUMBER(I14),ISNUMBER(J14)),AVERAGE(I14:J14),"")</x:f>
        <x:v>3.75</x:v>
      </x:c>
      <x:c r="L14" s="14" t="str">
        <x:v>$1–5</x:v>
      </x:c>
      <x:c r="M14" s="14" t="str">
        <x:v>Yes</x:v>
      </x:c>
      <x:c r="N14" s="14" t="str">
        <x:v>No</x:v>
      </x:c>
      <x:c r="O14" s="14" t="str">
        <x:v>Yes</x:v>
      </x:c>
      <x:c r="P14" s="14" t="str">
        <x:v>Clean/NM benchmark unless noted</x:v>
      </x:c>
      <x:c r="Q14" s="16" t="n">
        <x:v>2.5</x:v>
      </x:c>
      <x:c r="R14" s="16" t="n">
        <x:v>5</x:v>
      </x:c>
      <x:c r="S14" s="16" t="n">
        <x:f>IF(AND(ISNUMBER(Q14),ISNUMBER(R14)),AVERAGE(Q14:R14),K14)</x:f>
        <x:v>3.75</x:v>
      </x:c>
      <x:c r="T14" s="14" t="str"/>
      <x:c r="U14" s="18" t="n">
        <x:v>80</x:v>
      </x:c>
      <x:c r="V14" s="14" t="str">
        <x:v>Uploaded Pokémon chat JSON / prior card-by-card research</x:v>
      </x:c>
      <x:c r="W14" s="14" t="str"/>
    </x:row>
    <x:row r="15">
      <x:c r="A15" s="18" t="n">
        <x:v>14</x:v>
      </x:c>
      <x:c r="B15" s="14" t="str">
        <x:v>Trainer/Item/Stadium</x:v>
      </x:c>
      <x:c r="C15" s="14" t="str">
        <x:v>Cover Fossil</x:v>
      </x:c>
      <x:c r="D15" s="14" t="str">
        <x:v>90/101</x:v>
      </x:c>
      <x:c r="E15" s="14" t="str">
        <x:v>Noble Victories</x:v>
      </x:c>
      <x:c r="F15" s="18" t="n">
        <x:v>2011</x:v>
      </x:c>
      <x:c r="G15" s="14" t="str">
        <x:v>Reverse Holo</x:v>
      </x:c>
      <x:c r="H15" s="14" t="str">
        <x:v>1 of 1</x:v>
      </x:c>
      <x:c r="I15" s="16" t="n">
        <x:v>0.5</x:v>
      </x:c>
      <x:c r="J15" s="16" t="n">
        <x:v>0.99</x:v>
      </x:c>
      <x:c r="K15" s="16" t="n">
        <x:f>IF(AND(ISNUMBER(I15),ISNUMBER(J15)),AVERAGE(I15:J15),"")</x:f>
        <x:v>0.745</x:v>
      </x:c>
      <x:c r="L15" s="14" t="str">
        <x:v>&lt;$1</x:v>
      </x:c>
      <x:c r="M15" s="14" t="str">
        <x:v>Yes</x:v>
      </x:c>
      <x:c r="N15" s="14" t="str">
        <x:v>No</x:v>
      </x:c>
      <x:c r="O15" s="14" t="str">
        <x:v>No</x:v>
      </x:c>
      <x:c r="P15" s="14" t="str">
        <x:v>Clean/NM benchmark unless noted</x:v>
      </x:c>
      <x:c r="Q15" s="16" t="n">
        <x:v>0.5</x:v>
      </x:c>
      <x:c r="R15" s="16" t="n">
        <x:v>0.99</x:v>
      </x:c>
      <x:c r="S15" s="16" t="n">
        <x:f>IF(AND(ISNUMBER(Q15),ISNUMBER(R15)),AVERAGE(Q15:R15),K15)</x:f>
        <x:v>0.745</x:v>
      </x:c>
      <x:c r="T15" s="14" t="str"/>
      <x:c r="U15" s="18" t="n">
        <x:v>86</x:v>
      </x:c>
      <x:c r="V15" s="14" t="str">
        <x:v>Uploaded Pokémon chat JSON / prior card-by-card research</x:v>
      </x:c>
      <x:c r="W15" s="14" t="str"/>
    </x:row>
    <x:row r="16">
      <x:c r="A16" s="18" t="n">
        <x:v>15</x:v>
      </x:c>
      <x:c r="B16" s="14" t="str">
        <x:v>Trainer/Item/Stadium</x:v>
      </x:c>
      <x:c r="C16" s="14" t="str">
        <x:v>Crystal Edge</x:v>
      </x:c>
      <x:c r="D16" s="14" t="str">
        <x:v>138/149</x:v>
      </x:c>
      <x:c r="E16" s="14" t="str">
        <x:v>Boundaries Crossed</x:v>
      </x:c>
      <x:c r="F16" s="18" t="n">
        <x:v>2012</x:v>
      </x:c>
      <x:c r="G16" s="14" t="str">
        <x:v>ACE SPEC Holo</x:v>
      </x:c>
      <x:c r="H16" s="14" t="str">
        <x:v>1 of 1</x:v>
      </x:c>
      <x:c r="I16" s="16" t="n">
        <x:v>2.5</x:v>
      </x:c>
      <x:c r="J16" s="16" t="n">
        <x:v>3.5</x:v>
      </x:c>
      <x:c r="K16" s="16" t="n">
        <x:f>IF(AND(ISNUMBER(I16),ISNUMBER(J16)),AVERAGE(I16:J16),"")</x:f>
        <x:v>3</x:v>
      </x:c>
      <x:c r="L16" s="14" t="str">
        <x:v>$1–5</x:v>
      </x:c>
      <x:c r="M16" s="14" t="str">
        <x:v>Yes</x:v>
      </x:c>
      <x:c r="N16" s="14" t="str">
        <x:v>No</x:v>
      </x:c>
      <x:c r="O16" s="14" t="str">
        <x:v>Yes</x:v>
      </x:c>
      <x:c r="P16" s="14" t="str">
        <x:v>Clean/NM benchmark unless noted</x:v>
      </x:c>
      <x:c r="Q16" s="16" t="n">
        <x:v>2.5</x:v>
      </x:c>
      <x:c r="R16" s="16" t="n">
        <x:v>3.5</x:v>
      </x:c>
      <x:c r="S16" s="16" t="n">
        <x:f>IF(AND(ISNUMBER(Q16),ISNUMBER(R16)),AVERAGE(Q16:R16),K16)</x:f>
        <x:v>3</x:v>
      </x:c>
      <x:c r="T16" s="14" t="str"/>
      <x:c r="U16" s="18" t="n">
        <x:v>92</x:v>
      </x:c>
      <x:c r="V16" s="14" t="str">
        <x:v>Uploaded Pokémon chat JSON / prior card-by-card research</x:v>
      </x:c>
      <x:c r="W16" s="14" t="str"/>
    </x:row>
    <x:row r="17">
      <x:c r="A17" s="18" t="n">
        <x:v>16</x:v>
      </x:c>
      <x:c r="B17" s="14" t="str">
        <x:v>Trainer/Item/Stadium</x:v>
      </x:c>
      <x:c r="C17" s="14" t="str">
        <x:v>Crystal Shard</x:v>
      </x:c>
      <x:c r="D17" s="14" t="str">
        <x:v>76/100</x:v>
      </x:c>
      <x:c r="E17" s="14" t="str">
        <x:v>EX Crystal Guardians</x:v>
      </x:c>
      <x:c r="F17" s="18" t="n">
        <x:v>2006</x:v>
      </x:c>
      <x:c r="G17" s="14" t="str">
        <x:v>Regular</x:v>
      </x:c>
      <x:c r="H17" s="14" t="str">
        <x:v>1 of 1</x:v>
      </x:c>
      <x:c r="I17" s="16" t="n">
        <x:v>0.4</x:v>
      </x:c>
      <x:c r="J17" s="16" t="n">
        <x:v>0.5</x:v>
      </x:c>
      <x:c r="K17" s="16" t="n">
        <x:f>IF(AND(ISNUMBER(I17),ISNUMBER(J17)),AVERAGE(I17:J17),"")</x:f>
        <x:v>0.45</x:v>
      </x:c>
      <x:c r="L17" s="14" t="str">
        <x:v>&lt;$1</x:v>
      </x:c>
      <x:c r="M17" s="14" t="str">
        <x:v>No</x:v>
      </x:c>
      <x:c r="N17" s="14" t="str">
        <x:v>No</x:v>
      </x:c>
      <x:c r="O17" s="14" t="str">
        <x:v>No</x:v>
      </x:c>
      <x:c r="P17" s="14" t="str">
        <x:v>Clean/NM benchmark unless noted</x:v>
      </x:c>
      <x:c r="Q17" s="16" t="n">
        <x:v>0.4</x:v>
      </x:c>
      <x:c r="R17" s="16" t="n">
        <x:v>0.5</x:v>
      </x:c>
      <x:c r="S17" s="16" t="n">
        <x:f>IF(AND(ISNUMBER(Q17),ISNUMBER(R17)),AVERAGE(Q17:R17),K17)</x:f>
        <x:v>0.45</x:v>
      </x:c>
      <x:c r="T17" s="14" t="str">
        <x:v>If reverse holo, value would be materially higher; user did not say reverse.</x:v>
      </x:c>
      <x:c r="U17" s="18" t="n">
        <x:v>98</x:v>
      </x:c>
      <x:c r="V17" s="14" t="str">
        <x:v>Uploaded Pokémon chat JSON / prior card-by-card research</x:v>
      </x:c>
      <x:c r="W17" s="14" t="str"/>
    </x:row>
    <x:row r="18">
      <x:c r="A18" s="18" t="n">
        <x:v>17</x:v>
      </x:c>
      <x:c r="B18" s="14" t="str">
        <x:v>Trainer/Item/Stadium</x:v>
      </x:c>
      <x:c r="C18" s="14" t="str">
        <x:v>Crystal Wall</x:v>
      </x:c>
      <x:c r="D18" s="14" t="str">
        <x:v>139/149</x:v>
      </x:c>
      <x:c r="E18" s="14" t="str">
        <x:v>Boundaries Crossed</x:v>
      </x:c>
      <x:c r="F18" s="18" t="n">
        <x:v>2012</x:v>
      </x:c>
      <x:c r="G18" s="14" t="str">
        <x:v>ACE SPEC Holo</x:v>
      </x:c>
      <x:c r="H18" s="14" t="str">
        <x:v>1 of 1</x:v>
      </x:c>
      <x:c r="I18" s="16" t="n">
        <x:v>2.6</x:v>
      </x:c>
      <x:c r="J18" s="16" t="n">
        <x:v>3</x:v>
      </x:c>
      <x:c r="K18" s="16" t="n">
        <x:f>IF(AND(ISNUMBER(I18),ISNUMBER(J18)),AVERAGE(I18:J18),"")</x:f>
        <x:v>2.8</x:v>
      </x:c>
      <x:c r="L18" s="14" t="str">
        <x:v>$1–5</x:v>
      </x:c>
      <x:c r="M18" s="14" t="str">
        <x:v>Yes</x:v>
      </x:c>
      <x:c r="N18" s="14" t="str">
        <x:v>No</x:v>
      </x:c>
      <x:c r="O18" s="14" t="str">
        <x:v>Yes</x:v>
      </x:c>
      <x:c r="P18" s="14" t="str">
        <x:v>Clean/NM benchmark unless noted</x:v>
      </x:c>
      <x:c r="Q18" s="16" t="n">
        <x:v>2.6</x:v>
      </x:c>
      <x:c r="R18" s="16" t="n">
        <x:v>3</x:v>
      </x:c>
      <x:c r="S18" s="16" t="n">
        <x:f>IF(AND(ISNUMBER(Q18),ISNUMBER(R18)),AVERAGE(Q18:R18),K18)</x:f>
        <x:v>2.8</x:v>
      </x:c>
      <x:c r="T18" s="14" t="str"/>
      <x:c r="U18" s="18" t="n">
        <x:v>104</x:v>
      </x:c>
      <x:c r="V18" s="14" t="str">
        <x:v>Uploaded Pokémon chat JSON / prior card-by-card research</x:v>
      </x:c>
      <x:c r="W18" s="14" t="str"/>
    </x:row>
    <x:row r="19">
      <x:c r="A19" s="18" t="n">
        <x:v>18</x:v>
      </x:c>
      <x:c r="B19" s="14" t="str">
        <x:v>Trainer/Item/Stadium</x:v>
      </x:c>
      <x:c r="C19" s="14" t="str">
        <x:v>Energy Retrieval</x:v>
      </x:c>
      <x:c r="D19" s="14" t="str">
        <x:v>80/101</x:v>
      </x:c>
      <x:c r="E19" s="14" t="str">
        <x:v>Plasma Blast</x:v>
      </x:c>
      <x:c r="F19" s="18" t="n">
        <x:v>2013</x:v>
      </x:c>
      <x:c r="G19" s="14" t="str">
        <x:v>Reverse Holo</x:v>
      </x:c>
      <x:c r="H19" s="14" t="str">
        <x:v>1 of 1</x:v>
      </x:c>
      <x:c r="I19" s="16" t="n">
        <x:v>0.6</x:v>
      </x:c>
      <x:c r="J19" s="16" t="n">
        <x:v>1</x:v>
      </x:c>
      <x:c r="K19" s="16" t="n">
        <x:f>IF(AND(ISNUMBER(I19),ISNUMBER(J19)),AVERAGE(I19:J19),"")</x:f>
        <x:v>0.8</x:v>
      </x:c>
      <x:c r="L19" s="14" t="str">
        <x:v>&lt;$1</x:v>
      </x:c>
      <x:c r="M19" s="14" t="str">
        <x:v>Yes</x:v>
      </x:c>
      <x:c r="N19" s="14" t="str">
        <x:v>No</x:v>
      </x:c>
      <x:c r="O19" s="14" t="str">
        <x:v>No</x:v>
      </x:c>
      <x:c r="P19" s="14" t="str">
        <x:v>Clean/NM benchmark unless noted</x:v>
      </x:c>
      <x:c r="Q19" s="16" t="n">
        <x:v>0.6</x:v>
      </x:c>
      <x:c r="R19" s="16" t="n">
        <x:v>1</x:v>
      </x:c>
      <x:c r="S19" s="16" t="n">
        <x:f>IF(AND(ISNUMBER(Q19),ISNUMBER(R19)),AVERAGE(Q19:R19),K19)</x:f>
        <x:v>0.8</x:v>
      </x:c>
      <x:c r="T19" s="14" t="str"/>
      <x:c r="U19" s="18" t="n">
        <x:v>110</x:v>
      </x:c>
      <x:c r="V19" s="14" t="str">
        <x:v>Uploaded Pokémon chat JSON / prior card-by-card research</x:v>
      </x:c>
      <x:c r="W19" s="14" t="str"/>
    </x:row>
    <x:row r="20">
      <x:c r="A20" s="18" t="n">
        <x:v>19</x:v>
      </x:c>
      <x:c r="B20" s="14" t="str">
        <x:v>Trainer/Item/Stadium</x:v>
      </x:c>
      <x:c r="C20" s="14" t="str">
        <x:v>Energy Removal</x:v>
      </x:c>
      <x:c r="D20" s="14" t="str">
        <x:v>92/102</x:v>
      </x:c>
      <x:c r="E20" s="14" t="str">
        <x:v>Base Set</x:v>
      </x:c>
      <x:c r="F20" s="18" t="n">
        <x:v>1999</x:v>
      </x:c>
      <x:c r="G20" s="14" t="str">
        <x:v>Unlimited Regular</x:v>
      </x:c>
      <x:c r="H20" s="14" t="str">
        <x:v>1 of 1</x:v>
      </x:c>
      <x:c r="I20" s="16" t="n">
        <x:v>0.5</x:v>
      </x:c>
      <x:c r="J20" s="16" t="n">
        <x:v>0.54</x:v>
      </x:c>
      <x:c r="K20" s="16" t="n">
        <x:f>IF(AND(ISNUMBER(I20),ISNUMBER(J20)),AVERAGE(I20:J20),"")</x:f>
        <x:v>0.52</x:v>
      </x:c>
      <x:c r="L20" s="14" t="str">
        <x:v>&lt;$1</x:v>
      </x:c>
      <x:c r="M20" s="14" t="str">
        <x:v>No</x:v>
      </x:c>
      <x:c r="N20" s="14" t="str">
        <x:v>No</x:v>
      </x:c>
      <x:c r="O20" s="14" t="str">
        <x:v>No</x:v>
      </x:c>
      <x:c r="P20" s="14" t="str">
        <x:v>Clean/NM benchmark unless noted</x:v>
      </x:c>
      <x:c r="Q20" s="16" t="n">
        <x:v>0.5</x:v>
      </x:c>
      <x:c r="R20" s="16" t="n">
        <x:v>0.54</x:v>
      </x:c>
      <x:c r="S20" s="16" t="n">
        <x:f>IF(AND(ISNUMBER(Q20),ISNUMBER(R20)),AVERAGE(Q20:R20),K20)</x:f>
        <x:v>0.52</x:v>
      </x:c>
      <x:c r="T20" s="14" t="str"/>
      <x:c r="U20" s="18" t="n">
        <x:v>116</x:v>
      </x:c>
      <x:c r="V20" s="14" t="str">
        <x:v>Uploaded Pokémon chat JSON / prior card-by-card research</x:v>
      </x:c>
      <x:c r="W20" s="14" t="str"/>
    </x:row>
    <x:row r="21">
      <x:c r="A21" s="18" t="n">
        <x:v>20</x:v>
      </x:c>
      <x:c r="B21" s="14" t="str">
        <x:v>Trainer/Item/Stadium</x:v>
      </x:c>
      <x:c r="C21" s="14" t="str">
        <x:v>Energy Search</x:v>
      </x:c>
      <x:c r="D21" s="14" t="str">
        <x:v>128/149</x:v>
      </x:c>
      <x:c r="E21" s="14" t="str">
        <x:v>Boundaries Crossed</x:v>
      </x:c>
      <x:c r="F21" s="18" t="n">
        <x:v>2012</x:v>
      </x:c>
      <x:c r="G21" s="14" t="str">
        <x:v>Reverse Holo</x:v>
      </x:c>
      <x:c r="H21" s="14" t="str">
        <x:v>1 of 1</x:v>
      </x:c>
      <x:c r="I21" s="16" t="n">
        <x:v>1.49</x:v>
      </x:c>
      <x:c r="J21" s="16" t="n">
        <x:v>1.5</x:v>
      </x:c>
      <x:c r="K21" s="16" t="n">
        <x:f>IF(AND(ISNUMBER(I21),ISNUMBER(J21)),AVERAGE(I21:J21),"")</x:f>
        <x:v>1.495</x:v>
      </x:c>
      <x:c r="L21" s="14" t="str">
        <x:v>$1–5</x:v>
      </x:c>
      <x:c r="M21" s="14" t="str">
        <x:v>Yes</x:v>
      </x:c>
      <x:c r="N21" s="14" t="str">
        <x:v>No</x:v>
      </x:c>
      <x:c r="O21" s="14" t="str">
        <x:v>Yes</x:v>
      </x:c>
      <x:c r="P21" s="14" t="str">
        <x:v>Clean/NM benchmark unless noted</x:v>
      </x:c>
      <x:c r="Q21" s="16" t="n">
        <x:v>1.49</x:v>
      </x:c>
      <x:c r="R21" s="16" t="n">
        <x:v>1.5</x:v>
      </x:c>
      <x:c r="S21" s="16" t="n">
        <x:f>IF(AND(ISNUMBER(Q21),ISNUMBER(R21)),AVERAGE(Q21:R21),K21)</x:f>
        <x:v>1.495</x:v>
      </x:c>
      <x:c r="T21" s="14" t="str"/>
      <x:c r="U21" s="18" t="n">
        <x:v>122</x:v>
      </x:c>
      <x:c r="V21" s="14" t="str">
        <x:v>Uploaded Pokémon chat JSON / prior card-by-card research</x:v>
      </x:c>
      <x:c r="W21" s="14" t="str"/>
    </x:row>
    <x:row r="22">
      <x:c r="A22" s="18" t="n">
        <x:v>21</x:v>
      </x:c>
      <x:c r="B22" s="14" t="str">
        <x:v>Trainer/Item/Stadium</x:v>
      </x:c>
      <x:c r="C22" s="14" t="str">
        <x:v>Energy Switch</x:v>
      </x:c>
      <x:c r="D22" s="14" t="str">
        <x:v>94/114</x:v>
      </x:c>
      <x:c r="E22" s="14" t="str">
        <x:v>Black &amp; White</x:v>
      </x:c>
      <x:c r="F22" s="18" t="n">
        <x:v>2011</x:v>
      </x:c>
      <x:c r="G22" s="14" t="str">
        <x:v>Reverse Holo</x:v>
      </x:c>
      <x:c r="H22" s="14" t="str">
        <x:v>1 of 1</x:v>
      </x:c>
      <x:c r="I22" s="16" t="n">
        <x:v>0.75</x:v>
      </x:c>
      <x:c r="J22" s="16" t="n">
        <x:v>1</x:v>
      </x:c>
      <x:c r="K22" s="16" t="n">
        <x:f>IF(AND(ISNUMBER(I22),ISNUMBER(J22)),AVERAGE(I22:J22),"")</x:f>
        <x:v>0.875</x:v>
      </x:c>
      <x:c r="L22" s="14" t="str">
        <x:v>&lt;$1</x:v>
      </x:c>
      <x:c r="M22" s="14" t="str">
        <x:v>Yes</x:v>
      </x:c>
      <x:c r="N22" s="14" t="str">
        <x:v>No</x:v>
      </x:c>
      <x:c r="O22" s="14" t="str">
        <x:v>No</x:v>
      </x:c>
      <x:c r="P22" s="14" t="str">
        <x:v>Clean/NM benchmark unless noted</x:v>
      </x:c>
      <x:c r="Q22" s="16" t="n">
        <x:v>0.75</x:v>
      </x:c>
      <x:c r="R22" s="16" t="n">
        <x:v>1</x:v>
      </x:c>
      <x:c r="S22" s="16" t="n">
        <x:f>IF(AND(ISNUMBER(Q22),ISNUMBER(R22)),AVERAGE(Q22:R22),K22)</x:f>
        <x:v>0.875</x:v>
      </x:c>
      <x:c r="T22" s="14" t="str">
        <x:v>Corrected from regular to reverse at user index 128.</x:v>
      </x:c>
      <x:c r="U22" s="18" t="n">
        <x:v>122</x:v>
      </x:c>
      <x:c r="V22" s="14" t="str">
        <x:v>Uploaded Pokémon chat JSON / prior card-by-card research</x:v>
      </x:c>
      <x:c r="W22" s="14" t="str"/>
    </x:row>
    <x:row r="23">
      <x:c r="A23" s="18" t="n">
        <x:v>22</x:v>
      </x:c>
      <x:c r="B23" s="14" t="str">
        <x:v>Trainer/Item/Stadium</x:v>
      </x:c>
      <x:c r="C23" s="14" t="str">
        <x:v>Full Heal</x:v>
      </x:c>
      <x:c r="D23" s="14" t="str">
        <x:v>95/114</x:v>
      </x:c>
      <x:c r="E23" s="14" t="str">
        <x:v>Black &amp; White</x:v>
      </x:c>
      <x:c r="F23" s="18" t="n">
        <x:v>2011</x:v>
      </x:c>
      <x:c r="G23" s="14" t="str">
        <x:v>Reverse Holo</x:v>
      </x:c>
      <x:c r="H23" s="14" t="str">
        <x:v>1 of 1</x:v>
      </x:c>
      <x:c r="I23" s="16" t="n">
        <x:v>0.5</x:v>
      </x:c>
      <x:c r="J23" s="16" t="n">
        <x:v>0.5</x:v>
      </x:c>
      <x:c r="K23" s="16" t="n">
        <x:f>IF(AND(ISNUMBER(I23),ISNUMBER(J23)),AVERAGE(I23:J23),"")</x:f>
        <x:v>0.5</x:v>
      </x:c>
      <x:c r="L23" s="14" t="str">
        <x:v>&lt;$1</x:v>
      </x:c>
      <x:c r="M23" s="14" t="str">
        <x:v>Yes</x:v>
      </x:c>
      <x:c r="N23" s="14" t="str">
        <x:v>No</x:v>
      </x:c>
      <x:c r="O23" s="14" t="str">
        <x:v>No</x:v>
      </x:c>
      <x:c r="P23" s="14" t="str">
        <x:v>Clean/NM benchmark unless noted</x:v>
      </x:c>
      <x:c r="Q23" s="16" t="n">
        <x:v>0.5</x:v>
      </x:c>
      <x:c r="R23" s="16" t="n">
        <x:v>0.5</x:v>
      </x:c>
      <x:c r="S23" s="16" t="n">
        <x:f>IF(AND(ISNUMBER(Q23),ISNUMBER(R23)),AVERAGE(Q23:R23),K23)</x:f>
        <x:v>0.5</x:v>
      </x:c>
      <x:c r="T23" s="14" t="str"/>
      <x:c r="U23" s="18" t="n">
        <x:v>134</x:v>
      </x:c>
      <x:c r="V23" s="14" t="str">
        <x:v>Uploaded Pokémon chat JSON / prior card-by-card research</x:v>
      </x:c>
      <x:c r="W23" s="14" t="str"/>
    </x:row>
    <x:row r="24">
      <x:c r="A24" s="18" t="n">
        <x:v>23</x:v>
      </x:c>
      <x:c r="B24" s="14" t="str">
        <x:v>Trainer/Item/Stadium</x:v>
      </x:c>
      <x:c r="C24" s="14" t="str">
        <x:v>First Ticket</x:v>
      </x:c>
      <x:c r="D24" s="14" t="str">
        <x:v>19/20</x:v>
      </x:c>
      <x:c r="E24" s="14" t="str">
        <x:v>Dragon Vault</x:v>
      </x:c>
      <x:c r="F24" s="18" t="n">
        <x:v>2012</x:v>
      </x:c>
      <x:c r="G24" s="14" t="str">
        <x:v>Holo</x:v>
      </x:c>
      <x:c r="H24" s="14" t="str">
        <x:v>1 of 1</x:v>
      </x:c>
      <x:c r="I24" s="16" t="n">
        <x:v>0.84</x:v>
      </x:c>
      <x:c r="J24" s="16" t="n">
        <x:v>1.5</x:v>
      </x:c>
      <x:c r="K24" s="16" t="n">
        <x:f>IF(AND(ISNUMBER(I24),ISNUMBER(J24)),AVERAGE(I24:J24),"")</x:f>
        <x:v>1.17</x:v>
      </x:c>
      <x:c r="L24" s="14" t="str">
        <x:v>&lt;$1</x:v>
      </x:c>
      <x:c r="M24" s="14" t="str">
        <x:v>Yes</x:v>
      </x:c>
      <x:c r="N24" s="14" t="str">
        <x:v>No</x:v>
      </x:c>
      <x:c r="O24" s="14" t="str">
        <x:v>No</x:v>
      </x:c>
      <x:c r="P24" s="14" t="str">
        <x:v>Clean/NM benchmark unless noted</x:v>
      </x:c>
      <x:c r="Q24" s="16" t="n">
        <x:v>0.84</x:v>
      </x:c>
      <x:c r="R24" s="16" t="n">
        <x:v>1.5</x:v>
      </x:c>
      <x:c r="S24" s="16" t="n">
        <x:f>IF(AND(ISNUMBER(Q24),ISNUMBER(R24)),AVERAGE(Q24:R24),K24)</x:f>
        <x:v>1.17</x:v>
      </x:c>
      <x:c r="T24" s="14" t="str"/>
      <x:c r="U24" s="18" t="n">
        <x:v>140</x:v>
      </x:c>
      <x:c r="V24" s="14" t="str">
        <x:v>Uploaded Pokémon chat JSON / prior card-by-card research</x:v>
      </x:c>
      <x:c r="W24" s="14" t="str"/>
    </x:row>
    <x:row r="25">
      <x:c r="A25" s="18" t="n">
        <x:v>24</x:v>
      </x:c>
      <x:c r="B25" s="14" t="str">
        <x:v>Trainer/Item/Stadium</x:v>
      </x:c>
      <x:c r="C25" s="14" t="str">
        <x:v>Exp. Share</x:v>
      </x:c>
      <x:c r="D25" s="14" t="str">
        <x:v>87/99</x:v>
      </x:c>
      <x:c r="E25" s="14" t="str">
        <x:v>Next Destinies</x:v>
      </x:c>
      <x:c r="F25" s="18" t="n">
        <x:v>2012</x:v>
      </x:c>
      <x:c r="G25" s="14" t="str">
        <x:v>Reverse Holo</x:v>
      </x:c>
      <x:c r="H25" s="14" t="str">
        <x:v>1 of 1</x:v>
      </x:c>
      <x:c r="I25" s="16" t="n">
        <x:v>0.8</x:v>
      </x:c>
      <x:c r="J25" s="16" t="n">
        <x:v>1.25</x:v>
      </x:c>
      <x:c r="K25" s="16" t="n">
        <x:f>IF(AND(ISNUMBER(I25),ISNUMBER(J25)),AVERAGE(I25:J25),"")</x:f>
        <x:v>1.025</x:v>
      </x:c>
      <x:c r="L25" s="14" t="str">
        <x:v>&lt;$1</x:v>
      </x:c>
      <x:c r="M25" s="14" t="str">
        <x:v>Yes</x:v>
      </x:c>
      <x:c r="N25" s="14" t="str">
        <x:v>No</x:v>
      </x:c>
      <x:c r="O25" s="14" t="str">
        <x:v>No</x:v>
      </x:c>
      <x:c r="P25" s="14" t="str">
        <x:v>Clean/NM benchmark unless noted</x:v>
      </x:c>
      <x:c r="Q25" s="16" t="n">
        <x:v>0.8</x:v>
      </x:c>
      <x:c r="R25" s="16" t="n">
        <x:v>1.25</x:v>
      </x:c>
      <x:c r="S25" s="16" t="n">
        <x:f>IF(AND(ISNUMBER(Q25),ISNUMBER(R25)),AVERAGE(Q25:R25),K25)</x:f>
        <x:v>1.025</x:v>
      </x:c>
      <x:c r="T25" s="14" t="str"/>
      <x:c r="U25" s="18" t="n">
        <x:v>146</x:v>
      </x:c>
      <x:c r="V25" s="14" t="str">
        <x:v>Uploaded Pokémon chat JSON / prior card-by-card research</x:v>
      </x:c>
      <x:c r="W25" s="14" t="str"/>
    </x:row>
    <x:row r="26">
      <x:c r="A26" s="18" t="n">
        <x:v>25</x:v>
      </x:c>
      <x:c r="B26" s="14" t="str">
        <x:v>Trainer/Item/Stadium</x:v>
      </x:c>
      <x:c r="C26" s="14" t="str">
        <x:v>Gold Potion</x:v>
      </x:c>
      <x:c r="D26" s="14" t="str">
        <x:v>140/149</x:v>
      </x:c>
      <x:c r="E26" s="14" t="str">
        <x:v>Boundaries Crossed</x:v>
      </x:c>
      <x:c r="F26" s="18" t="n">
        <x:v>2012</x:v>
      </x:c>
      <x:c r="G26" s="14" t="str">
        <x:v>ACE SPEC Holo</x:v>
      </x:c>
      <x:c r="H26" s="14" t="str">
        <x:v>1 of 1</x:v>
      </x:c>
      <x:c r="I26" s="16" t="n">
        <x:v>7.47</x:v>
      </x:c>
      <x:c r="J26" s="16" t="n">
        <x:v>7.62</x:v>
      </x:c>
      <x:c r="K26" s="16" t="n">
        <x:f>IF(AND(ISNUMBER(I26),ISNUMBER(J26)),AVERAGE(I26:J26),"")</x:f>
        <x:v>7.545</x:v>
      </x:c>
      <x:c r="L26" s="14" t="str">
        <x:v>$5–20</x:v>
      </x:c>
      <x:c r="M26" s="14" t="str">
        <x:v>Yes</x:v>
      </x:c>
      <x:c r="N26" s="14" t="str">
        <x:v>Yes</x:v>
      </x:c>
      <x:c r="O26" s="14" t="str">
        <x:v>Yes</x:v>
      </x:c>
      <x:c r="P26" s="14" t="str">
        <x:v>Clean/NM benchmark unless noted</x:v>
      </x:c>
      <x:c r="Q26" s="16" t="n">
        <x:v>7.47</x:v>
      </x:c>
      <x:c r="R26" s="16" t="n">
        <x:v>7.62</x:v>
      </x:c>
      <x:c r="S26" s="16" t="n">
        <x:f>IF(AND(ISNUMBER(Q26),ISNUMBER(R26)),AVERAGE(Q26:R26),K26)</x:f>
        <x:v>7.545</x:v>
      </x:c>
      <x:c r="T26" s="14" t="str">
        <x:v>Old chat recommended top loader despite clean raw below later $10 rule; retained historical call.</x:v>
      </x:c>
      <x:c r="U26" s="18" t="n">
        <x:v>152</x:v>
      </x:c>
      <x:c r="V26" s="14" t="str">
        <x:v>Uploaded Pokémon chat JSON / prior card-by-card research</x:v>
      </x:c>
      <x:c r="W26" s="14" t="str"/>
    </x:row>
    <x:row r="27">
      <x:c r="A27" s="18" t="n">
        <x:v>26</x:v>
      </x:c>
      <x:c r="B27" s="14" t="str">
        <x:v>Trainer/Item/Stadium</x:v>
      </x:c>
      <x:c r="C27" s="14" t="str">
        <x:v>Good Manners</x:v>
      </x:c>
      <x:c r="D27" s="14" t="str">
        <x:v>111/132</x:v>
      </x:c>
      <x:c r="E27" s="14" t="str">
        <x:v>Gym Heroes</x:v>
      </x:c>
      <x:c r="F27" s="18" t="n">
        <x:v>2000</x:v>
      </x:c>
      <x:c r="G27" s="14" t="str">
        <x:v>Unlimited Regular</x:v>
      </x:c>
      <x:c r="H27" s="14" t="str">
        <x:v>1 of 1</x:v>
      </x:c>
      <x:c r="I27" s="16" t="n">
        <x:v>3.5</x:v>
      </x:c>
      <x:c r="J27" s="16" t="n">
        <x:v>5.5</x:v>
      </x:c>
      <x:c r="K27" s="16" t="n">
        <x:f>IF(AND(ISNUMBER(I27),ISNUMBER(J27)),AVERAGE(I27:J27),"")</x:f>
        <x:v>4.5</x:v>
      </x:c>
      <x:c r="L27" s="14" t="str">
        <x:v>$1–5</x:v>
      </x:c>
      <x:c r="M27" s="14" t="str">
        <x:v>Yes</x:v>
      </x:c>
      <x:c r="N27" s="14" t="str">
        <x:v>No</x:v>
      </x:c>
      <x:c r="O27" s="14" t="str">
        <x:v>Yes</x:v>
      </x:c>
      <x:c r="P27" s="14" t="str">
        <x:v>Clean/NM benchmark unless noted</x:v>
      </x:c>
      <x:c r="Q27" s="16" t="n">
        <x:v>3.5</x:v>
      </x:c>
      <x:c r="R27" s="16" t="n">
        <x:v>5.5</x:v>
      </x:c>
      <x:c r="S27" s="16" t="n">
        <x:f>IF(AND(ISNUMBER(Q27),ISNUMBER(R27)),AVERAGE(Q27:R27),K27)</x:f>
        <x:v>4.5</x:v>
      </x:c>
      <x:c r="T27" s="14" t="str"/>
      <x:c r="U27" s="18" t="n">
        <x:v>158</x:v>
      </x:c>
      <x:c r="V27" s="14" t="str">
        <x:v>Uploaded Pokémon chat JSON / prior card-by-card research</x:v>
      </x:c>
      <x:c r="W27" s="14" t="str"/>
    </x:row>
    <x:row r="28">
      <x:c r="A28" s="18" t="n">
        <x:v>27</x:v>
      </x:c>
      <x:c r="B28" s="14" t="str">
        <x:v>Trainer/Item/Stadium</x:v>
      </x:c>
      <x:c r="C28" s="14" t="str">
        <x:v>Here Comes Team Rocket!</x:v>
      </x:c>
      <x:c r="D28" s="14" t="str">
        <x:v>15/82</x:v>
      </x:c>
      <x:c r="E28" s="14" t="str">
        <x:v>Team Rocket</x:v>
      </x:c>
      <x:c r="F28" s="18" t="n">
        <x:v>2000</x:v>
      </x:c>
      <x:c r="G28" s="14" t="str">
        <x:v>Holo Rare Unlimited</x:v>
      </x:c>
      <x:c r="H28" s="14" t="str">
        <x:v>1 of 1</x:v>
      </x:c>
      <x:c r="I28" s="16" t="n">
        <x:v>20</x:v>
      </x:c>
      <x:c r="J28" s="16" t="n">
        <x:v>25</x:v>
      </x:c>
      <x:c r="K28" s="16" t="n">
        <x:f>IF(AND(ISNUMBER(I28),ISNUMBER(J28)),AVERAGE(I28:J28),"")</x:f>
        <x:v>22.5</x:v>
      </x:c>
      <x:c r="L28" s="14" t="str">
        <x:v>$20+</x:v>
      </x:c>
      <x:c r="M28" s="14" t="str">
        <x:v>Yes</x:v>
      </x:c>
      <x:c r="N28" s="14" t="str">
        <x:v>Yes</x:v>
      </x:c>
      <x:c r="O28" s="14" t="str">
        <x:v>Yes</x:v>
      </x:c>
      <x:c r="P28" s="14" t="str">
        <x:v>Clean/NM benchmark unless noted</x:v>
      </x:c>
      <x:c r="Q28" s="16" t="n">
        <x:v>20</x:v>
      </x:c>
      <x:c r="R28" s="16" t="n">
        <x:v>25</x:v>
      </x:c>
      <x:c r="S28" s="16" t="n">
        <x:f>IF(AND(ISNUMBER(Q28),ISNUMBER(R28)),AVERAGE(Q28:R28),K28)</x:f>
        <x:v>22.5</x:v>
      </x:c>
      <x:c r="T28" s="14" t="str"/>
      <x:c r="U28" s="18" t="n">
        <x:v>164</x:v>
      </x:c>
      <x:c r="V28" s="14" t="str">
        <x:v>Uploaded Pokémon chat JSON / prior card-by-card research</x:v>
      </x:c>
      <x:c r="W28" s="14" t="str"/>
    </x:row>
    <x:row r="29">
      <x:c r="A29" s="18" t="n">
        <x:v>28</x:v>
      </x:c>
      <x:c r="B29" s="14" t="str">
        <x:v>Trainer/Item/Stadium</x:v>
      </x:c>
      <x:c r="C29" s="14" t="str">
        <x:v>Gust of Wind</x:v>
      </x:c>
      <x:c r="D29" s="14" t="str">
        <x:v>120/130</x:v>
      </x:c>
      <x:c r="E29" s="14" t="str">
        <x:v>Base Set 2</x:v>
      </x:c>
      <x:c r="F29" s="18" t="n">
        <x:v>2000</x:v>
      </x:c>
      <x:c r="G29" s="14" t="str">
        <x:v>Regular</x:v>
      </x:c>
      <x:c r="H29" s="14" t="str">
        <x:v>1 of 1</x:v>
      </x:c>
      <x:c r="I29" s="16" t="n">
        <x:v>0.4</x:v>
      </x:c>
      <x:c r="J29" s="16" t="n">
        <x:v>0.75</x:v>
      </x:c>
      <x:c r="K29" s="16" t="n">
        <x:f>IF(AND(ISNUMBER(I29),ISNUMBER(J29)),AVERAGE(I29:J29),"")</x:f>
        <x:v>0.575</x:v>
      </x:c>
      <x:c r="L29" s="14" t="str">
        <x:v>&lt;$1</x:v>
      </x:c>
      <x:c r="M29" s="14" t="str">
        <x:v>No</x:v>
      </x:c>
      <x:c r="N29" s="14" t="str">
        <x:v>No</x:v>
      </x:c>
      <x:c r="O29" s="14" t="str">
        <x:v>No</x:v>
      </x:c>
      <x:c r="P29" s="14" t="str">
        <x:v>Clean/NM benchmark unless noted</x:v>
      </x:c>
      <x:c r="Q29" s="16" t="n">
        <x:v>0.4</x:v>
      </x:c>
      <x:c r="R29" s="16" t="n">
        <x:v>0.75</x:v>
      </x:c>
      <x:c r="S29" s="16" t="n">
        <x:f>IF(AND(ISNUMBER(Q29),ISNUMBER(R29)),AVERAGE(Q29:R29),K29)</x:f>
        <x:v>0.575</x:v>
      </x:c>
      <x:c r="T29" s="14" t="str"/>
      <x:c r="U29" s="18" t="n">
        <x:v>170</x:v>
      </x:c>
      <x:c r="V29" s="14" t="str">
        <x:v>Uploaded Pokémon chat JSON / prior card-by-card research</x:v>
      </x:c>
      <x:c r="W29" s="14" t="str"/>
    </x:row>
    <x:row r="30">
      <x:c r="A30" s="18" t="n">
        <x:v>29</x:v>
      </x:c>
      <x:c r="B30" s="14" t="str">
        <x:v>Trainer/Item/Stadium</x:v>
      </x:c>
      <x:c r="C30" s="14" t="str">
        <x:v>Hypnotoxic Laser</x:v>
      </x:c>
      <x:c r="D30" s="14" t="str">
        <x:v>123/135</x:v>
      </x:c>
      <x:c r="E30" s="14" t="str">
        <x:v>Plasma Storm</x:v>
      </x:c>
      <x:c r="F30" s="18" t="n">
        <x:v>2013</x:v>
      </x:c>
      <x:c r="G30" s="14" t="str">
        <x:v>Team Plasma Regular</x:v>
      </x:c>
      <x:c r="H30" s="14" t="str">
        <x:v>1 of 1</x:v>
      </x:c>
      <x:c r="I30" s="16" t="n">
        <x:v>2.25</x:v>
      </x:c>
      <x:c r="J30" s="16" t="n">
        <x:v>2.5</x:v>
      </x:c>
      <x:c r="K30" s="16" t="n">
        <x:f>IF(AND(ISNUMBER(I30),ISNUMBER(J30)),AVERAGE(I30:J30),"")</x:f>
        <x:v>2.375</x:v>
      </x:c>
      <x:c r="L30" s="14" t="str">
        <x:v>$1–5</x:v>
      </x:c>
      <x:c r="M30" s="14" t="str">
        <x:v>Yes</x:v>
      </x:c>
      <x:c r="N30" s="14" t="str">
        <x:v>No</x:v>
      </x:c>
      <x:c r="O30" s="14" t="str">
        <x:v>Yes</x:v>
      </x:c>
      <x:c r="P30" s="14" t="str">
        <x:v>Clean/NM benchmark unless noted</x:v>
      </x:c>
      <x:c r="Q30" s="16" t="n">
        <x:v>2.25</x:v>
      </x:c>
      <x:c r="R30" s="16" t="n">
        <x:v>2.5</x:v>
      </x:c>
      <x:c r="S30" s="16" t="n">
        <x:f>IF(AND(ISNUMBER(Q30),ISNUMBER(R30)),AVERAGE(Q30:R30),K30)</x:f>
        <x:v>2.375</x:v>
      </x:c>
      <x:c r="T30" s="14" t="str"/>
      <x:c r="U30" s="18" t="n">
        <x:v>176</x:v>
      </x:c>
      <x:c r="V30" s="14" t="str">
        <x:v>Uploaded Pokémon chat JSON / prior card-by-card research</x:v>
      </x:c>
      <x:c r="W30" s="14" t="str"/>
    </x:row>
    <x:row r="31">
      <x:c r="A31" s="18" t="n">
        <x:v>30</x:v>
      </x:c>
      <x:c r="B31" s="14" t="str">
        <x:v>Trainer/Item/Stadium</x:v>
      </x:c>
      <x:c r="C31" s="14" t="str">
        <x:v>Master Ball</x:v>
      </x:c>
      <x:c r="D31" s="14" t="str">
        <x:v>116/132</x:v>
      </x:c>
      <x:c r="E31" s="14" t="str">
        <x:v>Gym Challenge</x:v>
      </x:c>
      <x:c r="F31" s="18" t="n">
        <x:v>2000</x:v>
      </x:c>
      <x:c r="G31" s="14" t="str">
        <x:v>Unlimited Regular</x:v>
      </x:c>
      <x:c r="H31" s="14" t="str">
        <x:v>1 of 1</x:v>
      </x:c>
      <x:c r="I31" s="16" t="n">
        <x:v>3</x:v>
      </x:c>
      <x:c r="J31" s="16" t="n">
        <x:v>6</x:v>
      </x:c>
      <x:c r="K31" s="16" t="n">
        <x:f>IF(AND(ISNUMBER(I31),ISNUMBER(J31)),AVERAGE(I31:J31),"")</x:f>
        <x:v>4.5</x:v>
      </x:c>
      <x:c r="L31" s="14" t="str">
        <x:v>$1–5</x:v>
      </x:c>
      <x:c r="M31" s="14" t="str">
        <x:v>Yes</x:v>
      </x:c>
      <x:c r="N31" s="14" t="str">
        <x:v>No</x:v>
      </x:c>
      <x:c r="O31" s="14" t="str">
        <x:v>Yes</x:v>
      </x:c>
      <x:c r="P31" s="14" t="str">
        <x:v>Clean/NM benchmark unless noted</x:v>
      </x:c>
      <x:c r="Q31" s="16" t="n">
        <x:v>3</x:v>
      </x:c>
      <x:c r="R31" s="16" t="n">
        <x:v>6</x:v>
      </x:c>
      <x:c r="S31" s="16" t="n">
        <x:f>IF(AND(ISNUMBER(Q31),ISNUMBER(R31)),AVERAGE(Q31:R31),K31)</x:f>
        <x:v>4.5</x:v>
      </x:c>
      <x:c r="T31" s="14" t="str">
        <x:v>User said 115/132; assistant corrected to 116/132.</x:v>
      </x:c>
      <x:c r="U31" s="18" t="n">
        <x:v>182</x:v>
      </x:c>
      <x:c r="V31" s="14" t="str">
        <x:v>Uploaded Pokémon chat JSON / prior card-by-card research</x:v>
      </x:c>
      <x:c r="W31" s="14" t="str"/>
    </x:row>
    <x:row r="32">
      <x:c r="A32" s="18" t="n">
        <x:v>31</x:v>
      </x:c>
      <x:c r="B32" s="14" t="str">
        <x:v>Trainer/Item/Stadium</x:v>
      </x:c>
      <x:c r="C32" s="14" t="str">
        <x:v>Maintenance</x:v>
      </x:c>
      <x:c r="D32" s="14" t="str">
        <x:v>112/130</x:v>
      </x:c>
      <x:c r="E32" s="14" t="str">
        <x:v>Base Set 2</x:v>
      </x:c>
      <x:c r="F32" s="18" t="n">
        <x:v>2000</x:v>
      </x:c>
      <x:c r="G32" s="14" t="str">
        <x:v>Regular</x:v>
      </x:c>
      <x:c r="H32" s="14" t="str">
        <x:v>1 of 1</x:v>
      </x:c>
      <x:c r="I32" s="16" t="n">
        <x:v>0.75</x:v>
      </x:c>
      <x:c r="J32" s="16" t="n">
        <x:v>1.1</x:v>
      </x:c>
      <x:c r="K32" s="16" t="n">
        <x:f>IF(AND(ISNUMBER(I32),ISNUMBER(J32)),AVERAGE(I32:J32),"")</x:f>
        <x:v>0.925</x:v>
      </x:c>
      <x:c r="L32" s="14" t="str">
        <x:v>$1–5</x:v>
      </x:c>
      <x:c r="M32" s="14" t="str">
        <x:v>Yes</x:v>
      </x:c>
      <x:c r="N32" s="14" t="str">
        <x:v>No</x:v>
      </x:c>
      <x:c r="O32" s="14" t="str">
        <x:v>Yes</x:v>
      </x:c>
      <x:c r="P32" s="14" t="str">
        <x:v>Clean/NM benchmark unless noted</x:v>
      </x:c>
      <x:c r="Q32" s="16" t="n">
        <x:v>0.75</x:v>
      </x:c>
      <x:c r="R32" s="16" t="n">
        <x:v>1.1</x:v>
      </x:c>
      <x:c r="S32" s="16" t="n">
        <x:f>IF(AND(ISNUMBER(Q32),ISNUMBER(R32)),AVERAGE(Q32:R32),K32)</x:f>
        <x:v>0.925</x:v>
      </x:c>
      <x:c r="T32" s="14" t="str"/>
      <x:c r="U32" s="18" t="n">
        <x:v>188</x:v>
      </x:c>
      <x:c r="V32" s="14" t="str">
        <x:v>Uploaded Pokémon chat JSON / prior card-by-card research</x:v>
      </x:c>
      <x:c r="W32" s="14" t="str"/>
    </x:row>
    <x:row r="33">
      <x:c r="A33" s="18" t="n">
        <x:v>32</x:v>
      </x:c>
      <x:c r="B33" s="14" t="str">
        <x:v>Trainer/Item/Stadium</x:v>
      </x:c>
      <x:c r="C33" s="14" t="str">
        <x:v>Lum Berry</x:v>
      </x:c>
      <x:c r="D33" s="14" t="str">
        <x:v>84/109</x:v>
      </x:c>
      <x:c r="E33" s="14" t="str">
        <x:v>EX Ruby &amp; Sapphire</x:v>
      </x:c>
      <x:c r="F33" s="18" t="n">
        <x:v>2003</x:v>
      </x:c>
      <x:c r="G33" s="14" t="str">
        <x:v>Reverse Holo</x:v>
      </x:c>
      <x:c r="H33" s="14" t="str">
        <x:v>1 of 1</x:v>
      </x:c>
      <x:c r="I33" s="16" t="n">
        <x:v>2.9</x:v>
      </x:c>
      <x:c r="J33" s="16" t="n">
        <x:v>3</x:v>
      </x:c>
      <x:c r="K33" s="16" t="n">
        <x:f>IF(AND(ISNUMBER(I33),ISNUMBER(J33)),AVERAGE(I33:J33),"")</x:f>
        <x:v>2.95</x:v>
      </x:c>
      <x:c r="L33" s="14" t="str">
        <x:v>$1–5</x:v>
      </x:c>
      <x:c r="M33" s="14" t="str">
        <x:v>Yes</x:v>
      </x:c>
      <x:c r="N33" s="14" t="str">
        <x:v>No</x:v>
      </x:c>
      <x:c r="O33" s="14" t="str">
        <x:v>Yes</x:v>
      </x:c>
      <x:c r="P33" s="14" t="str">
        <x:v>Clean/NM benchmark unless noted</x:v>
      </x:c>
      <x:c r="Q33" s="16" t="n">
        <x:v>2.9</x:v>
      </x:c>
      <x:c r="R33" s="16" t="n">
        <x:v>3</x:v>
      </x:c>
      <x:c r="S33" s="16" t="n">
        <x:f>IF(AND(ISNUMBER(Q33),ISNUMBER(R33)),AVERAGE(Q33:R33),K33)</x:f>
        <x:v>2.95</x:v>
      </x:c>
      <x:c r="T33" s="14" t="str"/>
      <x:c r="U33" s="18" t="n">
        <x:v>194</x:v>
      </x:c>
      <x:c r="V33" s="14" t="str">
        <x:v>Uploaded Pokémon chat JSON / prior card-by-card research</x:v>
      </x:c>
      <x:c r="W33" s="14" t="str"/>
    </x:row>
    <x:row r="34">
      <x:c r="A34" s="18" t="n">
        <x:v>33</x:v>
      </x:c>
      <x:c r="B34" s="14" t="str">
        <x:v>Trainer/Item/Stadium</x:v>
      </x:c>
      <x:c r="C34" s="14" t="str">
        <x:v>Lost Remover</x:v>
      </x:c>
      <x:c r="D34" s="14" t="str">
        <x:v>80/95</x:v>
      </x:c>
      <x:c r="E34" s="14" t="str">
        <x:v>Call of Legends</x:v>
      </x:c>
      <x:c r="F34" s="18" t="n">
        <x:v>2011</x:v>
      </x:c>
      <x:c r="G34" s="14" t="str">
        <x:v>Regular</x:v>
      </x:c>
      <x:c r="H34" s="14" t="str">
        <x:v>1 of 1</x:v>
      </x:c>
      <x:c r="I34" s="16" t="n">
        <x:v>0.35</x:v>
      </x:c>
      <x:c r="J34" s="16" t="n">
        <x:v>0.5</x:v>
      </x:c>
      <x:c r="K34" s="16" t="n">
        <x:f>IF(AND(ISNUMBER(I34),ISNUMBER(J34)),AVERAGE(I34:J34),"")</x:f>
        <x:v>0.425</x:v>
      </x:c>
      <x:c r="L34" s="14" t="str">
        <x:v>&lt;$1</x:v>
      </x:c>
      <x:c r="M34" s="14" t="str">
        <x:v>No</x:v>
      </x:c>
      <x:c r="N34" s="14" t="str">
        <x:v>No</x:v>
      </x:c>
      <x:c r="O34" s="14" t="str">
        <x:v>No</x:v>
      </x:c>
      <x:c r="P34" s="14" t="str">
        <x:v>Clean/NM benchmark unless noted</x:v>
      </x:c>
      <x:c r="Q34" s="16" t="n">
        <x:v>0.35</x:v>
      </x:c>
      <x:c r="R34" s="16" t="n">
        <x:v>0.5</x:v>
      </x:c>
      <x:c r="S34" s="16" t="n">
        <x:f>IF(AND(ISNUMBER(Q34),ISNUMBER(R34)),AVERAGE(Q34:R34),K34)</x:f>
        <x:v>0.425</x:v>
      </x:c>
      <x:c r="T34" s="14" t="str"/>
      <x:c r="U34" s="18" t="n">
        <x:v>200</x:v>
      </x:c>
      <x:c r="V34" s="14" t="str">
        <x:v>Uploaded Pokémon chat JSON / prior card-by-card research</x:v>
      </x:c>
      <x:c r="W34" s="14" t="str"/>
    </x:row>
    <x:row r="35">
      <x:c r="A35" s="18" t="n">
        <x:v>34</x:v>
      </x:c>
      <x:c r="B35" s="14" t="str">
        <x:v>Trainer/Item/Stadium</x:v>
      </x:c>
      <x:c r="C35" s="14" t="str">
        <x:v>Lost Remover</x:v>
      </x:c>
      <x:c r="D35" s="14" t="str">
        <x:v>80/95</x:v>
      </x:c>
      <x:c r="E35" s="14" t="str">
        <x:v>Call of Legends</x:v>
      </x:c>
      <x:c r="F35" s="18" t="n">
        <x:v>2011</x:v>
      </x:c>
      <x:c r="G35" s="14" t="str">
        <x:v>Reverse Holo</x:v>
      </x:c>
      <x:c r="H35" s="14" t="str">
        <x:v>1 of 1</x:v>
      </x:c>
      <x:c r="I35" s="16" t="n">
        <x:v>3</x:v>
      </x:c>
      <x:c r="J35" s="16" t="n">
        <x:v>3.5</x:v>
      </x:c>
      <x:c r="K35" s="16" t="n">
        <x:f>IF(AND(ISNUMBER(I35),ISNUMBER(J35)),AVERAGE(I35:J35),"")</x:f>
        <x:v>3.25</x:v>
      </x:c>
      <x:c r="L35" s="14" t="str">
        <x:v>$1–5</x:v>
      </x:c>
      <x:c r="M35" s="14" t="str">
        <x:v>Yes</x:v>
      </x:c>
      <x:c r="N35" s="14" t="str">
        <x:v>No</x:v>
      </x:c>
      <x:c r="O35" s="14" t="str">
        <x:v>Yes</x:v>
      </x:c>
      <x:c r="P35" s="14" t="str">
        <x:v>Clean/NM benchmark unless noted</x:v>
      </x:c>
      <x:c r="Q35" s="16" t="n">
        <x:v>3</x:v>
      </x:c>
      <x:c r="R35" s="16" t="n">
        <x:v>3.5</x:v>
      </x:c>
      <x:c r="S35" s="16" t="n">
        <x:f>IF(AND(ISNUMBER(Q35),ISNUMBER(R35)),AVERAGE(Q35:R35),K35)</x:f>
        <x:v>3.25</x:v>
      </x:c>
      <x:c r="T35" s="14" t="str"/>
      <x:c r="U35" s="18" t="n">
        <x:v>200</x:v>
      </x:c>
      <x:c r="V35" s="14" t="str">
        <x:v>Uploaded Pokémon chat JSON / prior card-by-card research</x:v>
      </x:c>
      <x:c r="W35" s="14" t="str"/>
    </x:row>
    <x:row r="36">
      <x:c r="A36" s="18" t="n">
        <x:v>35</x:v>
      </x:c>
      <x:c r="B36" s="14" t="str">
        <x:v>Trainer/Item/Stadium</x:v>
      </x:c>
      <x:c r="C36" s="14" t="str">
        <x:v>Level Max</x:v>
      </x:c>
      <x:c r="D36" s="14" t="str">
        <x:v>107/127</x:v>
      </x:c>
      <x:c r="E36" s="14" t="str">
        <x:v>Platinum</x:v>
      </x:c>
      <x:c r="F36" s="18" t="n">
        <x:v>2009</x:v>
      </x:c>
      <x:c r="G36" s="14" t="str">
        <x:v>Reverse Holo</x:v>
      </x:c>
      <x:c r="H36" s="14" t="str">
        <x:v>1 of 1</x:v>
      </x:c>
      <x:c r="I36" s="16" t="n">
        <x:v>1</x:v>
      </x:c>
      <x:c r="J36" s="16" t="n">
        <x:v>1.5</x:v>
      </x:c>
      <x:c r="K36" s="16" t="n">
        <x:f>IF(AND(ISNUMBER(I36),ISNUMBER(J36)),AVERAGE(I36:J36),"")</x:f>
        <x:v>1.25</x:v>
      </x:c>
      <x:c r="L36" s="14" t="str">
        <x:v>$1–5</x:v>
      </x:c>
      <x:c r="M36" s="14" t="str">
        <x:v>Yes</x:v>
      </x:c>
      <x:c r="N36" s="14" t="str">
        <x:v>No</x:v>
      </x:c>
      <x:c r="O36" s="14" t="str">
        <x:v>Yes</x:v>
      </x:c>
      <x:c r="P36" s="14" t="str">
        <x:v>Clean/NM benchmark unless noted</x:v>
      </x:c>
      <x:c r="Q36" s="16" t="n">
        <x:v>1</x:v>
      </x:c>
      <x:c r="R36" s="16" t="n">
        <x:v>1.5</x:v>
      </x:c>
      <x:c r="S36" s="16" t="n">
        <x:f>IF(AND(ISNUMBER(Q36),ISNUMBER(R36)),AVERAGE(Q36:R36),K36)</x:f>
        <x:v>1.25</x:v>
      </x:c>
      <x:c r="T36" s="14" t="str"/>
      <x:c r="U36" s="18" t="n">
        <x:v>206</x:v>
      </x:c>
      <x:c r="V36" s="14" t="str">
        <x:v>Uploaded Pokémon chat JSON / prior card-by-card research</x:v>
      </x:c>
      <x:c r="W36" s="14" t="str"/>
    </x:row>
    <x:row r="37">
      <x:c r="A37" s="18" t="n">
        <x:v>36</x:v>
      </x:c>
      <x:c r="B37" s="14" t="str">
        <x:v>Trainer/Item/Stadium</x:v>
      </x:c>
      <x:c r="C37" s="14" t="str">
        <x:v>Level Ball</x:v>
      </x:c>
      <x:c r="D37" s="14" t="str">
        <x:v>89/99</x:v>
      </x:c>
      <x:c r="E37" s="14" t="str">
        <x:v>Next Destinies</x:v>
      </x:c>
      <x:c r="F37" s="18" t="n">
        <x:v>2012</x:v>
      </x:c>
      <x:c r="G37" s="14" t="str">
        <x:v>Reverse Holo</x:v>
      </x:c>
      <x:c r="H37" s="14" t="str">
        <x:v>1 of 3</x:v>
      </x:c>
      <x:c r="I37" s="16" t="n">
        <x:v>3</x:v>
      </x:c>
      <x:c r="J37" s="16" t="n">
        <x:v>3.5</x:v>
      </x:c>
      <x:c r="K37" s="16" t="n">
        <x:f>IF(AND(ISNUMBER(I37),ISNUMBER(J37)),AVERAGE(I37:J37),"")</x:f>
        <x:v>3.25</x:v>
      </x:c>
      <x:c r="L37" s="14" t="str">
        <x:v>$1–5</x:v>
      </x:c>
      <x:c r="M37" s="14" t="str">
        <x:v>Yes</x:v>
      </x:c>
      <x:c r="N37" s="14" t="str">
        <x:v>No</x:v>
      </x:c>
      <x:c r="O37" s="14" t="str">
        <x:v>Yes</x:v>
      </x:c>
      <x:c r="P37" s="14" t="str">
        <x:v>Clean/NM benchmark unless noted</x:v>
      </x:c>
      <x:c r="Q37" s="16" t="n">
        <x:v>3</x:v>
      </x:c>
      <x:c r="R37" s="16" t="n">
        <x:v>3.5</x:v>
      </x:c>
      <x:c r="S37" s="16" t="n">
        <x:f>IF(AND(ISNUMBER(Q37),ISNUMBER(R37)),AVERAGE(Q37:R37),K37)</x:f>
        <x:v>3.25</x:v>
      </x:c>
      <x:c r="T37" s="14" t="str"/>
      <x:c r="U37" s="18" t="n">
        <x:v>212</x:v>
      </x:c>
      <x:c r="V37" s="14" t="str">
        <x:v>Uploaded Pokémon chat JSON / prior card-by-card research</x:v>
      </x:c>
      <x:c r="W37" s="14" t="str"/>
    </x:row>
    <x:row r="38">
      <x:c r="A38" s="18" t="n">
        <x:v>37</x:v>
      </x:c>
      <x:c r="B38" s="14" t="str">
        <x:v>Trainer/Item/Stadium</x:v>
      </x:c>
      <x:c r="C38" s="14" t="str">
        <x:v>Level Ball</x:v>
      </x:c>
      <x:c r="D38" s="14" t="str">
        <x:v>89/99</x:v>
      </x:c>
      <x:c r="E38" s="14" t="str">
        <x:v>Next Destinies</x:v>
      </x:c>
      <x:c r="F38" s="18" t="n">
        <x:v>2012</x:v>
      </x:c>
      <x:c r="G38" s="14" t="str">
        <x:v>Reverse Holo</x:v>
      </x:c>
      <x:c r="H38" s="14" t="str">
        <x:v>2 of 3</x:v>
      </x:c>
      <x:c r="I38" s="16" t="n">
        <x:v>3</x:v>
      </x:c>
      <x:c r="J38" s="16" t="n">
        <x:v>3.5</x:v>
      </x:c>
      <x:c r="K38" s="16" t="n">
        <x:f>IF(AND(ISNUMBER(I38),ISNUMBER(J38)),AVERAGE(I38:J38),"")</x:f>
        <x:v>3.25</x:v>
      </x:c>
      <x:c r="L38" s="14" t="str">
        <x:v>$1–5</x:v>
      </x:c>
      <x:c r="M38" s="14" t="str">
        <x:v>Yes</x:v>
      </x:c>
      <x:c r="N38" s="14" t="str">
        <x:v>No</x:v>
      </x:c>
      <x:c r="O38" s="14" t="str">
        <x:v>Yes</x:v>
      </x:c>
      <x:c r="P38" s="14" t="str">
        <x:v>Clean/NM benchmark unless noted</x:v>
      </x:c>
      <x:c r="Q38" s="16" t="n">
        <x:v>3</x:v>
      </x:c>
      <x:c r="R38" s="16" t="n">
        <x:v>3.5</x:v>
      </x:c>
      <x:c r="S38" s="16" t="n">
        <x:f>IF(AND(ISNUMBER(Q38),ISNUMBER(R38)),AVERAGE(Q38:R38),K38)</x:f>
        <x:v>3.25</x:v>
      </x:c>
      <x:c r="T38" s="14" t="str"/>
      <x:c r="U38" s="18" t="n">
        <x:v>212</x:v>
      </x:c>
      <x:c r="V38" s="14" t="str">
        <x:v>Uploaded Pokémon chat JSON / prior card-by-card research</x:v>
      </x:c>
      <x:c r="W38" s="14" t="str"/>
    </x:row>
    <x:row r="39">
      <x:c r="A39" s="18" t="n">
        <x:v>38</x:v>
      </x:c>
      <x:c r="B39" s="14" t="str">
        <x:v>Trainer/Item/Stadium</x:v>
      </x:c>
      <x:c r="C39" s="14" t="str">
        <x:v>Level Ball</x:v>
      </x:c>
      <x:c r="D39" s="14" t="str">
        <x:v>89/99</x:v>
      </x:c>
      <x:c r="E39" s="14" t="str">
        <x:v>Next Destinies</x:v>
      </x:c>
      <x:c r="F39" s="18" t="n">
        <x:v>2012</x:v>
      </x:c>
      <x:c r="G39" s="14" t="str">
        <x:v>Reverse Holo</x:v>
      </x:c>
      <x:c r="H39" s="14" t="str">
        <x:v>3 of 3</x:v>
      </x:c>
      <x:c r="I39" s="16" t="n">
        <x:v>3</x:v>
      </x:c>
      <x:c r="J39" s="16" t="n">
        <x:v>3.5</x:v>
      </x:c>
      <x:c r="K39" s="16" t="n">
        <x:f>IF(AND(ISNUMBER(I39),ISNUMBER(J39)),AVERAGE(I39:J39),"")</x:f>
        <x:v>3.25</x:v>
      </x:c>
      <x:c r="L39" s="14" t="str">
        <x:v>$1–5</x:v>
      </x:c>
      <x:c r="M39" s="14" t="str">
        <x:v>Yes</x:v>
      </x:c>
      <x:c r="N39" s="14" t="str">
        <x:v>No</x:v>
      </x:c>
      <x:c r="O39" s="14" t="str">
        <x:v>Yes</x:v>
      </x:c>
      <x:c r="P39" s="14" t="str">
        <x:v>Clean/NM benchmark unless noted</x:v>
      </x:c>
      <x:c r="Q39" s="16" t="n">
        <x:v>3</x:v>
      </x:c>
      <x:c r="R39" s="16" t="n">
        <x:v>3.5</x:v>
      </x:c>
      <x:c r="S39" s="16" t="n">
        <x:f>IF(AND(ISNUMBER(Q39),ISNUMBER(R39)),AVERAGE(Q39:R39),K39)</x:f>
        <x:v>3.25</x:v>
      </x:c>
      <x:c r="T39" s="14" t="str"/>
      <x:c r="U39" s="18" t="n">
        <x:v>212</x:v>
      </x:c>
      <x:c r="V39" s="14" t="str">
        <x:v>Uploaded Pokémon chat JSON / prior card-by-card research</x:v>
      </x:c>
      <x:c r="W39" s="14" t="str"/>
    </x:row>
    <x:row r="40">
      <x:c r="A40" s="18" t="n">
        <x:v>39</x:v>
      </x:c>
      <x:c r="B40" s="14" t="str">
        <x:v>Trainer/Item/Stadium</x:v>
      </x:c>
      <x:c r="C40" s="14" t="str">
        <x:v>Lass</x:v>
      </x:c>
      <x:c r="D40" s="14" t="str">
        <x:v>104/130</x:v>
      </x:c>
      <x:c r="E40" s="14" t="str">
        <x:v>Base Set 2</x:v>
      </x:c>
      <x:c r="F40" s="18" t="n">
        <x:v>2000</x:v>
      </x:c>
      <x:c r="G40" s="14" t="str">
        <x:v>Rare Regular</x:v>
      </x:c>
      <x:c r="H40" s="14" t="str">
        <x:v>1 of 1</x:v>
      </x:c>
      <x:c r="I40" s="16" t="n">
        <x:v>2.75</x:v>
      </x:c>
      <x:c r="J40" s="16" t="n">
        <x:v>3</x:v>
      </x:c>
      <x:c r="K40" s="16" t="n">
        <x:f>IF(AND(ISNUMBER(I40),ISNUMBER(J40)),AVERAGE(I40:J40),"")</x:f>
        <x:v>2.875</x:v>
      </x:c>
      <x:c r="L40" s="14" t="str">
        <x:v>$1–5</x:v>
      </x:c>
      <x:c r="M40" s="14" t="str">
        <x:v>Yes</x:v>
      </x:c>
      <x:c r="N40" s="14" t="str">
        <x:v>No</x:v>
      </x:c>
      <x:c r="O40" s="14" t="str">
        <x:v>Yes</x:v>
      </x:c>
      <x:c r="P40" s="14" t="str">
        <x:v>Clean/NM benchmark unless noted</x:v>
      </x:c>
      <x:c r="Q40" s="16" t="n">
        <x:v>2.75</x:v>
      </x:c>
      <x:c r="R40" s="16" t="n">
        <x:v>3</x:v>
      </x:c>
      <x:c r="S40" s="16" t="n">
        <x:f>IF(AND(ISNUMBER(Q40),ISNUMBER(R40)),AVERAGE(Q40:R40),K40)</x:f>
        <x:v>2.875</x:v>
      </x:c>
      <x:c r="T40" s="14" t="str"/>
      <x:c r="U40" s="18" t="n">
        <x:v>218</x:v>
      </x:c>
      <x:c r="V40" s="14" t="str">
        <x:v>Uploaded Pokémon chat JSON / prior card-by-card research</x:v>
      </x:c>
      <x:c r="W40" s="14" t="str"/>
    </x:row>
    <x:row r="41">
      <x:c r="A41" s="18" t="n">
        <x:v>40</x:v>
      </x:c>
      <x:c r="B41" s="14" t="str">
        <x:v>Trainer/Item/Stadium</x:v>
      </x:c>
      <x:c r="C41" s="14" t="str">
        <x:v>Max Revive</x:v>
      </x:c>
      <x:c r="D41" s="14" t="str">
        <x:v>3/8</x:v>
      </x:c>
      <x:c r="E41" s="14" t="str">
        <x:v>Pokémon Trading Figure Game: Next Quest</x:v>
      </x:c>
      <x:c r="F41" s="18" t="n">
        <x:v>2007</x:v>
      </x:c>
      <x:c r="G41" s="14" t="str">
        <x:v>Sideways TFG Trainer</x:v>
      </x:c>
      <x:c r="H41" s="14" t="str">
        <x:v>1 of 1</x:v>
      </x:c>
      <x:c r="I41" s="16" t="n">
        <x:v>20</x:v>
      </x:c>
      <x:c r="J41" s="16" t="n">
        <x:v>24</x:v>
      </x:c>
      <x:c r="K41" s="16" t="n">
        <x:f>IF(AND(ISNUMBER(I41),ISNUMBER(J41)),AVERAGE(I41:J41),"")</x:f>
        <x:v>22</x:v>
      </x:c>
      <x:c r="L41" s="14" t="str">
        <x:v>$5–20</x:v>
      </x:c>
      <x:c r="M41" s="14" t="str">
        <x:v>Yes</x:v>
      </x:c>
      <x:c r="N41" s="14" t="str">
        <x:v>Yes</x:v>
      </x:c>
      <x:c r="O41" s="14" t="str">
        <x:v>Yes</x:v>
      </x:c>
      <x:c r="P41" s="14" t="str">
        <x:v>Damaged</x:v>
      </x:c>
      <x:c r="Q41" s="16" t="n">
        <x:v>5</x:v>
      </x:c>
      <x:c r="R41" s="16" t="n">
        <x:v>10</x:v>
      </x:c>
      <x:c r="S41" s="16" t="n">
        <x:f>IF(AND(ISNUMBER(Q41),ISNUMBER(R41)),AVERAGE(Q41:R41),K41)</x:f>
        <x:v>7.5</x:v>
      </x:c>
      <x:c r="T41" s="14" t="str">
        <x:v>Thin market; damaged but still collectible. Clean raw &gt;$10.</x:v>
      </x:c>
      <x:c r="U41" s="18" t="n">
        <x:v>224</x:v>
      </x:c>
      <x:c r="V41" s="14" t="str">
        <x:v>Uploaded Pokémon chat JSON / prior card-by-card research</x:v>
      </x:c>
      <x:c r="W41" s="14" t="str"/>
    </x:row>
    <x:row r="42">
      <x:c r="A42" s="18" t="n">
        <x:v>41</x:v>
      </x:c>
      <x:c r="B42" s="14" t="str">
        <x:v>Trainer/Item/Stadium</x:v>
      </x:c>
      <x:c r="C42" s="14" t="str">
        <x:v>Poké Ball</x:v>
      </x:c>
      <x:c r="D42" s="14" t="str">
        <x:v>121/130</x:v>
      </x:c>
      <x:c r="E42" s="14" t="str">
        <x:v>Base Set 2</x:v>
      </x:c>
      <x:c r="F42" s="18" t="n">
        <x:v>2000</x:v>
      </x:c>
      <x:c r="G42" s="14" t="str">
        <x:v>Regular</x:v>
      </x:c>
      <x:c r="H42" s="14" t="str">
        <x:v>1 of 2</x:v>
      </x:c>
      <x:c r="I42" s="16" t="n">
        <x:v>0.39</x:v>
      </x:c>
      <x:c r="J42" s="16" t="n">
        <x:v>0.4</x:v>
      </x:c>
      <x:c r="K42" s="16" t="n">
        <x:f>IF(AND(ISNUMBER(I42),ISNUMBER(J42)),AVERAGE(I42:J42),"")</x:f>
        <x:v>0.395</x:v>
      </x:c>
      <x:c r="L42" s="14" t="str">
        <x:v>&lt;$1</x:v>
      </x:c>
      <x:c r="M42" s="14" t="str">
        <x:v>No</x:v>
      </x:c>
      <x:c r="N42" s="14" t="str">
        <x:v>No</x:v>
      </x:c>
      <x:c r="O42" s="14" t="str">
        <x:v>No</x:v>
      </x:c>
      <x:c r="P42" s="14" t="str">
        <x:v>Clean/NM benchmark unless noted</x:v>
      </x:c>
      <x:c r="Q42" s="16" t="n">
        <x:v>0.39</x:v>
      </x:c>
      <x:c r="R42" s="16" t="n">
        <x:v>0.4</x:v>
      </x:c>
      <x:c r="S42" s="16" t="n">
        <x:f>IF(AND(ISNUMBER(Q42),ISNUMBER(R42)),AVERAGE(Q42:R42),K42)</x:f>
        <x:v>0.395</x:v>
      </x:c>
      <x:c r="T42" s="14" t="str"/>
      <x:c r="U42" s="18" t="n">
        <x:v>230</x:v>
      </x:c>
      <x:c r="V42" s="14" t="str">
        <x:v>Uploaded Pokémon chat JSON / prior card-by-card research</x:v>
      </x:c>
      <x:c r="W42" s="14" t="str"/>
    </x:row>
    <x:row r="43">
      <x:c r="A43" s="18" t="n">
        <x:v>42</x:v>
      </x:c>
      <x:c r="B43" s="14" t="str">
        <x:v>Trainer/Item/Stadium</x:v>
      </x:c>
      <x:c r="C43" s="14" t="str">
        <x:v>Poké Ball</x:v>
      </x:c>
      <x:c r="D43" s="14" t="str">
        <x:v>121/130</x:v>
      </x:c>
      <x:c r="E43" s="14" t="str">
        <x:v>Base Set 2</x:v>
      </x:c>
      <x:c r="F43" s="18" t="n">
        <x:v>2000</x:v>
      </x:c>
      <x:c r="G43" s="14" t="str">
        <x:v>Regular</x:v>
      </x:c>
      <x:c r="H43" s="14" t="str">
        <x:v>2 of 2</x:v>
      </x:c>
      <x:c r="I43" s="16" t="n">
        <x:v>0.39</x:v>
      </x:c>
      <x:c r="J43" s="16" t="n">
        <x:v>0.4</x:v>
      </x:c>
      <x:c r="K43" s="16" t="n">
        <x:f>IF(AND(ISNUMBER(I43),ISNUMBER(J43)),AVERAGE(I43:J43),"")</x:f>
        <x:v>0.395</x:v>
      </x:c>
      <x:c r="L43" s="14" t="str">
        <x:v>&lt;$1</x:v>
      </x:c>
      <x:c r="M43" s="14" t="str">
        <x:v>No</x:v>
      </x:c>
      <x:c r="N43" s="14" t="str">
        <x:v>No</x:v>
      </x:c>
      <x:c r="O43" s="14" t="str">
        <x:v>No</x:v>
      </x:c>
      <x:c r="P43" s="14" t="str">
        <x:v>Clean/NM benchmark unless noted</x:v>
      </x:c>
      <x:c r="Q43" s="16" t="n">
        <x:v>0.39</x:v>
      </x:c>
      <x:c r="R43" s="16" t="n">
        <x:v>0.4</x:v>
      </x:c>
      <x:c r="S43" s="16" t="n">
        <x:f>IF(AND(ISNUMBER(Q43),ISNUMBER(R43)),AVERAGE(Q43:R43),K43)</x:f>
        <x:v>0.395</x:v>
      </x:c>
      <x:c r="T43" s="14" t="str"/>
      <x:c r="U43" s="18" t="n">
        <x:v>230</x:v>
      </x:c>
      <x:c r="V43" s="14" t="str">
        <x:v>Uploaded Pokémon chat JSON / prior card-by-card research</x:v>
      </x:c>
      <x:c r="W43" s="14" t="str"/>
    </x:row>
    <x:row r="44">
      <x:c r="A44" s="18" t="n">
        <x:v>43</x:v>
      </x:c>
      <x:c r="B44" s="14" t="str">
        <x:v>Trainer/Item/Stadium</x:v>
      </x:c>
      <x:c r="C44" s="14" t="str">
        <x:v>PlusPower</x:v>
      </x:c>
      <x:c r="D44" s="14" t="str">
        <x:v>80/95</x:v>
      </x:c>
      <x:c r="E44" s="14" t="str">
        <x:v>Unleashed</x:v>
      </x:c>
      <x:c r="F44" s="18" t="n">
        <x:v>2010</x:v>
      </x:c>
      <x:c r="G44" s="14" t="str">
        <x:v>Reverse Holo</x:v>
      </x:c>
      <x:c r="H44" s="14" t="str">
        <x:v>1 of 1</x:v>
      </x:c>
      <x:c r="I44" s="16" t="n">
        <x:v>2</x:v>
      </x:c>
      <x:c r="J44" s="16" t="n">
        <x:v>3</x:v>
      </x:c>
      <x:c r="K44" s="16" t="n">
        <x:f>IF(AND(ISNUMBER(I44),ISNUMBER(J44)),AVERAGE(I44:J44),"")</x:f>
        <x:v>2.5</x:v>
      </x:c>
      <x:c r="L44" s="14" t="str">
        <x:v>$1–5</x:v>
      </x:c>
      <x:c r="M44" s="14" t="str">
        <x:v>Yes</x:v>
      </x:c>
      <x:c r="N44" s="14" t="str">
        <x:v>No</x:v>
      </x:c>
      <x:c r="O44" s="14" t="str">
        <x:v>Yes</x:v>
      </x:c>
      <x:c r="P44" s="14" t="str">
        <x:v>Clean/NM benchmark unless noted</x:v>
      </x:c>
      <x:c r="Q44" s="16" t="n">
        <x:v>2</x:v>
      </x:c>
      <x:c r="R44" s="16" t="n">
        <x:v>3</x:v>
      </x:c>
      <x:c r="S44" s="16" t="n">
        <x:f>IF(AND(ISNUMBER(Q44),ISNUMBER(R44)),AVERAGE(Q44:R44),K44)</x:f>
        <x:v>2.5</x:v>
      </x:c>
      <x:c r="T44" s="14" t="str"/>
      <x:c r="U44" s="18" t="n">
        <x:v>236</x:v>
      </x:c>
      <x:c r="V44" s="14" t="str">
        <x:v>Uploaded Pokémon chat JSON / prior card-by-card research</x:v>
      </x:c>
      <x:c r="W44" s="14" t="str"/>
    </x:row>
    <x:row r="45">
      <x:c r="A45" s="18" t="n">
        <x:v>44</x:v>
      </x:c>
      <x:c r="B45" s="14" t="str">
        <x:v>Trainer/Item/Stadium</x:v>
      </x:c>
      <x:c r="C45" s="14" t="str">
        <x:v>PlusPower</x:v>
      </x:c>
      <x:c r="D45" s="14" t="str">
        <x:v>113/130</x:v>
      </x:c>
      <x:c r="E45" s="14" t="str">
        <x:v>Base Set 2</x:v>
      </x:c>
      <x:c r="F45" s="18" t="n">
        <x:v>2000</x:v>
      </x:c>
      <x:c r="G45" s="14" t="str">
        <x:v>Regular</x:v>
      </x:c>
      <x:c r="H45" s="14" t="str">
        <x:v>1 of 1</x:v>
      </x:c>
      <x:c r="I45" s="16" t="n">
        <x:v>0.59</x:v>
      </x:c>
      <x:c r="J45" s="16" t="n">
        <x:v>0.61</x:v>
      </x:c>
      <x:c r="K45" s="16" t="n">
        <x:f>IF(AND(ISNUMBER(I45),ISNUMBER(J45)),AVERAGE(I45:J45),"")</x:f>
        <x:v>0.6</x:v>
      </x:c>
      <x:c r="L45" s="14" t="str">
        <x:v>&lt;$1</x:v>
      </x:c>
      <x:c r="M45" s="14" t="str">
        <x:v>No</x:v>
      </x:c>
      <x:c r="N45" s="14" t="str">
        <x:v>No</x:v>
      </x:c>
      <x:c r="O45" s="14" t="str">
        <x:v>No</x:v>
      </x:c>
      <x:c r="P45" s="14" t="str">
        <x:v>Clean/NM benchmark unless noted</x:v>
      </x:c>
      <x:c r="Q45" s="16" t="n">
        <x:v>0.59</x:v>
      </x:c>
      <x:c r="R45" s="16" t="n">
        <x:v>0.61</x:v>
      </x:c>
      <x:c r="S45" s="16" t="n">
        <x:f>IF(AND(ISNUMBER(Q45),ISNUMBER(R45)),AVERAGE(Q45:R45),K45)</x:f>
        <x:v>0.6</x:v>
      </x:c>
      <x:c r="T45" s="14" t="str"/>
      <x:c r="U45" s="18" t="n">
        <x:v>242</x:v>
      </x:c>
      <x:c r="V45" s="14" t="str">
        <x:v>Uploaded Pokémon chat JSON / prior card-by-card research</x:v>
      </x:c>
      <x:c r="W45" s="14" t="str"/>
    </x:row>
    <x:row r="46">
      <x:c r="A46" s="18" t="n">
        <x:v>45</x:v>
      </x:c>
      <x:c r="B46" s="14" t="str">
        <x:v>Trainer/Item/Stadium</x:v>
      </x:c>
      <x:c r="C46" s="14" t="str">
        <x:v>Mr. Fuji</x:v>
      </x:c>
      <x:c r="D46" s="14" t="str">
        <x:v>58/62</x:v>
      </x:c>
      <x:c r="E46" s="14" t="str">
        <x:v>Fossil</x:v>
      </x:c>
      <x:c r="F46" s="18" t="n">
        <x:v>1999</x:v>
      </x:c>
      <x:c r="G46" s="14" t="str">
        <x:v>Unlimited Regular</x:v>
      </x:c>
      <x:c r="H46" s="14" t="str">
        <x:v>1 of 1</x:v>
      </x:c>
      <x:c r="I46" s="16" t="n">
        <x:v>0.93</x:v>
      </x:c>
      <x:c r="J46" s="16" t="n">
        <x:v>2</x:v>
      </x:c>
      <x:c r="K46" s="16" t="n">
        <x:f>IF(AND(ISNUMBER(I46),ISNUMBER(J46)),AVERAGE(I46:J46),"")</x:f>
        <x:v>1.465</x:v>
      </x:c>
      <x:c r="L46" s="14" t="str">
        <x:v>$1–5</x:v>
      </x:c>
      <x:c r="M46" s="14" t="str">
        <x:v>Yes</x:v>
      </x:c>
      <x:c r="N46" s="14" t="str">
        <x:v>No</x:v>
      </x:c>
      <x:c r="O46" s="14" t="str">
        <x:v>Yes</x:v>
      </x:c>
      <x:c r="P46" s="14" t="str">
        <x:v>Clean/NM benchmark unless noted</x:v>
      </x:c>
      <x:c r="Q46" s="16" t="n">
        <x:v>0.93</x:v>
      </x:c>
      <x:c r="R46" s="16" t="n">
        <x:v>2</x:v>
      </x:c>
      <x:c r="S46" s="16" t="n">
        <x:f>IF(AND(ISNUMBER(Q46),ISNUMBER(R46)),AVERAGE(Q46:R46),K46)</x:f>
        <x:v>1.465</x:v>
      </x:c>
      <x:c r="T46" s="14" t="str"/>
      <x:c r="U46" s="18" t="n">
        <x:v>248</x:v>
      </x:c>
      <x:c r="V46" s="14" t="str">
        <x:v>Uploaded Pokémon chat JSON / prior card-by-card research</x:v>
      </x:c>
      <x:c r="W46" s="14" t="str"/>
    </x:row>
    <x:row r="47">
      <x:c r="A47" s="18" t="n">
        <x:v>46</x:v>
      </x:c>
      <x:c r="B47" s="14" t="str">
        <x:v>Trainer/Item/Stadium</x:v>
      </x:c>
      <x:c r="C47" s="14" t="str">
        <x:v>Potion</x:v>
      </x:c>
      <x:c r="D47" s="14" t="str">
        <x:v>132/149</x:v>
      </x:c>
      <x:c r="E47" s="14" t="str">
        <x:v>Boundaries Crossed</x:v>
      </x:c>
      <x:c r="F47" s="18" t="n">
        <x:v>2012</x:v>
      </x:c>
      <x:c r="G47" s="14" t="str">
        <x:v>Reverse Holo</x:v>
      </x:c>
      <x:c r="H47" s="14" t="str">
        <x:v>1 of 2</x:v>
      </x:c>
      <x:c r="I47" s="16" t="n">
        <x:v>2</x:v>
      </x:c>
      <x:c r="J47" s="16" t="n">
        <x:v>2.5</x:v>
      </x:c>
      <x:c r="K47" s="16" t="n">
        <x:f>IF(AND(ISNUMBER(I47),ISNUMBER(J47)),AVERAGE(I47:J47),"")</x:f>
        <x:v>2.25</x:v>
      </x:c>
      <x:c r="L47" s="14" t="str">
        <x:v>$1–5</x:v>
      </x:c>
      <x:c r="M47" s="14" t="str">
        <x:v>Yes</x:v>
      </x:c>
      <x:c r="N47" s="14" t="str">
        <x:v>No</x:v>
      </x:c>
      <x:c r="O47" s="14" t="str">
        <x:v>Yes</x:v>
      </x:c>
      <x:c r="P47" s="14" t="str">
        <x:v>Clean/NM benchmark unless noted</x:v>
      </x:c>
      <x:c r="Q47" s="16" t="n">
        <x:v>2</x:v>
      </x:c>
      <x:c r="R47" s="16" t="n">
        <x:v>2.5</x:v>
      </x:c>
      <x:c r="S47" s="16" t="n">
        <x:f>IF(AND(ISNUMBER(Q47),ISNUMBER(R47)),AVERAGE(Q47:R47),K47)</x:f>
        <x:v>2.25</x:v>
      </x:c>
      <x:c r="T47" s="14" t="str">
        <x:v>Second physical copy sent again at index 266.</x:v>
      </x:c>
      <x:c r="U47" s="18" t="n">
        <x:v>254</x:v>
      </x:c>
      <x:c r="V47" s="14" t="str">
        <x:v>Uploaded Pokémon chat JSON / prior card-by-card research</x:v>
      </x:c>
      <x:c r="W47" s="14" t="str"/>
    </x:row>
    <x:row r="48">
      <x:c r="A48" s="18" t="n">
        <x:v>47</x:v>
      </x:c>
      <x:c r="B48" s="14" t="str">
        <x:v>Trainer/Item/Stadium</x:v>
      </x:c>
      <x:c r="C48" s="14" t="str">
        <x:v>Potion</x:v>
      </x:c>
      <x:c r="D48" s="14" t="str">
        <x:v>132/149</x:v>
      </x:c>
      <x:c r="E48" s="14" t="str">
        <x:v>Boundaries Crossed</x:v>
      </x:c>
      <x:c r="F48" s="18" t="n">
        <x:v>2012</x:v>
      </x:c>
      <x:c r="G48" s="14" t="str">
        <x:v>Reverse Holo</x:v>
      </x:c>
      <x:c r="H48" s="14" t="str">
        <x:v>2 of 2</x:v>
      </x:c>
      <x:c r="I48" s="16" t="n">
        <x:v>2</x:v>
      </x:c>
      <x:c r="J48" s="16" t="n">
        <x:v>2.5</x:v>
      </x:c>
      <x:c r="K48" s="16" t="n">
        <x:f>IF(AND(ISNUMBER(I48),ISNUMBER(J48)),AVERAGE(I48:J48),"")</x:f>
        <x:v>2.25</x:v>
      </x:c>
      <x:c r="L48" s="14" t="str">
        <x:v>$1–5</x:v>
      </x:c>
      <x:c r="M48" s="14" t="str">
        <x:v>Yes</x:v>
      </x:c>
      <x:c r="N48" s="14" t="str">
        <x:v>No</x:v>
      </x:c>
      <x:c r="O48" s="14" t="str">
        <x:v>Yes</x:v>
      </x:c>
      <x:c r="P48" s="14" t="str">
        <x:v>Clean/NM benchmark unless noted</x:v>
      </x:c>
      <x:c r="Q48" s="16" t="n">
        <x:v>2</x:v>
      </x:c>
      <x:c r="R48" s="16" t="n">
        <x:v>2.5</x:v>
      </x:c>
      <x:c r="S48" s="16" t="n">
        <x:f>IF(AND(ISNUMBER(Q48),ISNUMBER(R48)),AVERAGE(Q48:R48),K48)</x:f>
        <x:v>2.25</x:v>
      </x:c>
      <x:c r="T48" s="14" t="str">
        <x:v>Second physical copy sent again at index 266.</x:v>
      </x:c>
      <x:c r="U48" s="18" t="n">
        <x:v>254</x:v>
      </x:c>
      <x:c r="V48" s="14" t="str">
        <x:v>Uploaded Pokémon chat JSON / prior card-by-card research</x:v>
      </x:c>
      <x:c r="W48" s="14" t="str"/>
    </x:row>
    <x:row r="49">
      <x:c r="A49" s="18" t="n">
        <x:v>48</x:v>
      </x:c>
      <x:c r="B49" s="14" t="str">
        <x:v>Trainer/Item/Stadium</x:v>
      </x:c>
      <x:c r="C49" s="14" t="str">
        <x:v>Root Fossil Lileep</x:v>
      </x:c>
      <x:c r="D49" s="14" t="str">
        <x:v>87/101</x:v>
      </x:c>
      <x:c r="E49" s="14" t="str">
        <x:v>Plasma Blast</x:v>
      </x:c>
      <x:c r="F49" s="18" t="n">
        <x:v>2013</x:v>
      </x:c>
      <x:c r="G49" s="14" t="str">
        <x:v>Reverse Holo</x:v>
      </x:c>
      <x:c r="H49" s="14" t="str">
        <x:v>1 of 1</x:v>
      </x:c>
      <x:c r="I49" s="16" t="n">
        <x:v>1.49</x:v>
      </x:c>
      <x:c r="J49" s="16" t="n">
        <x:v>2</x:v>
      </x:c>
      <x:c r="K49" s="16" t="n">
        <x:f>IF(AND(ISNUMBER(I49),ISNUMBER(J49)),AVERAGE(I49:J49),"")</x:f>
        <x:v>1.745</x:v>
      </x:c>
      <x:c r="L49" s="14" t="str">
        <x:v>$1–5</x:v>
      </x:c>
      <x:c r="M49" s="14" t="str">
        <x:v>Yes</x:v>
      </x:c>
      <x:c r="N49" s="14" t="str">
        <x:v>No</x:v>
      </x:c>
      <x:c r="O49" s="14" t="str">
        <x:v>Yes</x:v>
      </x:c>
      <x:c r="P49" s="14" t="str">
        <x:v>Clean/NM benchmark unless noted</x:v>
      </x:c>
      <x:c r="Q49" s="16" t="n">
        <x:v>1.49</x:v>
      </x:c>
      <x:c r="R49" s="16" t="n">
        <x:v>2</x:v>
      </x:c>
      <x:c r="S49" s="16" t="n">
        <x:f>IF(AND(ISNUMBER(Q49),ISNUMBER(R49)),AVERAGE(Q49:R49),K49)</x:f>
        <x:v>1.745</x:v>
      </x:c>
      <x:c r="T49" s="14" t="str"/>
      <x:c r="U49" s="18" t="n">
        <x:v>260</x:v>
      </x:c>
      <x:c r="V49" s="14" t="str">
        <x:v>Uploaded Pokémon chat JSON / prior card-by-card research</x:v>
      </x:c>
      <x:c r="W49" s="14" t="str"/>
    </x:row>
    <x:row r="50">
      <x:c r="A50" s="18" t="n">
        <x:v>49</x:v>
      </x:c>
      <x:c r="B50" s="14" t="str">
        <x:v>Trainer/Item/Stadium</x:v>
      </x:c>
      <x:c r="C50" s="14" t="str">
        <x:v>Rocky Helmet</x:v>
      </x:c>
      <x:c r="D50" s="14" t="str">
        <x:v>133/149</x:v>
      </x:c>
      <x:c r="E50" s="14" t="str">
        <x:v>Boundaries Crossed</x:v>
      </x:c>
      <x:c r="F50" s="18" t="n">
        <x:v>2012</x:v>
      </x:c>
      <x:c r="G50" s="14" t="str">
        <x:v>Reverse Holo</x:v>
      </x:c>
      <x:c r="H50" s="14" t="str">
        <x:v>1 of 1</x:v>
      </x:c>
      <x:c r="I50" s="16" t="n">
        <x:v>0.75</x:v>
      </x:c>
      <x:c r="J50" s="16" t="n">
        <x:v>1</x:v>
      </x:c>
      <x:c r="K50" s="16" t="n">
        <x:f>IF(AND(ISNUMBER(I50),ISNUMBER(J50)),AVERAGE(I50:J50),"")</x:f>
        <x:v>0.875</x:v>
      </x:c>
      <x:c r="L50" s="14" t="str">
        <x:v>&lt;$1</x:v>
      </x:c>
      <x:c r="M50" s="14" t="str">
        <x:v>Yes</x:v>
      </x:c>
      <x:c r="N50" s="14" t="str">
        <x:v>No</x:v>
      </x:c>
      <x:c r="O50" s="14" t="str">
        <x:v>No</x:v>
      </x:c>
      <x:c r="P50" s="14" t="str">
        <x:v>Clean/NM benchmark unless noted</x:v>
      </x:c>
      <x:c r="Q50" s="16" t="n">
        <x:v>0.75</x:v>
      </x:c>
      <x:c r="R50" s="16" t="n">
        <x:v>1</x:v>
      </x:c>
      <x:c r="S50" s="16" t="n">
        <x:f>IF(AND(ISNUMBER(Q50),ISNUMBER(R50)),AVERAGE(Q50:R50),K50)</x:f>
        <x:v>0.875</x:v>
      </x:c>
      <x:c r="T50" s="14" t="str"/>
      <x:c r="U50" s="18" t="n">
        <x:v>266</x:v>
      </x:c>
      <x:c r="V50" s="14" t="str">
        <x:v>Uploaded Pokémon chat JSON / prior card-by-card research</x:v>
      </x:c>
      <x:c r="W50" s="14" t="str"/>
    </x:row>
    <x:row r="51">
      <x:c r="A51" s="18" t="n">
        <x:v>50</x:v>
      </x:c>
      <x:c r="B51" s="14" t="str">
        <x:v>Trainer/Item/Stadium</x:v>
      </x:c>
      <x:c r="C51" s="14" t="str">
        <x:v>Pokémon Communication</x:v>
      </x:c>
      <x:c r="D51" s="14" t="str">
        <x:v>99/114</x:v>
      </x:c>
      <x:c r="E51" s="14" t="str">
        <x:v>Black &amp; White</x:v>
      </x:c>
      <x:c r="F51" s="18" t="n">
        <x:v>2011</x:v>
      </x:c>
      <x:c r="G51" s="14" t="str">
        <x:v>Reverse Holo</x:v>
      </x:c>
      <x:c r="H51" s="14" t="str">
        <x:v>1 of 1</x:v>
      </x:c>
      <x:c r="I51" s="16" t="n">
        <x:v>1</x:v>
      </x:c>
      <x:c r="J51" s="16" t="n">
        <x:v>2</x:v>
      </x:c>
      <x:c r="K51" s="16" t="n">
        <x:f>IF(AND(ISNUMBER(I51),ISNUMBER(J51)),AVERAGE(I51:J51),"")</x:f>
        <x:v>1.5</x:v>
      </x:c>
      <x:c r="L51" s="14" t="str">
        <x:v>$1–5</x:v>
      </x:c>
      <x:c r="M51" s="14" t="str">
        <x:v>Yes</x:v>
      </x:c>
      <x:c r="N51" s="14" t="str">
        <x:v>No</x:v>
      </x:c>
      <x:c r="O51" s="14" t="str">
        <x:v>Yes</x:v>
      </x:c>
      <x:c r="P51" s="14" t="str">
        <x:v>Clean/NM benchmark unless noted</x:v>
      </x:c>
      <x:c r="Q51" s="16" t="n">
        <x:v>1</x:v>
      </x:c>
      <x:c r="R51" s="16" t="n">
        <x:v>2</x:v>
      </x:c>
      <x:c r="S51" s="16" t="n">
        <x:f>IF(AND(ISNUMBER(Q51),ISNUMBER(R51)),AVERAGE(Q51:R51),K51)</x:f>
        <x:v>1.5</x:v>
      </x:c>
      <x:c r="T51" s="14" t="str"/>
      <x:c r="U51" s="18" t="n">
        <x:v>273</x:v>
      </x:c>
      <x:c r="V51" s="14" t="str">
        <x:v>Uploaded Pokémon chat JSON / prior card-by-card research</x:v>
      </x:c>
      <x:c r="W51" s="14" t="str"/>
    </x:row>
    <x:row r="52">
      <x:c r="A52" s="18" t="n">
        <x:v>51</x:v>
      </x:c>
      <x:c r="B52" s="14" t="str">
        <x:v>Trainer/Item/Stadium</x:v>
      </x:c>
      <x:c r="C52" s="14" t="str">
        <x:v>Pokémon Communication</x:v>
      </x:c>
      <x:c r="D52" s="14" t="str">
        <x:v>99/114</x:v>
      </x:c>
      <x:c r="E52" s="14" t="str">
        <x:v>2011 World Championships</x:v>
      </x:c>
      <x:c r="F52" s="18" t="n">
        <x:v>2011</x:v>
      </x:c>
      <x:c r="G52" s="14" t="str">
        <x:v>Gray-border WC</x:v>
      </x:c>
      <x:c r="H52" s="14" t="str">
        <x:v>1 of 3</x:v>
      </x:c>
      <x:c r="I52" s="16" t="n">
        <x:v>1</x:v>
      </x:c>
      <x:c r="J52" s="16" t="n">
        <x:v>1</x:v>
      </x:c>
      <x:c r="K52" s="16" t="n">
        <x:f>IF(AND(ISNUMBER(I52),ISNUMBER(J52)),AVERAGE(I52:J52),"")</x:f>
        <x:v>1</x:v>
      </x:c>
      <x:c r="L52" s="14" t="str">
        <x:v>$1–5</x:v>
      </x:c>
      <x:c r="M52" s="14" t="str">
        <x:v>Yes</x:v>
      </x:c>
      <x:c r="N52" s="14" t="str">
        <x:v>No</x:v>
      </x:c>
      <x:c r="O52" s="14" t="str">
        <x:v>Yes</x:v>
      </x:c>
      <x:c r="P52" s="14" t="str">
        <x:v>Clean/NM benchmark unless noted</x:v>
      </x:c>
      <x:c r="Q52" s="16" t="n">
        <x:v>1</x:v>
      </x:c>
      <x:c r="R52" s="16" t="n">
        <x:v>1</x:v>
      </x:c>
      <x:c r="S52" s="16" t="n">
        <x:f>IF(AND(ISNUMBER(Q52),ISNUMBER(R52)),AVERAGE(Q52:R52),K52)</x:f>
        <x:v>1</x:v>
      </x:c>
      <x:c r="T52" s="14" t="str"/>
      <x:c r="U52" s="18" t="n">
        <x:v>284</x:v>
      </x:c>
      <x:c r="V52" s="14" t="str">
        <x:v>Uploaded Pokémon chat JSON / prior card-by-card research</x:v>
      </x:c>
      <x:c r="W52" s="14" t="str"/>
    </x:row>
    <x:row r="53">
      <x:c r="A53" s="18" t="n">
        <x:v>52</x:v>
      </x:c>
      <x:c r="B53" s="14" t="str">
        <x:v>Trainer/Item/Stadium</x:v>
      </x:c>
      <x:c r="C53" s="14" t="str">
        <x:v>Pokémon Communication</x:v>
      </x:c>
      <x:c r="D53" s="14" t="str">
        <x:v>99/114</x:v>
      </x:c>
      <x:c r="E53" s="14" t="str">
        <x:v>2011 World Championships</x:v>
      </x:c>
      <x:c r="F53" s="18" t="n">
        <x:v>2011</x:v>
      </x:c>
      <x:c r="G53" s="14" t="str">
        <x:v>Gray-border WC</x:v>
      </x:c>
      <x:c r="H53" s="14" t="str">
        <x:v>2 of 3</x:v>
      </x:c>
      <x:c r="I53" s="16" t="n">
        <x:v>1</x:v>
      </x:c>
      <x:c r="J53" s="16" t="n">
        <x:v>1</x:v>
      </x:c>
      <x:c r="K53" s="16" t="n">
        <x:f>IF(AND(ISNUMBER(I53),ISNUMBER(J53)),AVERAGE(I53:J53),"")</x:f>
        <x:v>1</x:v>
      </x:c>
      <x:c r="L53" s="14" t="str">
        <x:v>$1–5</x:v>
      </x:c>
      <x:c r="M53" s="14" t="str">
        <x:v>Yes</x:v>
      </x:c>
      <x:c r="N53" s="14" t="str">
        <x:v>No</x:v>
      </x:c>
      <x:c r="O53" s="14" t="str">
        <x:v>Yes</x:v>
      </x:c>
      <x:c r="P53" s="14" t="str">
        <x:v>Clean/NM benchmark unless noted</x:v>
      </x:c>
      <x:c r="Q53" s="16" t="n">
        <x:v>1</x:v>
      </x:c>
      <x:c r="R53" s="16" t="n">
        <x:v>1</x:v>
      </x:c>
      <x:c r="S53" s="16" t="n">
        <x:f>IF(AND(ISNUMBER(Q53),ISNUMBER(R53)),AVERAGE(Q53:R53),K53)</x:f>
        <x:v>1</x:v>
      </x:c>
      <x:c r="T53" s="14" t="str"/>
      <x:c r="U53" s="18" t="n">
        <x:v>284</x:v>
      </x:c>
      <x:c r="V53" s="14" t="str">
        <x:v>Uploaded Pokémon chat JSON / prior card-by-card research</x:v>
      </x:c>
      <x:c r="W53" s="14" t="str"/>
    </x:row>
    <x:row r="54">
      <x:c r="A54" s="18" t="n">
        <x:v>53</x:v>
      </x:c>
      <x:c r="B54" s="14" t="str">
        <x:v>Trainer/Item/Stadium</x:v>
      </x:c>
      <x:c r="C54" s="14" t="str">
        <x:v>Pokémon Communication</x:v>
      </x:c>
      <x:c r="D54" s="14" t="str">
        <x:v>99/114</x:v>
      </x:c>
      <x:c r="E54" s="14" t="str">
        <x:v>2011 World Championships</x:v>
      </x:c>
      <x:c r="F54" s="18" t="n">
        <x:v>2011</x:v>
      </x:c>
      <x:c r="G54" s="14" t="str">
        <x:v>Gray-border WC</x:v>
      </x:c>
      <x:c r="H54" s="14" t="str">
        <x:v>3 of 3</x:v>
      </x:c>
      <x:c r="I54" s="16" t="n">
        <x:v>1</x:v>
      </x:c>
      <x:c r="J54" s="16" t="n">
        <x:v>1</x:v>
      </x:c>
      <x:c r="K54" s="16" t="n">
        <x:f>IF(AND(ISNUMBER(I54),ISNUMBER(J54)),AVERAGE(I54:J54),"")</x:f>
        <x:v>1</x:v>
      </x:c>
      <x:c r="L54" s="14" t="str">
        <x:v>$1–5</x:v>
      </x:c>
      <x:c r="M54" s="14" t="str">
        <x:v>Yes</x:v>
      </x:c>
      <x:c r="N54" s="14" t="str">
        <x:v>No</x:v>
      </x:c>
      <x:c r="O54" s="14" t="str">
        <x:v>Yes</x:v>
      </x:c>
      <x:c r="P54" s="14" t="str">
        <x:v>Clean/NM benchmark unless noted</x:v>
      </x:c>
      <x:c r="Q54" s="16" t="n">
        <x:v>1</x:v>
      </x:c>
      <x:c r="R54" s="16" t="n">
        <x:v>1</x:v>
      </x:c>
      <x:c r="S54" s="16" t="n">
        <x:f>IF(AND(ISNUMBER(Q54),ISNUMBER(R54)),AVERAGE(Q54:R54),K54)</x:f>
        <x:v>1</x:v>
      </x:c>
      <x:c r="T54" s="14" t="str"/>
      <x:c r="U54" s="18" t="n">
        <x:v>284</x:v>
      </x:c>
      <x:c r="V54" s="14" t="str">
        <x:v>Uploaded Pokémon chat JSON / prior card-by-card research</x:v>
      </x:c>
      <x:c r="W54" s="14" t="str"/>
    </x:row>
    <x:row r="55">
      <x:c r="A55" s="18" t="n">
        <x:v>54</x:v>
      </x:c>
      <x:c r="B55" s="14" t="str">
        <x:v>Trainer/Item/Stadium</x:v>
      </x:c>
      <x:c r="C55" s="14" t="str">
        <x:v>Pokémon Center</x:v>
      </x:c>
      <x:c r="D55" s="14" t="str">
        <x:v>114/130</x:v>
      </x:c>
      <x:c r="E55" s="14" t="str">
        <x:v>Base Set 2</x:v>
      </x:c>
      <x:c r="F55" s="18" t="n">
        <x:v>2000</x:v>
      </x:c>
      <x:c r="G55" s="14" t="str">
        <x:v>Regular</x:v>
      </x:c>
      <x:c r="H55" s="14" t="str">
        <x:v>1 of 1</x:v>
      </x:c>
      <x:c r="I55" s="16" t="n">
        <x:v>1.15</x:v>
      </x:c>
      <x:c r="J55" s="16" t="n">
        <x:v>1.15</x:v>
      </x:c>
      <x:c r="K55" s="16" t="n">
        <x:f>IF(AND(ISNUMBER(I55),ISNUMBER(J55)),AVERAGE(I55:J55),"")</x:f>
        <x:v>1.15</x:v>
      </x:c>
      <x:c r="L55" s="14" t="str">
        <x:v>$1–5</x:v>
      </x:c>
      <x:c r="M55" s="14" t="str">
        <x:v>Yes</x:v>
      </x:c>
      <x:c r="N55" s="14" t="str">
        <x:v>No</x:v>
      </x:c>
      <x:c r="O55" s="14" t="str">
        <x:v>Yes</x:v>
      </x:c>
      <x:c r="P55" s="14" t="str">
        <x:v>Clean/NM benchmark unless noted</x:v>
      </x:c>
      <x:c r="Q55" s="16" t="n">
        <x:v>1.15</x:v>
      </x:c>
      <x:c r="R55" s="16" t="n">
        <x:v>1.15</x:v>
      </x:c>
      <x:c r="S55" s="16" t="n">
        <x:f>IF(AND(ISNUMBER(Q55),ISNUMBER(R55)),AVERAGE(Q55:R55),K55)</x:f>
        <x:v>1.15</x:v>
      </x:c>
      <x:c r="T55" s="14" t="str"/>
      <x:c r="U55" s="18" t="n">
        <x:v>287</x:v>
      </x:c>
      <x:c r="V55" s="14" t="str">
        <x:v>Uploaded Pokémon chat JSON / prior card-by-card research</x:v>
      </x:c>
      <x:c r="W55" s="14" t="str"/>
    </x:row>
    <x:row r="56">
      <x:c r="A56" s="18" t="n">
        <x:v>55</x:v>
      </x:c>
      <x:c r="B56" s="14" t="str">
        <x:v>Trainer/Item/Stadium</x:v>
      </x:c>
      <x:c r="C56" s="14" t="str">
        <x:v>Pokémon Breeder</x:v>
      </x:c>
      <x:c r="D56" s="14" t="str">
        <x:v>76/102</x:v>
      </x:c>
      <x:c r="E56" s="14" t="str">
        <x:v>Base Set</x:v>
      </x:c>
      <x:c r="F56" s="18" t="n">
        <x:v>1999</x:v>
      </x:c>
      <x:c r="G56" s="14" t="str">
        <x:v>Unlimited Rare</x:v>
      </x:c>
      <x:c r="H56" s="14" t="str">
        <x:v>1 of 1</x:v>
      </x:c>
      <x:c r="I56" s="16" t="n">
        <x:v>6</x:v>
      </x:c>
      <x:c r="J56" s="16" t="n">
        <x:v>7</x:v>
      </x:c>
      <x:c r="K56" s="16" t="n">
        <x:f>IF(AND(ISNUMBER(I56),ISNUMBER(J56)),AVERAGE(I56:J56),"")</x:f>
        <x:v>6.5</x:v>
      </x:c>
      <x:c r="L56" s="14" t="str">
        <x:v>$1–5</x:v>
      </x:c>
      <x:c r="M56" s="14" t="str">
        <x:v>Yes</x:v>
      </x:c>
      <x:c r="N56" s="14" t="str">
        <x:v>No</x:v>
      </x:c>
      <x:c r="O56" s="14" t="str">
        <x:v>Yes</x:v>
      </x:c>
      <x:c r="P56" s="14" t="str">
        <x:v>LP/MP / not great condition</x:v>
      </x:c>
      <x:c r="Q56" s="16" t="n">
        <x:v>3</x:v>
      </x:c>
      <x:c r="R56" s="16" t="n">
        <x:v>5</x:v>
      </x:c>
      <x:c r="S56" s="16" t="n">
        <x:f>IF(AND(ISNUMBER(Q56),ISNUMBER(R56)),AVERAGE(Q56:R56),K56)</x:f>
        <x:v>4</x:v>
      </x:c>
      <x:c r="T56" s="14" t="str">
        <x:v>Shadow present, so normal Unlimited; actual condition-adjusted value lower.</x:v>
      </x:c>
      <x:c r="U56" s="18" t="n">
        <x:v>291</x:v>
      </x:c>
      <x:c r="V56" s="14" t="str">
        <x:v>Uploaded Pokémon chat JSON / prior card-by-card research</x:v>
      </x:c>
      <x:c r="W56" s="14" t="str"/>
    </x:row>
    <x:row r="57">
      <x:c r="A57" s="18" t="n">
        <x:v>56</x:v>
      </x:c>
      <x:c r="B57" s="14" t="str">
        <x:v>Trainer/Item/Stadium</x:v>
      </x:c>
      <x:c r="C57" s="14" t="str">
        <x:v>Pokémon Breeder</x:v>
      </x:c>
      <x:c r="D57" s="14" t="str">
        <x:v>105/130</x:v>
      </x:c>
      <x:c r="E57" s="14" t="str">
        <x:v>Base Set 2</x:v>
      </x:c>
      <x:c r="F57" s="18" t="n">
        <x:v>2000</x:v>
      </x:c>
      <x:c r="G57" s="14" t="str">
        <x:v>Rare Regular</x:v>
      </x:c>
      <x:c r="H57" s="14" t="str">
        <x:v>1 of 1</x:v>
      </x:c>
      <x:c r="I57" s="16" t="n">
        <x:v>4.25</x:v>
      </x:c>
      <x:c r="J57" s="16" t="n">
        <x:v>4.5</x:v>
      </x:c>
      <x:c r="K57" s="16" t="n">
        <x:f>IF(AND(ISNUMBER(I57),ISNUMBER(J57)),AVERAGE(I57:J57),"")</x:f>
        <x:v>4.375</x:v>
      </x:c>
      <x:c r="L57" s="14" t="str">
        <x:v>$1–5</x:v>
      </x:c>
      <x:c r="M57" s="14" t="str">
        <x:v>Yes</x:v>
      </x:c>
      <x:c r="N57" s="14" t="str">
        <x:v>No</x:v>
      </x:c>
      <x:c r="O57" s="14" t="str">
        <x:v>Yes</x:v>
      </x:c>
      <x:c r="P57" s="14" t="str">
        <x:v>Clean/NM benchmark unless noted</x:v>
      </x:c>
      <x:c r="Q57" s="16" t="n">
        <x:v>4.25</x:v>
      </x:c>
      <x:c r="R57" s="16" t="n">
        <x:v>4.5</x:v>
      </x:c>
      <x:c r="S57" s="16" t="n">
        <x:f>IF(AND(ISNUMBER(Q57),ISNUMBER(R57)),AVERAGE(Q57:R57),K57)</x:f>
        <x:v>4.375</x:v>
      </x:c>
      <x:c r="T57" s="14" t="str"/>
      <x:c r="U57" s="18" t="n">
        <x:v>291</x:v>
      </x:c>
      <x:c r="V57" s="14" t="str">
        <x:v>Uploaded Pokémon chat JSON / prior card-by-card research</x:v>
      </x:c>
      <x:c r="W57" s="14" t="str"/>
    </x:row>
    <x:row r="58">
      <x:c r="A58" s="18" t="n">
        <x:v>57</x:v>
      </x:c>
      <x:c r="B58" s="14" t="str">
        <x:v>Trainer/Item/Stadium</x:v>
      </x:c>
      <x:c r="C58" s="14" t="str">
        <x:v>Pokédex</x:v>
      </x:c>
      <x:c r="D58" s="14" t="str">
        <x:v>115/130</x:v>
      </x:c>
      <x:c r="E58" s="14" t="str">
        <x:v>Base Set 2</x:v>
      </x:c>
      <x:c r="F58" s="18" t="n">
        <x:v>2000</x:v>
      </x:c>
      <x:c r="G58" s="14" t="str">
        <x:v>Regular</x:v>
      </x:c>
      <x:c r="H58" s="14" t="str">
        <x:v>1 of 1</x:v>
      </x:c>
      <x:c r="I58" s="16" t="n">
        <x:v>0.6</x:v>
      </x:c>
      <x:c r="J58" s="16" t="n">
        <x:v>0.9</x:v>
      </x:c>
      <x:c r="K58" s="16" t="n">
        <x:f>IF(AND(ISNUMBER(I58),ISNUMBER(J58)),AVERAGE(I58:J58),"")</x:f>
        <x:v>0.75</x:v>
      </x:c>
      <x:c r="L58" s="14" t="str">
        <x:v>&lt;$1</x:v>
      </x:c>
      <x:c r="M58" s="14" t="str">
        <x:v>No</x:v>
      </x:c>
      <x:c r="N58" s="14" t="str">
        <x:v>No</x:v>
      </x:c>
      <x:c r="O58" s="14" t="str">
        <x:v>No</x:v>
      </x:c>
      <x:c r="P58" s="14" t="str">
        <x:v>Clean/NM benchmark unless noted</x:v>
      </x:c>
      <x:c r="Q58" s="16" t="n">
        <x:v>0.6</x:v>
      </x:c>
      <x:c r="R58" s="16" t="n">
        <x:v>0.9</x:v>
      </x:c>
      <x:c r="S58" s="16" t="n">
        <x:f>IF(AND(ISNUMBER(Q58),ISNUMBER(R58)),AVERAGE(Q58:R58),K58)</x:f>
        <x:v>0.75</x:v>
      </x:c>
      <x:c r="T58" s="14" t="str"/>
      <x:c r="U58" s="18" t="n">
        <x:v>303</x:v>
      </x:c>
      <x:c r="V58" s="14" t="str">
        <x:v>Uploaded Pokémon chat JSON / prior card-by-card research</x:v>
      </x:c>
      <x:c r="W58" s="14" t="str"/>
    </x:row>
    <x:row r="59">
      <x:c r="A59" s="18" t="n">
        <x:v>58</x:v>
      </x:c>
      <x:c r="B59" s="14" t="str">
        <x:v>Trainer/Item/Stadium</x:v>
      </x:c>
      <x:c r="C59" s="14" t="str">
        <x:v>Team Galactic’s Invention G-105 Poké Turn</x:v>
      </x:c>
      <x:c r="D59" s="14" t="str">
        <x:v>118/127</x:v>
      </x:c>
      <x:c r="E59" s="14" t="str">
        <x:v>Platinum</x:v>
      </x:c>
      <x:c r="F59" s="18" t="n">
        <x:v>2009</x:v>
      </x:c>
      <x:c r="G59" s="14" t="str">
        <x:v>Regular</x:v>
      </x:c>
      <x:c r="H59" s="14" t="str">
        <x:v>1 of 1</x:v>
      </x:c>
      <x:c r="I59" s="16" t="n">
        <x:v>4.5</x:v>
      </x:c>
      <x:c r="J59" s="16" t="n">
        <x:v>5</x:v>
      </x:c>
      <x:c r="K59" s="16" t="n">
        <x:f>IF(AND(ISNUMBER(I59),ISNUMBER(J59)),AVERAGE(I59:J59),"")</x:f>
        <x:v>4.75</x:v>
      </x:c>
      <x:c r="L59" s="14" t="str">
        <x:v>$1–5</x:v>
      </x:c>
      <x:c r="M59" s="14" t="str">
        <x:v>Yes</x:v>
      </x:c>
      <x:c r="N59" s="14" t="str">
        <x:v>No</x:v>
      </x:c>
      <x:c r="O59" s="14" t="str">
        <x:v>Yes</x:v>
      </x:c>
      <x:c r="P59" s="14" t="str">
        <x:v>Clean/NM benchmark unless noted</x:v>
      </x:c>
      <x:c r="Q59" s="16" t="n">
        <x:v>4.5</x:v>
      </x:c>
      <x:c r="R59" s="16" t="n">
        <x:v>5</x:v>
      </x:c>
      <x:c r="S59" s="16" t="n">
        <x:f>IF(AND(ISNUMBER(Q59),ISNUMBER(R59)),AVERAGE(Q59:R59),K59)</x:f>
        <x:v>4.75</x:v>
      </x:c>
      <x:c r="T59" s="14" t="str"/>
      <x:c r="U59" s="18" t="n">
        <x:v>303</x:v>
      </x:c>
      <x:c r="V59" s="14" t="str">
        <x:v>Uploaded Pokémon chat JSON / prior card-by-card research</x:v>
      </x:c>
      <x:c r="W59" s="14" t="str"/>
    </x:row>
    <x:row r="60">
      <x:c r="A60" s="18" t="n">
        <x:v>59</x:v>
      </x:c>
      <x:c r="B60" s="14" t="str">
        <x:v>Trainer/Item/Stadium</x:v>
      </x:c>
      <x:c r="C60" s="14" t="str">
        <x:v>Pokédex HANDY910is</x:v>
      </x:c>
      <x:c r="D60" s="14" t="str">
        <x:v>111/130</x:v>
      </x:c>
      <x:c r="E60" s="14" t="str">
        <x:v>Diamond &amp; Pearl</x:v>
      </x:c>
      <x:c r="F60" s="18" t="n">
        <x:v>2007</x:v>
      </x:c>
      <x:c r="G60" s="14" t="str">
        <x:v>Regular</x:v>
      </x:c>
      <x:c r="H60" s="14" t="str">
        <x:v>1 of 1</x:v>
      </x:c>
      <x:c r="I60" s="16" t="n">
        <x:v>0.3</x:v>
      </x:c>
      <x:c r="J60" s="16" t="n">
        <x:v>0.3</x:v>
      </x:c>
      <x:c r="K60" s="16" t="n">
        <x:f>IF(AND(ISNUMBER(I60),ISNUMBER(J60)),AVERAGE(I60:J60),"")</x:f>
        <x:v>0.3</x:v>
      </x:c>
      <x:c r="L60" s="14" t="str">
        <x:v>&lt;$1</x:v>
      </x:c>
      <x:c r="M60" s="14" t="str">
        <x:v>No</x:v>
      </x:c>
      <x:c r="N60" s="14" t="str">
        <x:v>No</x:v>
      </x:c>
      <x:c r="O60" s="14" t="str">
        <x:v>No</x:v>
      </x:c>
      <x:c r="P60" s="14" t="str">
        <x:v>Clean/NM benchmark unless noted</x:v>
      </x:c>
      <x:c r="Q60" s="16" t="n">
        <x:v>0.3</x:v>
      </x:c>
      <x:c r="R60" s="16" t="n">
        <x:v>0.3</x:v>
      </x:c>
      <x:c r="S60" s="16" t="n">
        <x:f>IF(AND(ISNUMBER(Q60),ISNUMBER(R60)),AVERAGE(Q60:R60),K60)</x:f>
        <x:v>0.3</x:v>
      </x:c>
      <x:c r="T60" s="14" t="str"/>
      <x:c r="U60" s="18" t="n">
        <x:v>303</x:v>
      </x:c>
      <x:c r="V60" s="14" t="str">
        <x:v>Uploaded Pokémon chat JSON / prior card-by-card research</x:v>
      </x:c>
      <x:c r="W60" s="14" t="str"/>
    </x:row>
    <x:row r="61">
      <x:c r="A61" s="18" t="n">
        <x:v>60</x:v>
      </x:c>
      <x:c r="B61" s="14" t="str">
        <x:v>Trainer/Item/Stadium</x:v>
      </x:c>
      <x:c r="C61" s="14" t="str">
        <x:v>Super Rod</x:v>
      </x:c>
      <x:c r="D61" s="14" t="str">
        <x:v>20/20</x:v>
      </x:c>
      <x:c r="E61" s="14" t="str">
        <x:v>Dragon Vault</x:v>
      </x:c>
      <x:c r="F61" s="18" t="n">
        <x:v>2012</x:v>
      </x:c>
      <x:c r="G61" s="14" t="str">
        <x:v>Holo Rare</x:v>
      </x:c>
      <x:c r="H61" s="14" t="str">
        <x:v>1 of 2</x:v>
      </x:c>
      <x:c r="I61" s="16" t="n">
        <x:v>6</x:v>
      </x:c>
      <x:c r="J61" s="16" t="n">
        <x:v>6.25</x:v>
      </x:c>
      <x:c r="K61" s="16" t="n">
        <x:f>IF(AND(ISNUMBER(I61),ISNUMBER(J61)),AVERAGE(I61:J61),"")</x:f>
        <x:v>6.125</x:v>
      </x:c>
      <x:c r="L61" s="14" t="str">
        <x:v>$5–20</x:v>
      </x:c>
      <x:c r="M61" s="14" t="str">
        <x:v>Yes</x:v>
      </x:c>
      <x:c r="N61" s="14" t="str">
        <x:v>No</x:v>
      </x:c>
      <x:c r="O61" s="14" t="str">
        <x:v>Yes</x:v>
      </x:c>
      <x:c r="P61" s="14" t="str">
        <x:v>Clean/NM benchmark unless noted</x:v>
      </x:c>
      <x:c r="Q61" s="16" t="n">
        <x:v>6</x:v>
      </x:c>
      <x:c r="R61" s="16" t="n">
        <x:v>6.25</x:v>
      </x:c>
      <x:c r="S61" s="16" t="n">
        <x:f>IF(AND(ISNUMBER(Q61),ISNUMBER(R61)),AVERAGE(Q61:R61),K61)</x:f>
        <x:v>6.125</x:v>
      </x:c>
      <x:c r="T61" s="14" t="str"/>
      <x:c r="U61" s="18" t="n">
        <x:v>309</x:v>
      </x:c>
      <x:c r="V61" s="14" t="str">
        <x:v>Uploaded Pokémon chat JSON / prior card-by-card research</x:v>
      </x:c>
      <x:c r="W61" s="14" t="str"/>
    </x:row>
    <x:row r="62">
      <x:c r="A62" s="18" t="n">
        <x:v>61</x:v>
      </x:c>
      <x:c r="B62" s="14" t="str">
        <x:v>Trainer/Item/Stadium</x:v>
      </x:c>
      <x:c r="C62" s="14" t="str">
        <x:v>Super Rod</x:v>
      </x:c>
      <x:c r="D62" s="14" t="str">
        <x:v>20/20</x:v>
      </x:c>
      <x:c r="E62" s="14" t="str">
        <x:v>Dragon Vault</x:v>
      </x:c>
      <x:c r="F62" s="18" t="n">
        <x:v>2012</x:v>
      </x:c>
      <x:c r="G62" s="14" t="str">
        <x:v>Holo Rare</x:v>
      </x:c>
      <x:c r="H62" s="14" t="str">
        <x:v>2 of 2</x:v>
      </x:c>
      <x:c r="I62" s="16" t="n">
        <x:v>6</x:v>
      </x:c>
      <x:c r="J62" s="16" t="n">
        <x:v>6.25</x:v>
      </x:c>
      <x:c r="K62" s="16" t="n">
        <x:f>IF(AND(ISNUMBER(I62),ISNUMBER(J62)),AVERAGE(I62:J62),"")</x:f>
        <x:v>6.125</x:v>
      </x:c>
      <x:c r="L62" s="14" t="str">
        <x:v>$5–20</x:v>
      </x:c>
      <x:c r="M62" s="14" t="str">
        <x:v>Yes</x:v>
      </x:c>
      <x:c r="N62" s="14" t="str">
        <x:v>No</x:v>
      </x:c>
      <x:c r="O62" s="14" t="str">
        <x:v>Yes</x:v>
      </x:c>
      <x:c r="P62" s="14" t="str">
        <x:v>Clean/NM benchmark unless noted</x:v>
      </x:c>
      <x:c r="Q62" s="16" t="n">
        <x:v>6</x:v>
      </x:c>
      <x:c r="R62" s="16" t="n">
        <x:v>6.25</x:v>
      </x:c>
      <x:c r="S62" s="16" t="n">
        <x:f>IF(AND(ISNUMBER(Q62),ISNUMBER(R62)),AVERAGE(Q62:R62),K62)</x:f>
        <x:v>6.125</x:v>
      </x:c>
      <x:c r="T62" s="14" t="str"/>
      <x:c r="U62" s="18" t="n">
        <x:v>309</x:v>
      </x:c>
      <x:c r="V62" s="14" t="str">
        <x:v>Uploaded Pokémon chat JSON / prior card-by-card research</x:v>
      </x:c>
      <x:c r="W62" s="14" t="str"/>
    </x:row>
    <x:row r="63">
      <x:c r="A63" s="18" t="n">
        <x:v>62</x:v>
      </x:c>
      <x:c r="B63" s="14" t="str">
        <x:v>Trainer/Item/Stadium</x:v>
      </x:c>
      <x:c r="C63" s="14" t="str">
        <x:v>Super Rod</x:v>
      </x:c>
      <x:c r="D63" s="14" t="str">
        <x:v>95/101</x:v>
      </x:c>
      <x:c r="E63" s="14" t="str">
        <x:v>Noble Victories</x:v>
      </x:c>
      <x:c r="F63" s="18" t="n">
        <x:v>2011</x:v>
      </x:c>
      <x:c r="G63" s="14" t="str">
        <x:v>Reverse Holo</x:v>
      </x:c>
      <x:c r="H63" s="14" t="str">
        <x:v>1 of 2</x:v>
      </x:c>
      <x:c r="I63" s="16" t="n">
        <x:v>3.2</x:v>
      </x:c>
      <x:c r="J63" s="16" t="n">
        <x:v>3.23</x:v>
      </x:c>
      <x:c r="K63" s="16" t="n">
        <x:f>IF(AND(ISNUMBER(I63),ISNUMBER(J63)),AVERAGE(I63:J63),"")</x:f>
        <x:v>3.215</x:v>
      </x:c>
      <x:c r="L63" s="14" t="str">
        <x:v>$1–5</x:v>
      </x:c>
      <x:c r="M63" s="14" t="str">
        <x:v>Yes</x:v>
      </x:c>
      <x:c r="N63" s="14" t="str">
        <x:v>No</x:v>
      </x:c>
      <x:c r="O63" s="14" t="str">
        <x:v>Yes</x:v>
      </x:c>
      <x:c r="P63" s="14" t="str">
        <x:v>Clean/NM benchmark unless noted</x:v>
      </x:c>
      <x:c r="Q63" s="16" t="n">
        <x:v>3.2</x:v>
      </x:c>
      <x:c r="R63" s="16" t="n">
        <x:v>3.23</x:v>
      </x:c>
      <x:c r="S63" s="16" t="n">
        <x:f>IF(AND(ISNUMBER(Q63),ISNUMBER(R63)),AVERAGE(Q63:R63),K63)</x:f>
        <x:v>3.215</x:v>
      </x:c>
      <x:c r="T63" s="14" t="str"/>
      <x:c r="U63" s="18" t="n">
        <x:v>315</x:v>
      </x:c>
      <x:c r="V63" s="14" t="str">
        <x:v>Uploaded Pokémon chat JSON / prior card-by-card research</x:v>
      </x:c>
      <x:c r="W63" s="14" t="str"/>
    </x:row>
    <x:row r="64">
      <x:c r="A64" s="18" t="n">
        <x:v>63</x:v>
      </x:c>
      <x:c r="B64" s="14" t="str">
        <x:v>Trainer/Item/Stadium</x:v>
      </x:c>
      <x:c r="C64" s="14" t="str">
        <x:v>Super Rod</x:v>
      </x:c>
      <x:c r="D64" s="14" t="str">
        <x:v>95/101</x:v>
      </x:c>
      <x:c r="E64" s="14" t="str">
        <x:v>Noble Victories</x:v>
      </x:c>
      <x:c r="F64" s="18" t="n">
        <x:v>2011</x:v>
      </x:c>
      <x:c r="G64" s="14" t="str">
        <x:v>Reverse Holo</x:v>
      </x:c>
      <x:c r="H64" s="14" t="str">
        <x:v>2 of 2</x:v>
      </x:c>
      <x:c r="I64" s="16" t="n">
        <x:v>3.2</x:v>
      </x:c>
      <x:c r="J64" s="16" t="n">
        <x:v>3.23</x:v>
      </x:c>
      <x:c r="K64" s="16" t="n">
        <x:f>IF(AND(ISNUMBER(I64),ISNUMBER(J64)),AVERAGE(I64:J64),"")</x:f>
        <x:v>3.215</x:v>
      </x:c>
      <x:c r="L64" s="14" t="str">
        <x:v>$1–5</x:v>
      </x:c>
      <x:c r="M64" s="14" t="str">
        <x:v>Yes</x:v>
      </x:c>
      <x:c r="N64" s="14" t="str">
        <x:v>No</x:v>
      </x:c>
      <x:c r="O64" s="14" t="str">
        <x:v>Yes</x:v>
      </x:c>
      <x:c r="P64" s="14" t="str">
        <x:v>Clean/NM benchmark unless noted</x:v>
      </x:c>
      <x:c r="Q64" s="16" t="n">
        <x:v>3.2</x:v>
      </x:c>
      <x:c r="R64" s="16" t="n">
        <x:v>3.23</x:v>
      </x:c>
      <x:c r="S64" s="16" t="n">
        <x:f>IF(AND(ISNUMBER(Q64),ISNUMBER(R64)),AVERAGE(Q64:R64),K64)</x:f>
        <x:v>3.215</x:v>
      </x:c>
      <x:c r="T64" s="14" t="str"/>
      <x:c r="U64" s="18" t="n">
        <x:v>315</x:v>
      </x:c>
      <x:c r="V64" s="14" t="str">
        <x:v>Uploaded Pokémon chat JSON / prior card-by-card research</x:v>
      </x:c>
      <x:c r="W64" s="14" t="str"/>
    </x:row>
    <x:row r="65">
      <x:c r="A65" s="18" t="n">
        <x:v>64</x:v>
      </x:c>
      <x:c r="B65" s="14" t="str">
        <x:v>Trainer/Item/Stadium</x:v>
      </x:c>
      <x:c r="C65" s="14" t="str">
        <x:v>Technical Machine TS-1</x:v>
      </x:c>
      <x:c r="D65" s="14" t="str">
        <x:v>136/146</x:v>
      </x:c>
      <x:c r="E65" s="14" t="str">
        <x:v>Legends Awakened</x:v>
      </x:c>
      <x:c r="F65" s="18" t="n">
        <x:v>2008</x:v>
      </x:c>
      <x:c r="G65" s="14" t="str">
        <x:v>Regular</x:v>
      </x:c>
      <x:c r="H65" s="14" t="str">
        <x:v>1 of 1</x:v>
      </x:c>
      <x:c r="I65" s="16" t="n">
        <x:v>0.3</x:v>
      </x:c>
      <x:c r="J65" s="16" t="n">
        <x:v>0.3</x:v>
      </x:c>
      <x:c r="K65" s="16" t="n">
        <x:f>IF(AND(ISNUMBER(I65),ISNUMBER(J65)),AVERAGE(I65:J65),"")</x:f>
        <x:v>0.3</x:v>
      </x:c>
      <x:c r="L65" s="14" t="str">
        <x:v>&lt;$1</x:v>
      </x:c>
      <x:c r="M65" s="14" t="str">
        <x:v>No</x:v>
      </x:c>
      <x:c r="N65" s="14" t="str">
        <x:v>No</x:v>
      </x:c>
      <x:c r="O65" s="14" t="str">
        <x:v>No</x:v>
      </x:c>
      <x:c r="P65" s="14" t="str">
        <x:v>Clean/NM benchmark unless noted</x:v>
      </x:c>
      <x:c r="Q65" s="16" t="n">
        <x:v>0.3</x:v>
      </x:c>
      <x:c r="R65" s="16" t="n">
        <x:v>0.3</x:v>
      </x:c>
      <x:c r="S65" s="16" t="n">
        <x:f>IF(AND(ISNUMBER(Q65),ISNUMBER(R65)),AVERAGE(Q65:R65),K65)</x:f>
        <x:v>0.3</x:v>
      </x:c>
      <x:c r="T65" s="14" t="str"/>
      <x:c r="U65" s="18" t="n">
        <x:v>321</x:v>
      </x:c>
      <x:c r="V65" s="14" t="str">
        <x:v>Uploaded Pokémon chat JSON / prior card-by-card research</x:v>
      </x:c>
      <x:c r="W65" s="14" t="str"/>
    </x:row>
    <x:row r="66">
      <x:c r="A66" s="18" t="n">
        <x:v>65</x:v>
      </x:c>
      <x:c r="B66" s="14" t="str">
        <x:v>Trainer/Item/Stadium</x:v>
      </x:c>
      <x:c r="C66" s="14" t="str">
        <x:v>Technical Machine TS-2</x:v>
      </x:c>
      <x:c r="D66" s="14" t="str">
        <x:v>137/146</x:v>
      </x:c>
      <x:c r="E66" s="14" t="str">
        <x:v>Legends Awakened</x:v>
      </x:c>
      <x:c r="F66" s="18" t="n">
        <x:v>2008</x:v>
      </x:c>
      <x:c r="G66" s="14" t="str">
        <x:v>Regular</x:v>
      </x:c>
      <x:c r="H66" s="14" t="str">
        <x:v>1 of 1</x:v>
      </x:c>
      <x:c r="I66" s="16" t="n">
        <x:v>0.5</x:v>
      </x:c>
      <x:c r="J66" s="16" t="n">
        <x:v>0.5</x:v>
      </x:c>
      <x:c r="K66" s="16" t="n">
        <x:f>IF(AND(ISNUMBER(I66),ISNUMBER(J66)),AVERAGE(I66:J66),"")</x:f>
        <x:v>0.5</x:v>
      </x:c>
      <x:c r="L66" s="14" t="str">
        <x:v>&lt;$1</x:v>
      </x:c>
      <x:c r="M66" s="14" t="str">
        <x:v>No</x:v>
      </x:c>
      <x:c r="N66" s="14" t="str">
        <x:v>No</x:v>
      </x:c>
      <x:c r="O66" s="14" t="str">
        <x:v>No</x:v>
      </x:c>
      <x:c r="P66" s="14" t="str">
        <x:v>Clean/NM benchmark unless noted</x:v>
      </x:c>
      <x:c r="Q66" s="16" t="n">
        <x:v>0.5</x:v>
      </x:c>
      <x:c r="R66" s="16" t="n">
        <x:v>0.5</x:v>
      </x:c>
      <x:c r="S66" s="16" t="n">
        <x:f>IF(AND(ISNUMBER(Q66),ISNUMBER(R66)),AVERAGE(Q66:R66),K66)</x:f>
        <x:v>0.5</x:v>
      </x:c>
      <x:c r="T66" s="14" t="str"/>
      <x:c r="U66" s="18" t="n">
        <x:v>321</x:v>
      </x:c>
      <x:c r="V66" s="14" t="str">
        <x:v>Uploaded Pokémon chat JSON / prior card-by-card research</x:v>
      </x:c>
      <x:c r="W66" s="14" t="str"/>
    </x:row>
    <x:row r="67">
      <x:c r="A67" s="18" t="n">
        <x:v>66</x:v>
      </x:c>
      <x:c r="B67" s="14" t="str">
        <x:v>Trainer/Item/Stadium</x:v>
      </x:c>
      <x:c r="C67" s="14" t="str">
        <x:v>Team Plasma Badge</x:v>
      </x:c>
      <x:c r="D67" s="14" t="str">
        <x:v>104/116</x:v>
      </x:c>
      <x:c r="E67" s="14" t="str">
        <x:v>Plasma Freeze</x:v>
      </x:c>
      <x:c r="F67" s="18" t="n">
        <x:v>2013</x:v>
      </x:c>
      <x:c r="G67" s="14" t="str">
        <x:v>Regular</x:v>
      </x:c>
      <x:c r="H67" s="14" t="str">
        <x:v>1 of 1</x:v>
      </x:c>
      <x:c r="I67" s="16" t="n">
        <x:v>0.34</x:v>
      </x:c>
      <x:c r="J67" s="16" t="n">
        <x:v>0.35</x:v>
      </x:c>
      <x:c r="K67" s="16" t="n">
        <x:f>IF(AND(ISNUMBER(I67),ISNUMBER(J67)),AVERAGE(I67:J67),"")</x:f>
        <x:v>0.345</x:v>
      </x:c>
      <x:c r="L67" s="14" t="str">
        <x:v>&lt;$1</x:v>
      </x:c>
      <x:c r="M67" s="14" t="str">
        <x:v>No</x:v>
      </x:c>
      <x:c r="N67" s="14" t="str">
        <x:v>No</x:v>
      </x:c>
      <x:c r="O67" s="14" t="str">
        <x:v>No</x:v>
      </x:c>
      <x:c r="P67" s="14" t="str">
        <x:v>Clean/NM benchmark unless noted</x:v>
      </x:c>
      <x:c r="Q67" s="16" t="n">
        <x:v>0.34</x:v>
      </x:c>
      <x:c r="R67" s="16" t="n">
        <x:v>0.35</x:v>
      </x:c>
      <x:c r="S67" s="16" t="n">
        <x:f>IF(AND(ISNUMBER(Q67),ISNUMBER(R67)),AVERAGE(Q67:R67),K67)</x:f>
        <x:v>0.345</x:v>
      </x:c>
      <x:c r="T67" s="14" t="str"/>
      <x:c r="U67" s="18" t="n">
        <x:v>327</x:v>
      </x:c>
      <x:c r="V67" s="14" t="str">
        <x:v>Uploaded Pokémon chat JSON / prior card-by-card research</x:v>
      </x:c>
      <x:c r="W67" s="14" t="str"/>
    </x:row>
    <x:row r="68">
      <x:c r="A68" s="18" t="n">
        <x:v>67</x:v>
      </x:c>
      <x:c r="B68" s="14" t="str">
        <x:v>Trainer/Item/Stadium</x:v>
      </x:c>
      <x:c r="C68" s="14" t="str">
        <x:v>Switch</x:v>
      </x:c>
      <x:c r="D68" s="14" t="str">
        <x:v>92/109</x:v>
      </x:c>
      <x:c r="E68" s="14" t="str">
        <x:v>2004 World Championships</x:v>
      </x:c>
      <x:c r="F68" s="18" t="n">
        <x:v>2004</x:v>
      </x:c>
      <x:c r="G68" s="14" t="str">
        <x:v>World Championships</x:v>
      </x:c>
      <x:c r="H68" s="14" t="str">
        <x:v>1 of 1</x:v>
      </x:c>
      <x:c r="I68" s="16" t="n">
        <x:v>2.3</x:v>
      </x:c>
      <x:c r="J68" s="16" t="n">
        <x:v>2.33</x:v>
      </x:c>
      <x:c r="K68" s="16" t="n">
        <x:f>IF(AND(ISNUMBER(I68),ISNUMBER(J68)),AVERAGE(I68:J68),"")</x:f>
        <x:v>2.315</x:v>
      </x:c>
      <x:c r="L68" s="14" t="str">
        <x:v>$1–5</x:v>
      </x:c>
      <x:c r="M68" s="14" t="str">
        <x:v>Yes</x:v>
      </x:c>
      <x:c r="N68" s="14" t="str">
        <x:v>No</x:v>
      </x:c>
      <x:c r="O68" s="14" t="str">
        <x:v>Yes</x:v>
      </x:c>
      <x:c r="P68" s="14" t="str">
        <x:v>Clean/NM benchmark unless noted</x:v>
      </x:c>
      <x:c r="Q68" s="16" t="n">
        <x:v>2.3</x:v>
      </x:c>
      <x:c r="R68" s="16" t="n">
        <x:v>2.33</x:v>
      </x:c>
      <x:c r="S68" s="16" t="n">
        <x:f>IF(AND(ISNUMBER(Q68),ISNUMBER(R68)),AVERAGE(Q68:R68),K68)</x:f>
        <x:v>2.315</x:v>
      </x:c>
      <x:c r="T68" s="14" t="str"/>
      <x:c r="U68" s="18" t="n">
        <x:v>327</x:v>
      </x:c>
      <x:c r="V68" s="14" t="str">
        <x:v>Uploaded Pokémon chat JSON / prior card-by-card research</x:v>
      </x:c>
      <x:c r="W68" s="14" t="str"/>
    </x:row>
    <x:row r="69">
      <x:c r="A69" s="18" t="n">
        <x:v>68</x:v>
      </x:c>
      <x:c r="B69" s="14" t="str">
        <x:v>Trainer/Item/Stadium</x:v>
      </x:c>
      <x:c r="C69" s="14" t="str">
        <x:v>Switch</x:v>
      </x:c>
      <x:c r="D69" s="14" t="str">
        <x:v>6/8</x:v>
      </x:c>
      <x:c r="E69" s="14" t="str">
        <x:v>Pokémon Trading Figure Game: Next Quest</x:v>
      </x:c>
      <x:c r="F69" s="18" t="n">
        <x:v>2007</x:v>
      </x:c>
      <x:c r="G69" s="14" t="str">
        <x:v>Sideways TFG Trainer</x:v>
      </x:c>
      <x:c r="H69" s="14" t="str">
        <x:v>1 of 1</x:v>
      </x:c>
      <x:c r="I69" s="16" t="n">
        <x:v>20</x:v>
      </x:c>
      <x:c r="J69" s="16" t="n">
        <x:v>20</x:v>
      </x:c>
      <x:c r="K69" s="16" t="n">
        <x:f>IF(AND(ISNUMBER(I69),ISNUMBER(J69)),AVERAGE(I69:J69),"")</x:f>
        <x:v>20</x:v>
      </x:c>
      <x:c r="L69" s="14" t="str">
        <x:v>$5–20</x:v>
      </x:c>
      <x:c r="M69" s="14" t="str">
        <x:v>Yes</x:v>
      </x:c>
      <x:c r="N69" s="14" t="str">
        <x:v>Yes</x:v>
      </x:c>
      <x:c r="O69" s="14" t="str">
        <x:v>Yes</x:v>
      </x:c>
      <x:c r="P69" s="14" t="str">
        <x:v>Heavily played / damaged</x:v>
      </x:c>
      <x:c r="Q69" s="16" t="n">
        <x:v>7</x:v>
      </x:c>
      <x:c r="R69" s="16" t="n">
        <x:v>12</x:v>
      </x:c>
      <x:c r="S69" s="16" t="n">
        <x:f>IF(AND(ISNUMBER(Q69),ISNUMBER(R69)),AVERAGE(Q69:R69),K69)</x:f>
        <x:v>9.5</x:v>
      </x:c>
      <x:c r="T69" s="14" t="str">
        <x:v>Discolored/scratched back. Toploader based on clean raw &gt;$10.</x:v>
      </x:c>
      <x:c r="U69" s="18" t="n">
        <x:v>333</x:v>
      </x:c>
      <x:c r="V69" s="14" t="str">
        <x:v>Uploaded Pokémon chat JSON / prior card-by-card research</x:v>
      </x:c>
      <x:c r="W69" s="14" t="str"/>
    </x:row>
    <x:row r="70">
      <x:c r="A70" s="18" t="n">
        <x:v>69</x:v>
      </x:c>
      <x:c r="B70" s="14" t="str">
        <x:v>Trainer/Item/Stadium</x:v>
      </x:c>
      <x:c r="C70" s="14" t="str">
        <x:v>Switch</x:v>
      </x:c>
      <x:c r="D70" s="14" t="str">
        <x:v>123/130</x:v>
      </x:c>
      <x:c r="E70" s="14" t="str">
        <x:v>Base Set 2</x:v>
      </x:c>
      <x:c r="F70" s="18" t="n">
        <x:v>2000</x:v>
      </x:c>
      <x:c r="G70" s="14" t="str">
        <x:v>Regular</x:v>
      </x:c>
      <x:c r="H70" s="14" t="str">
        <x:v>1 of 1</x:v>
      </x:c>
      <x:c r="I70" s="16" t="n">
        <x:v>0.25</x:v>
      </x:c>
      <x:c r="J70" s="16" t="n">
        <x:v>0.5</x:v>
      </x:c>
      <x:c r="K70" s="16" t="n">
        <x:f>IF(AND(ISNUMBER(I70),ISNUMBER(J70)),AVERAGE(I70:J70),"")</x:f>
        <x:v>0.375</x:v>
      </x:c>
      <x:c r="L70" s="14" t="str">
        <x:v>&lt;$1</x:v>
      </x:c>
      <x:c r="M70" s="14" t="str">
        <x:v>No</x:v>
      </x:c>
      <x:c r="N70" s="14" t="str">
        <x:v>No</x:v>
      </x:c>
      <x:c r="O70" s="14" t="str">
        <x:v>No</x:v>
      </x:c>
      <x:c r="P70" s="14" t="str">
        <x:v>Clean/NM benchmark unless noted</x:v>
      </x:c>
      <x:c r="Q70" s="16" t="n">
        <x:v>0.25</x:v>
      </x:c>
      <x:c r="R70" s="16" t="n">
        <x:v>0.5</x:v>
      </x:c>
      <x:c r="S70" s="16" t="n">
        <x:f>IF(AND(ISNUMBER(Q70),ISNUMBER(R70)),AVERAGE(Q70:R70),K70)</x:f>
        <x:v>0.375</x:v>
      </x:c>
      <x:c r="T70" s="14" t="str"/>
      <x:c r="U70" s="18" t="n">
        <x:v>333</x:v>
      </x:c>
      <x:c r="V70" s="14" t="str">
        <x:v>Uploaded Pokémon chat JSON / prior card-by-card research</x:v>
      </x:c>
      <x:c r="W70" s="14" t="str"/>
    </x:row>
    <x:row r="71">
      <x:c r="A71" s="18" t="n">
        <x:v>70</x:v>
      </x:c>
      <x:c r="B71" s="14" t="str">
        <x:v>Trainer/Item/Stadium</x:v>
      </x:c>
      <x:c r="C71" s="14" t="str">
        <x:v>Super Scoop Up</x:v>
      </x:c>
      <x:c r="D71" s="14" t="str">
        <x:v>103/114</x:v>
      </x:c>
      <x:c r="E71" s="14" t="str">
        <x:v>Black &amp; White</x:v>
      </x:c>
      <x:c r="F71" s="18" t="n">
        <x:v>2011</x:v>
      </x:c>
      <x:c r="G71" s="14" t="str">
        <x:v>Reverse Holo</x:v>
      </x:c>
      <x:c r="H71" s="14" t="str">
        <x:v>1 of 1</x:v>
      </x:c>
      <x:c r="I71" s="16" t="n">
        <x:v>0.6</x:v>
      </x:c>
      <x:c r="J71" s="16" t="n">
        <x:v>0.61</x:v>
      </x:c>
      <x:c r="K71" s="16" t="n">
        <x:f>IF(AND(ISNUMBER(I71),ISNUMBER(J71)),AVERAGE(I71:J71),"")</x:f>
        <x:v>0.605</x:v>
      </x:c>
      <x:c r="L71" s="14" t="str">
        <x:v>&lt;$1</x:v>
      </x:c>
      <x:c r="M71" s="14" t="str">
        <x:v>Yes</x:v>
      </x:c>
      <x:c r="N71" s="14" t="str">
        <x:v>No</x:v>
      </x:c>
      <x:c r="O71" s="14" t="str">
        <x:v>No</x:v>
      </x:c>
      <x:c r="P71" s="14" t="str">
        <x:v>Clean/NM benchmark unless noted</x:v>
      </x:c>
      <x:c r="Q71" s="16" t="n">
        <x:v>0.6</x:v>
      </x:c>
      <x:c r="R71" s="16" t="n">
        <x:v>0.61</x:v>
      </x:c>
      <x:c r="S71" s="16" t="n">
        <x:f>IF(AND(ISNUMBER(Q71),ISNUMBER(R71)),AVERAGE(Q71:R71),K71)</x:f>
        <x:v>0.605</x:v>
      </x:c>
      <x:c r="T71" s="14" t="str"/>
      <x:c r="U71" s="18" t="n">
        <x:v>345</x:v>
      </x:c>
      <x:c r="V71" s="14" t="str">
        <x:v>Uploaded Pokémon chat JSON / prior card-by-card research</x:v>
      </x:c>
      <x:c r="W71" s="14" t="str"/>
    </x:row>
    <x:row r="72">
      <x:c r="A72" s="18" t="n">
        <x:v>71</x:v>
      </x:c>
      <x:c r="B72" s="14" t="str">
        <x:v>Trainer/Item/Stadium</x:v>
      </x:c>
      <x:c r="C72" s="14" t="str">
        <x:v>Super Scoop Up</x:v>
      </x:c>
      <x:c r="D72" s="14" t="str">
        <x:v>83/95</x:v>
      </x:c>
      <x:c r="E72" s="14" t="str">
        <x:v>Unleashed</x:v>
      </x:c>
      <x:c r="F72" s="18" t="n">
        <x:v>2010</x:v>
      </x:c>
      <x:c r="G72" s="14" t="str">
        <x:v>Reverse Holo</x:v>
      </x:c>
      <x:c r="H72" s="14" t="str">
        <x:v>1 of 1</x:v>
      </x:c>
      <x:c r="I72" s="16" t="n">
        <x:v>2.5</x:v>
      </x:c>
      <x:c r="J72" s="16" t="n">
        <x:v>3</x:v>
      </x:c>
      <x:c r="K72" s="16" t="n">
        <x:f>IF(AND(ISNUMBER(I72),ISNUMBER(J72)),AVERAGE(I72:J72),"")</x:f>
        <x:v>2.75</x:v>
      </x:c>
      <x:c r="L72" s="14" t="str">
        <x:v>$1–5</x:v>
      </x:c>
      <x:c r="M72" s="14" t="str">
        <x:v>Yes</x:v>
      </x:c>
      <x:c r="N72" s="14" t="str">
        <x:v>No</x:v>
      </x:c>
      <x:c r="O72" s="14" t="str">
        <x:v>Yes</x:v>
      </x:c>
      <x:c r="P72" s="14" t="str">
        <x:v>Clean/NM benchmark unless noted</x:v>
      </x:c>
      <x:c r="Q72" s="16" t="n">
        <x:v>2.5</x:v>
      </x:c>
      <x:c r="R72" s="16" t="n">
        <x:v>3</x:v>
      </x:c>
      <x:c r="S72" s="16" t="n">
        <x:f>IF(AND(ISNUMBER(Q72),ISNUMBER(R72)),AVERAGE(Q72:R72),K72)</x:f>
        <x:v>2.75</x:v>
      </x:c>
      <x:c r="T72" s="14" t="str"/>
      <x:c r="U72" s="18" t="n">
        <x:v>345</x:v>
      </x:c>
      <x:c r="V72" s="14" t="str">
        <x:v>Uploaded Pokémon chat JSON / prior card-by-card research</x:v>
      </x:c>
      <x:c r="W72" s="14" t="str"/>
    </x:row>
    <x:row r="73">
      <x:c r="A73" s="18" t="n">
        <x:v>72</x:v>
      </x:c>
      <x:c r="B73" s="14" t="str">
        <x:v>Trainer/Item/Stadium</x:v>
      </x:c>
      <x:c r="C73" s="14" t="str">
        <x:v>Super Scoop Up</x:v>
      </x:c>
      <x:c r="D73" s="14" t="str">
        <x:v>115/130</x:v>
      </x:c>
      <x:c r="E73" s="14" t="str">
        <x:v>Diamond &amp; Pearl</x:v>
      </x:c>
      <x:c r="F73" s="18" t="n">
        <x:v>2007</x:v>
      </x:c>
      <x:c r="G73" s="14" t="str">
        <x:v>Regular</x:v>
      </x:c>
      <x:c r="H73" s="14" t="str">
        <x:v>1 of 1</x:v>
      </x:c>
      <x:c r="I73" s="16" t="n">
        <x:v>0.6</x:v>
      </x:c>
      <x:c r="J73" s="16" t="n">
        <x:v>0.75</x:v>
      </x:c>
      <x:c r="K73" s="16" t="n">
        <x:f>IF(AND(ISNUMBER(I73),ISNUMBER(J73)),AVERAGE(I73:J73),"")</x:f>
        <x:v>0.675</x:v>
      </x:c>
      <x:c r="L73" s="14" t="str">
        <x:v>&lt;$1</x:v>
      </x:c>
      <x:c r="M73" s="14" t="str">
        <x:v>No</x:v>
      </x:c>
      <x:c r="N73" s="14" t="str">
        <x:v>No</x:v>
      </x:c>
      <x:c r="O73" s="14" t="str">
        <x:v>No</x:v>
      </x:c>
      <x:c r="P73" s="14" t="str">
        <x:v>Clean/NM benchmark unless noted</x:v>
      </x:c>
      <x:c r="Q73" s="16" t="n">
        <x:v>0.6</x:v>
      </x:c>
      <x:c r="R73" s="16" t="n">
        <x:v>0.75</x:v>
      </x:c>
      <x:c r="S73" s="16" t="n">
        <x:f>IF(AND(ISNUMBER(Q73),ISNUMBER(R73)),AVERAGE(Q73:R73),K73)</x:f>
        <x:v>0.675</x:v>
      </x:c>
      <x:c r="T73" s="14" t="str"/>
      <x:c r="U73" s="18" t="n">
        <x:v>345</x:v>
      </x:c>
      <x:c r="V73" s="14" t="str">
        <x:v>Uploaded Pokémon chat JSON / prior card-by-card research</x:v>
      </x:c>
      <x:c r="W73" s="14" t="str"/>
    </x:row>
    <x:row r="74">
      <x:c r="A74" s="18" t="n">
        <x:v>73</x:v>
      </x:c>
      <x:c r="B74" s="14" t="str">
        <x:v>Trainer/Item/Stadium</x:v>
      </x:c>
      <x:c r="C74" s="14" t="str">
        <x:v>Skull Fossil</x:v>
      </x:c>
      <x:c r="D74" s="14" t="str">
        <x:v>120/127</x:v>
      </x:c>
      <x:c r="E74" s="14" t="str">
        <x:v>Platinum</x:v>
      </x:c>
      <x:c r="F74" s="18" t="n">
        <x:v>2009</x:v>
      </x:c>
      <x:c r="G74" s="14" t="str">
        <x:v>Reverse Holo</x:v>
      </x:c>
      <x:c r="H74" s="14" t="str">
        <x:v>1 of 1</x:v>
      </x:c>
      <x:c r="I74" s="16" t="n">
        <x:v>1.25</x:v>
      </x:c>
      <x:c r="J74" s="16" t="n">
        <x:v>1.5</x:v>
      </x:c>
      <x:c r="K74" s="16" t="n">
        <x:f>IF(AND(ISNUMBER(I74),ISNUMBER(J74)),AVERAGE(I74:J74),"")</x:f>
        <x:v>1.375</x:v>
      </x:c>
      <x:c r="L74" s="14" t="str">
        <x:v>$1–5</x:v>
      </x:c>
      <x:c r="M74" s="14" t="str">
        <x:v>Yes</x:v>
      </x:c>
      <x:c r="N74" s="14" t="str">
        <x:v>No</x:v>
      </x:c>
      <x:c r="O74" s="14" t="str">
        <x:v>Yes</x:v>
      </x:c>
      <x:c r="P74" s="14" t="str">
        <x:v>Clean/NM benchmark unless noted</x:v>
      </x:c>
      <x:c r="Q74" s="16" t="n">
        <x:v>1.25</x:v>
      </x:c>
      <x:c r="R74" s="16" t="n">
        <x:v>1.5</x:v>
      </x:c>
      <x:c r="S74" s="16" t="n">
        <x:f>IF(AND(ISNUMBER(Q74),ISNUMBER(R74)),AVERAGE(Q74:R74),K74)</x:f>
        <x:v>1.375</x:v>
      </x:c>
      <x:c r="T74" s="14" t="str"/>
      <x:c r="U74" s="18" t="n">
        <x:v>352</x:v>
      </x:c>
      <x:c r="V74" s="14" t="str">
        <x:v>Uploaded Pokémon chat JSON / prior card-by-card research</x:v>
      </x:c>
      <x:c r="W74" s="14" t="str"/>
    </x:row>
    <x:row r="75">
      <x:c r="A75" s="18" t="n">
        <x:v>74</x:v>
      </x:c>
      <x:c r="B75" s="14" t="str">
        <x:v>Trainer/Item/Stadium</x:v>
      </x:c>
      <x:c r="C75" s="14" t="str">
        <x:v>Skull Fossil</x:v>
      </x:c>
      <x:c r="D75" s="14" t="str">
        <x:v>117/123</x:v>
      </x:c>
      <x:c r="E75" s="14" t="str">
        <x:v>Mysterious Treasures</x:v>
      </x:c>
      <x:c r="F75" s="18" t="n">
        <x:v>2007</x:v>
      </x:c>
      <x:c r="G75" s="14" t="str">
        <x:v>Reverse Holo</x:v>
      </x:c>
      <x:c r="H75" s="14" t="str">
        <x:v>1 of 1</x:v>
      </x:c>
      <x:c r="I75" s="16" t="n">
        <x:v>1</x:v>
      </x:c>
      <x:c r="J75" s="16" t="n">
        <x:v>1.5</x:v>
      </x:c>
      <x:c r="K75" s="16" t="n">
        <x:f>IF(AND(ISNUMBER(I75),ISNUMBER(J75)),AVERAGE(I75:J75),"")</x:f>
        <x:v>1.25</x:v>
      </x:c>
      <x:c r="L75" s="14" t="str">
        <x:v>$1–5</x:v>
      </x:c>
      <x:c r="M75" s="14" t="str">
        <x:v>Yes</x:v>
      </x:c>
      <x:c r="N75" s="14" t="str">
        <x:v>No</x:v>
      </x:c>
      <x:c r="O75" s="14" t="str">
        <x:v>Yes</x:v>
      </x:c>
      <x:c r="P75" s="14" t="str">
        <x:v>Clean/NM benchmark unless noted</x:v>
      </x:c>
      <x:c r="Q75" s="16" t="n">
        <x:v>1</x:v>
      </x:c>
      <x:c r="R75" s="16" t="n">
        <x:v>1.5</x:v>
      </x:c>
      <x:c r="S75" s="16" t="n">
        <x:f>IF(AND(ISNUMBER(Q75),ISNUMBER(R75)),AVERAGE(Q75:R75),K75)</x:f>
        <x:v>1.25</x:v>
      </x:c>
      <x:c r="T75" s="14" t="str"/>
      <x:c r="U75" s="18" t="n">
        <x:v>352</x:v>
      </x:c>
      <x:c r="V75" s="14" t="str">
        <x:v>Uploaded Pokémon chat JSON / prior card-by-card research</x:v>
      </x:c>
      <x:c r="W75" s="14" t="str"/>
    </x:row>
    <x:row r="76">
      <x:c r="A76" s="18" t="n">
        <x:v>75</x:v>
      </x:c>
      <x:c r="B76" s="14" t="str">
        <x:v>Trainer/Item/Stadium</x:v>
      </x:c>
      <x:c r="C76" s="14" t="str">
        <x:v>Ruin Wall</x:v>
      </x:c>
      <x:c r="D76" s="14" t="str">
        <x:v>74/75</x:v>
      </x:c>
      <x:c r="E76" s="14" t="str">
        <x:v>Neo Discovery</x:v>
      </x:c>
      <x:c r="F76" s="18" t="n">
        <x:v>2001</x:v>
      </x:c>
      <x:c r="G76" s="14" t="str">
        <x:v>Unlimited Regular</x:v>
      </x:c>
      <x:c r="H76" s="14" t="str">
        <x:v>1 of 1</x:v>
      </x:c>
      <x:c r="I76" s="16" t="n">
        <x:v>1</x:v>
      </x:c>
      <x:c r="J76" s="16" t="n">
        <x:v>1.5</x:v>
      </x:c>
      <x:c r="K76" s="16" t="n">
        <x:f>IF(AND(ISNUMBER(I76),ISNUMBER(J76)),AVERAGE(I76:J76),"")</x:f>
        <x:v>1.25</x:v>
      </x:c>
      <x:c r="L76" s="14" t="str">
        <x:v>$1–5</x:v>
      </x:c>
      <x:c r="M76" s="14" t="str">
        <x:v>Yes</x:v>
      </x:c>
      <x:c r="N76" s="14" t="str">
        <x:v>No</x:v>
      </x:c>
      <x:c r="O76" s="14" t="str">
        <x:v>Yes</x:v>
      </x:c>
      <x:c r="P76" s="14" t="str">
        <x:v>Clean/NM benchmark unless noted</x:v>
      </x:c>
      <x:c r="Q76" s="16" t="n">
        <x:v>1</x:v>
      </x:c>
      <x:c r="R76" s="16" t="n">
        <x:v>1.5</x:v>
      </x:c>
      <x:c r="S76" s="16" t="n">
        <x:f>IF(AND(ISNUMBER(Q76),ISNUMBER(R76)),AVERAGE(Q76:R76),K76)</x:f>
        <x:v>1.25</x:v>
      </x:c>
      <x:c r="T76" s="14" t="str"/>
      <x:c r="U76" s="18" t="n">
        <x:v>364</x:v>
      </x:c>
      <x:c r="V76" s="14" t="str">
        <x:v>Uploaded Pokémon chat JSON / prior card-by-card research</x:v>
      </x:c>
      <x:c r="W76" s="14" t="str"/>
    </x:row>
    <x:row r="77">
      <x:c r="A77" s="18" t="n">
        <x:v>76</x:v>
      </x:c>
      <x:c r="B77" s="14" t="str">
        <x:v>Trainer/Item/Stadium</x:v>
      </x:c>
      <x:c r="C77" s="14" t="str">
        <x:v>Secret Mission</x:v>
      </x:c>
      <x:c r="D77" s="14" t="str">
        <x:v>118/132</x:v>
      </x:c>
      <x:c r="E77" s="14" t="str">
        <x:v>Gym Heroes</x:v>
      </x:c>
      <x:c r="F77" s="18" t="n">
        <x:v>2000</x:v>
      </x:c>
      <x:c r="G77" s="14" t="str">
        <x:v>Unlimited Regular</x:v>
      </x:c>
      <x:c r="H77" s="14" t="str">
        <x:v>1 of 1</x:v>
      </x:c>
      <x:c r="I77" s="16" t="n">
        <x:v>2</x:v>
      </x:c>
      <x:c r="J77" s="16" t="n">
        <x:v>3</x:v>
      </x:c>
      <x:c r="K77" s="16" t="n">
        <x:f>IF(AND(ISNUMBER(I77),ISNUMBER(J77)),AVERAGE(I77:J77),"")</x:f>
        <x:v>2.5</x:v>
      </x:c>
      <x:c r="L77" s="14" t="str">
        <x:v>$1–5</x:v>
      </x:c>
      <x:c r="M77" s="14" t="str">
        <x:v>Yes</x:v>
      </x:c>
      <x:c r="N77" s="14" t="str">
        <x:v>No</x:v>
      </x:c>
      <x:c r="O77" s="14" t="str">
        <x:v>Yes</x:v>
      </x:c>
      <x:c r="P77" s="14" t="str">
        <x:v>Clean/NM benchmark unless noted</x:v>
      </x:c>
      <x:c r="Q77" s="16" t="n">
        <x:v>2</x:v>
      </x:c>
      <x:c r="R77" s="16" t="n">
        <x:v>3</x:v>
      </x:c>
      <x:c r="S77" s="16" t="n">
        <x:f>IF(AND(ISNUMBER(Q77),ISNUMBER(R77)),AVERAGE(Q77:R77),K77)</x:f>
        <x:v>2.5</x:v>
      </x:c>
      <x:c r="T77" s="14" t="str"/>
      <x:c r="U77" s="18" t="n">
        <x:v>370</x:v>
      </x:c>
      <x:c r="V77" s="14" t="str">
        <x:v>Uploaded Pokémon chat JSON / prior card-by-card research</x:v>
      </x:c>
      <x:c r="W77" s="14" t="str"/>
    </x:row>
    <x:row r="78">
      <x:c r="A78" s="18" t="n">
        <x:v>77</x:v>
      </x:c>
      <x:c r="B78" s="14" t="str">
        <x:v>Trainer/Item/Stadium</x:v>
      </x:c>
      <x:c r="C78" s="14" t="str">
        <x:v>X Attack</x:v>
      </x:c>
      <x:c r="D78" s="14" t="str">
        <x:v>8/8</x:v>
      </x:c>
      <x:c r="E78" s="14" t="str">
        <x:v>Pokémon Trading Figure Game: Next Quest</x:v>
      </x:c>
      <x:c r="F78" s="18" t="n">
        <x:v>2007</x:v>
      </x:c>
      <x:c r="G78" s="14" t="str">
        <x:v>Sideways TFG Trainer</x:v>
      </x:c>
      <x:c r="H78" s="14" t="str">
        <x:v>1 of 1</x:v>
      </x:c>
      <x:c r="I78" s="16" t="n">
        <x:v>12</x:v>
      </x:c>
      <x:c r="J78" s="16" t="n">
        <x:v>18</x:v>
      </x:c>
      <x:c r="K78" s="16" t="n">
        <x:f>IF(AND(ISNUMBER(I78),ISNUMBER(J78)),AVERAGE(I78:J78),"")</x:f>
        <x:v>15</x:v>
      </x:c>
      <x:c r="L78" s="14" t="str">
        <x:v>$5–20</x:v>
      </x:c>
      <x:c r="M78" s="14" t="str">
        <x:v>Yes</x:v>
      </x:c>
      <x:c r="N78" s="14" t="str">
        <x:v>Yes</x:v>
      </x:c>
      <x:c r="O78" s="14" t="str">
        <x:v>Yes</x:v>
      </x:c>
      <x:c r="P78" s="14" t="str">
        <x:v>Heavily played / damaged</x:v>
      </x:c>
      <x:c r="Q78" s="16" t="n">
        <x:v>5</x:v>
      </x:c>
      <x:c r="R78" s="16" t="n">
        <x:v>8</x:v>
      </x:c>
      <x:c r="S78" s="16" t="n">
        <x:f>IF(AND(ISNUMBER(Q78),ISNUMBER(R78)),AVERAGE(Q78:R78),K78)</x:f>
        <x:v>6.5</x:v>
      </x:c>
      <x:c r="T78" s="14" t="str">
        <x:v>Toploader by user rule based on clean raw &gt;$10.</x:v>
      </x:c>
      <x:c r="U78" s="18" t="n">
        <x:v>376</x:v>
      </x:c>
      <x:c r="V78" s="14" t="str">
        <x:v>Uploaded Pokémon chat JSON / prior card-by-card research</x:v>
      </x:c>
      <x:c r="W78" s="14" t="str"/>
    </x:row>
    <x:row r="79">
      <x:c r="A79" s="18" t="n">
        <x:v>78</x:v>
      </x:c>
      <x:c r="B79" s="14" t="str">
        <x:v>Trainer/Item/Stadium</x:v>
      </x:c>
      <x:c r="C79" s="14" t="str">
        <x:v>Ultra Ball</x:v>
      </x:c>
      <x:c r="D79" s="14" t="str">
        <x:v>90/101</x:v>
      </x:c>
      <x:c r="E79" s="14" t="str">
        <x:v>Plasma Blast</x:v>
      </x:c>
      <x:c r="F79" s="18" t="n">
        <x:v>2013</x:v>
      </x:c>
      <x:c r="G79" s="14" t="str">
        <x:v>Reverse Holo</x:v>
      </x:c>
      <x:c r="H79" s="14" t="str">
        <x:v>1 of 1</x:v>
      </x:c>
      <x:c r="I79" s="16" t="n">
        <x:v>6</x:v>
      </x:c>
      <x:c r="J79" s="16" t="n">
        <x:v>7</x:v>
      </x:c>
      <x:c r="K79" s="16" t="n">
        <x:f>IF(AND(ISNUMBER(I79),ISNUMBER(J79)),AVERAGE(I79:J79),"")</x:f>
        <x:v>6.5</x:v>
      </x:c>
      <x:c r="L79" s="14" t="str">
        <x:v>$5–20</x:v>
      </x:c>
      <x:c r="M79" s="14" t="str">
        <x:v>Yes</x:v>
      </x:c>
      <x:c r="N79" s="14" t="str">
        <x:v>No</x:v>
      </x:c>
      <x:c r="O79" s="14" t="str">
        <x:v>Yes</x:v>
      </x:c>
      <x:c r="P79" s="14" t="str">
        <x:v>Clean/NM benchmark unless noted</x:v>
      </x:c>
      <x:c r="Q79" s="16" t="n">
        <x:v>6</x:v>
      </x:c>
      <x:c r="R79" s="16" t="n">
        <x:v>7</x:v>
      </x:c>
      <x:c r="S79" s="16" t="n">
        <x:f>IF(AND(ISNUMBER(Q79),ISNUMBER(R79)),AVERAGE(Q79:R79),K79)</x:f>
        <x:v>6.5</x:v>
      </x:c>
      <x:c r="T79" s="14" t="str"/>
      <x:c r="U79" s="18" t="n">
        <x:v>388</x:v>
      </x:c>
      <x:c r="V79" s="14" t="str">
        <x:v>Uploaded Pokémon chat JSON / prior card-by-card research</x:v>
      </x:c>
      <x:c r="W79" s="14" t="str"/>
    </x:row>
    <x:row r="80">
      <x:c r="A80" s="18" t="n">
        <x:v>79</x:v>
      </x:c>
      <x:c r="B80" s="14" t="str">
        <x:v>Trainer/Item/Stadium</x:v>
      </x:c>
      <x:c r="C80" s="14" t="str">
        <x:v>Vermilion City Gym</x:v>
      </x:c>
      <x:c r="D80" s="14" t="str">
        <x:v>120/132</x:v>
      </x:c>
      <x:c r="E80" s="14" t="str">
        <x:v>Gym Heroes</x:v>
      </x:c>
      <x:c r="F80" s="18" t="n">
        <x:v>2000</x:v>
      </x:c>
      <x:c r="G80" s="14" t="str">
        <x:v>Unlimited Regular</x:v>
      </x:c>
      <x:c r="H80" s="14" t="str">
        <x:v>1 of 1</x:v>
      </x:c>
      <x:c r="I80" s="16" t="n">
        <x:v>2</x:v>
      </x:c>
      <x:c r="J80" s="16" t="n">
        <x:v>2.13</x:v>
      </x:c>
      <x:c r="K80" s="16" t="n">
        <x:f>IF(AND(ISNUMBER(I80),ISNUMBER(J80)),AVERAGE(I80:J80),"")</x:f>
        <x:v>2.065</x:v>
      </x:c>
      <x:c r="L80" s="14" t="str">
        <x:v>$1–5</x:v>
      </x:c>
      <x:c r="M80" s="14" t="str">
        <x:v>Yes</x:v>
      </x:c>
      <x:c r="N80" s="14" t="str">
        <x:v>No</x:v>
      </x:c>
      <x:c r="O80" s="14" t="str">
        <x:v>Yes</x:v>
      </x:c>
      <x:c r="P80" s="14" t="str">
        <x:v>Clean/NM benchmark unless noted</x:v>
      </x:c>
      <x:c r="Q80" s="16" t="n">
        <x:v>2</x:v>
      </x:c>
      <x:c r="R80" s="16" t="n">
        <x:v>2.13</x:v>
      </x:c>
      <x:c r="S80" s="16" t="n">
        <x:f>IF(AND(ISNUMBER(Q80),ISNUMBER(R80)),AVERAGE(Q80:R80),K80)</x:f>
        <x:v>2.065</x:v>
      </x:c>
      <x:c r="T80" s="14" t="str"/>
      <x:c r="U80" s="18" t="n">
        <x:v>394</x:v>
      </x:c>
      <x:c r="V80" s="14" t="str">
        <x:v>Uploaded Pokémon chat JSON / prior card-by-card research</x:v>
      </x:c>
      <x:c r="W80" s="14" t="str"/>
    </x:row>
    <x:row r="81">
      <x:c r="A81" s="18" t="n">
        <x:v>80</x:v>
      </x:c>
      <x:c r="B81" s="14" t="str">
        <x:v>Trainer/Item/Stadium</x:v>
      </x:c>
      <x:c r="C81" s="14" t="str">
        <x:v>Tropical Beach</x:v>
      </x:c>
      <x:c r="D81" s="14" t="str">
        <x:v>BW28</x:v>
      </x:c>
      <x:c r="E81" s="14" t="str">
        <x:v>2011 World Championships</x:v>
      </x:c>
      <x:c r="F81" s="18" t="n">
        <x:v>2011</x:v>
      </x:c>
      <x:c r="G81" s="14" t="str">
        <x:v>Gray-border WC deck version</x:v>
      </x:c>
      <x:c r="H81" s="14" t="str">
        <x:v>1 of 1</x:v>
      </x:c>
      <x:c r="I81" s="16" t="n">
        <x:v>40</x:v>
      </x:c>
      <x:c r="J81" s="16" t="n">
        <x:v>70</x:v>
      </x:c>
      <x:c r="K81" s="16" t="n">
        <x:f>IF(AND(ISNUMBER(I81),ISNUMBER(J81)),AVERAGE(I81:J81),"")</x:f>
        <x:v>55</x:v>
      </x:c>
      <x:c r="L81" s="14" t="str">
        <x:v>$20+</x:v>
      </x:c>
      <x:c r="M81" s="14" t="str">
        <x:v>Yes</x:v>
      </x:c>
      <x:c r="N81" s="14" t="str">
        <x:v>Yes</x:v>
      </x:c>
      <x:c r="O81" s="14" t="str">
        <x:v>Yes</x:v>
      </x:c>
      <x:c r="P81" s="14" t="str">
        <x:v>Clean/NM benchmark unless noted</x:v>
      </x:c>
      <x:c r="Q81" s="16" t="n">
        <x:v>40</x:v>
      </x:c>
      <x:c r="R81" s="16" t="n">
        <x:v>70</x:v>
      </x:c>
      <x:c r="S81" s="16" t="n">
        <x:f>IF(AND(ISNUMBER(Q81),ISNUMBER(R81)),AVERAGE(Q81:R81),K81)</x:f>
        <x:v>55</x:v>
      </x:c>
      <x:c r="T81" s="14" t="str"/>
      <x:c r="U81" s="18" t="n">
        <x:v>400</x:v>
      </x:c>
      <x:c r="V81" s="14" t="str">
        <x:v>Uploaded Pokémon chat JSON / prior card-by-card research</x:v>
      </x:c>
      <x:c r="W81" s="14" t="str"/>
    </x:row>
    <x:row r="82">
      <x:c r="A82" s="18" t="n">
        <x:v>81</x:v>
      </x:c>
      <x:c r="B82" s="14" t="str">
        <x:v>Trainer/Item/Stadium</x:v>
      </x:c>
      <x:c r="C82" s="14" t="str">
        <x:v>Strange Cave</x:v>
      </x:c>
      <x:c r="D82" s="14" t="str">
        <x:v>77/92</x:v>
      </x:c>
      <x:c r="E82" s="14" t="str">
        <x:v>EX Legend Maker</x:v>
      </x:c>
      <x:c r="F82" s="18" t="n">
        <x:v>2006</x:v>
      </x:c>
      <x:c r="G82" s="14" t="str">
        <x:v>Reverse Holo / stamped</x:v>
      </x:c>
      <x:c r="H82" s="14" t="str">
        <x:v>1 of 1</x:v>
      </x:c>
      <x:c r="I82" s="16" t="n">
        <x:v>10</x:v>
      </x:c>
      <x:c r="J82" s="16" t="n">
        <x:v>11</x:v>
      </x:c>
      <x:c r="K82" s="16" t="n">
        <x:f>IF(AND(ISNUMBER(I82),ISNUMBER(J82)),AVERAGE(I82:J82),"")</x:f>
        <x:v>10.5</x:v>
      </x:c>
      <x:c r="L82" s="14" t="str">
        <x:v>$5–20</x:v>
      </x:c>
      <x:c r="M82" s="14" t="str">
        <x:v>Yes</x:v>
      </x:c>
      <x:c r="N82" s="14" t="str">
        <x:v>Yes</x:v>
      </x:c>
      <x:c r="O82" s="14" t="str">
        <x:v>Yes</x:v>
      </x:c>
      <x:c r="P82" s="14" t="str">
        <x:v>Clean/NM benchmark unless noted</x:v>
      </x:c>
      <x:c r="Q82" s="16" t="n">
        <x:v>10</x:v>
      </x:c>
      <x:c r="R82" s="16" t="n">
        <x:v>11</x:v>
      </x:c>
      <x:c r="S82" s="16" t="n">
        <x:f>IF(AND(ISNUMBER(Q82),ISNUMBER(R82)),AVERAGE(Q82:R82),K82)</x:f>
        <x:v>10.5</x:v>
      </x:c>
      <x:c r="T82" s="14" t="str"/>
      <x:c r="U82" s="18" t="n">
        <x:v>406</x:v>
      </x:c>
      <x:c r="V82" s="14" t="str">
        <x:v>Uploaded Pokémon chat JSON / prior card-by-card research</x:v>
      </x:c>
      <x:c r="W82" s="14" t="str"/>
    </x:row>
    <x:row r="83">
      <x:c r="A83" s="18" t="n">
        <x:v>82</x:v>
      </x:c>
      <x:c r="B83" s="14" t="str">
        <x:v>Trainer/Item/Stadium</x:v>
      </x:c>
      <x:c r="C83" s="14" t="str">
        <x:v>Power Tree</x:v>
      </x:c>
      <x:c r="D83" s="14" t="str">
        <x:v>76/92</x:v>
      </x:c>
      <x:c r="E83" s="14" t="str">
        <x:v>EX Legend Maker</x:v>
      </x:c>
      <x:c r="F83" s="18" t="n">
        <x:v>2006</x:v>
      </x:c>
      <x:c r="G83" s="14" t="str">
        <x:v>Reverse Holo / stamped</x:v>
      </x:c>
      <x:c r="H83" s="14" t="str">
        <x:v>1 of 1</x:v>
      </x:c>
      <x:c r="I83" s="16" t="n">
        <x:v>5.9</x:v>
      </x:c>
      <x:c r="J83" s="16" t="n">
        <x:v>8.23</x:v>
      </x:c>
      <x:c r="K83" s="16" t="n">
        <x:f>IF(AND(ISNUMBER(I83),ISNUMBER(J83)),AVERAGE(I83:J83),"")</x:f>
        <x:v>7.065</x:v>
      </x:c>
      <x:c r="L83" s="14" t="str">
        <x:v>$5–20</x:v>
      </x:c>
      <x:c r="M83" s="14" t="str">
        <x:v>Yes</x:v>
      </x:c>
      <x:c r="N83" s="14" t="str">
        <x:v>No</x:v>
      </x:c>
      <x:c r="O83" s="14" t="str">
        <x:v>Yes</x:v>
      </x:c>
      <x:c r="P83" s="14" t="str">
        <x:v>Clean/NM benchmark unless noted</x:v>
      </x:c>
      <x:c r="Q83" s="16" t="n">
        <x:v>5.9</x:v>
      </x:c>
      <x:c r="R83" s="16" t="n">
        <x:v>8.23</x:v>
      </x:c>
      <x:c r="S83" s="16" t="n">
        <x:f>IF(AND(ISNUMBER(Q83),ISNUMBER(R83)),AVERAGE(Q83:R83),K83)</x:f>
        <x:v>7.065</x:v>
      </x:c>
      <x:c r="T83" s="14" t="str"/>
      <x:c r="U83" s="18" t="n">
        <x:v>406</x:v>
      </x:c>
      <x:c r="V83" s="14" t="str">
        <x:v>Uploaded Pokémon chat JSON / prior card-by-card research</x:v>
      </x:c>
      <x:c r="W83" s="14" t="str"/>
    </x:row>
    <x:row r="84">
      <x:c r="A84" s="18" t="n">
        <x:v>83</x:v>
      </x:c>
      <x:c r="B84" s="14" t="str">
        <x:v>Trainer/Item/Stadium</x:v>
      </x:c>
      <x:c r="C84" s="14" t="str">
        <x:v>Miasma Valley</x:v>
      </x:c>
      <x:c r="D84" s="14" t="str">
        <x:v>111/127</x:v>
      </x:c>
      <x:c r="E84" s="14" t="str">
        <x:v>Platinum</x:v>
      </x:c>
      <x:c r="F84" s="18" t="n">
        <x:v>2009</x:v>
      </x:c>
      <x:c r="G84" s="14" t="str">
        <x:v>Reverse Holo</x:v>
      </x:c>
      <x:c r="H84" s="14" t="str">
        <x:v>1 of 1</x:v>
      </x:c>
      <x:c r="I84" s="16" t="n">
        <x:v>1.5</x:v>
      </x:c>
      <x:c r="J84" s="16" t="n">
        <x:v>2</x:v>
      </x:c>
      <x:c r="K84" s="16" t="n">
        <x:f>IF(AND(ISNUMBER(I84),ISNUMBER(J84)),AVERAGE(I84:J84),"")</x:f>
        <x:v>1.75</x:v>
      </x:c>
      <x:c r="L84" s="14" t="str">
        <x:v>$1–5</x:v>
      </x:c>
      <x:c r="M84" s="14" t="str">
        <x:v>Yes</x:v>
      </x:c>
      <x:c r="N84" s="14" t="str">
        <x:v>No</x:v>
      </x:c>
      <x:c r="O84" s="14" t="str">
        <x:v>Yes</x:v>
      </x:c>
      <x:c r="P84" s="14" t="str">
        <x:v>Clean/NM benchmark unless noted</x:v>
      </x:c>
      <x:c r="Q84" s="16" t="n">
        <x:v>1.5</x:v>
      </x:c>
      <x:c r="R84" s="16" t="n">
        <x:v>2</x:v>
      </x:c>
      <x:c r="S84" s="16" t="n">
        <x:f>IF(AND(ISNUMBER(Q84),ISNUMBER(R84)),AVERAGE(Q84:R84),K84)</x:f>
        <x:v>1.75</x:v>
      </x:c>
      <x:c r="T84" s="14" t="str"/>
      <x:c r="U84" s="18" t="n">
        <x:v>412</x:v>
      </x:c>
      <x:c r="V84" s="14" t="str">
        <x:v>Uploaded Pokémon chat JSON / prior card-by-card research</x:v>
      </x:c>
      <x:c r="W84" s="14" t="str"/>
    </x:row>
    <x:row r="85">
      <x:c r="A85" s="18" t="n">
        <x:v>84</x:v>
      </x:c>
      <x:c r="B85" s="14" t="str">
        <x:v>Trainer/Item/Stadium</x:v>
      </x:c>
      <x:c r="C85" s="14" t="str">
        <x:v>Holon Circle</x:v>
      </x:c>
      <x:c r="D85" s="14" t="str">
        <x:v>79/100</x:v>
      </x:c>
      <x:c r="E85" s="14" t="str">
        <x:v>EX Crystal Guardians</x:v>
      </x:c>
      <x:c r="F85" s="18" t="n">
        <x:v>2006</x:v>
      </x:c>
      <x:c r="G85" s="14" t="str">
        <x:v>Reverse Holo / stamped</x:v>
      </x:c>
      <x:c r="H85" s="14" t="str">
        <x:v>1 of 1</x:v>
      </x:c>
      <x:c r="I85" s="16" t="n">
        <x:v>3</x:v>
      </x:c>
      <x:c r="J85" s="16" t="n">
        <x:v>5</x:v>
      </x:c>
      <x:c r="K85" s="16" t="n">
        <x:f>IF(AND(ISNUMBER(I85),ISNUMBER(J85)),AVERAGE(I85:J85),"")</x:f>
        <x:v>4</x:v>
      </x:c>
      <x:c r="L85" s="14" t="str">
        <x:v>$1–5</x:v>
      </x:c>
      <x:c r="M85" s="14" t="str">
        <x:v>Yes</x:v>
      </x:c>
      <x:c r="N85" s="14" t="str">
        <x:v>No</x:v>
      </x:c>
      <x:c r="O85" s="14" t="str">
        <x:v>Yes</x:v>
      </x:c>
      <x:c r="P85" s="14" t="str">
        <x:v>Clean/NM benchmark unless noted</x:v>
      </x:c>
      <x:c r="Q85" s="16" t="n">
        <x:v>3</x:v>
      </x:c>
      <x:c r="R85" s="16" t="n">
        <x:v>5</x:v>
      </x:c>
      <x:c r="S85" s="16" t="n">
        <x:f>IF(AND(ISNUMBER(Q85),ISNUMBER(R85)),AVERAGE(Q85:R85),K85)</x:f>
        <x:v>4</x:v>
      </x:c>
      <x:c r="T85" s="14" t="str"/>
      <x:c r="U85" s="18" t="n">
        <x:v>412</x:v>
      </x:c>
      <x:c r="V85" s="14" t="str">
        <x:v>Uploaded Pokémon chat JSON / prior card-by-card research</x:v>
      </x:c>
      <x:c r="W85" s="14" t="str"/>
    </x:row>
    <x:row r="86">
      <x:c r="A86" s="18" t="n">
        <x:v>85</x:v>
      </x:c>
      <x:c r="B86" s="14" t="str">
        <x:v>Trainer/Item/Stadium</x:v>
      </x:c>
      <x:c r="C86" s="14" t="str">
        <x:v>Frozen City</x:v>
      </x:c>
      <x:c r="D86" s="14" t="str">
        <x:v>100/116</x:v>
      </x:c>
      <x:c r="E86" s="14" t="str">
        <x:v>Plasma Freeze</x:v>
      </x:c>
      <x:c r="F86" s="18" t="n">
        <x:v>2013</x:v>
      </x:c>
      <x:c r="G86" s="14" t="str">
        <x:v>Team Plasma regular</x:v>
      </x:c>
      <x:c r="H86" s="14" t="str">
        <x:v>1 of 1</x:v>
      </x:c>
      <x:c r="I86" s="16" t="n">
        <x:v>1.25</x:v>
      </x:c>
      <x:c r="J86" s="16" t="n">
        <x:v>1.5</x:v>
      </x:c>
      <x:c r="K86" s="16" t="n">
        <x:f>IF(AND(ISNUMBER(I86),ISNUMBER(J86)),AVERAGE(I86:J86),"")</x:f>
        <x:v>1.375</x:v>
      </x:c>
      <x:c r="L86" s="14" t="str">
        <x:v>$1–5</x:v>
      </x:c>
      <x:c r="M86" s="14" t="str">
        <x:v>Yes</x:v>
      </x:c>
      <x:c r="N86" s="14" t="str">
        <x:v>No</x:v>
      </x:c>
      <x:c r="O86" s="14" t="str">
        <x:v>Yes</x:v>
      </x:c>
      <x:c r="P86" s="14" t="str">
        <x:v>Clean/NM benchmark unless noted</x:v>
      </x:c>
      <x:c r="Q86" s="16" t="n">
        <x:v>1.25</x:v>
      </x:c>
      <x:c r="R86" s="16" t="n">
        <x:v>1.5</x:v>
      </x:c>
      <x:c r="S86" s="16" t="n">
        <x:f>IF(AND(ISNUMBER(Q86),ISNUMBER(R86)),AVERAGE(Q86:R86),K86)</x:f>
        <x:v>1.375</x:v>
      </x:c>
      <x:c r="T86" s="14" t="str"/>
      <x:c r="U86" s="18" t="n">
        <x:v>418</x:v>
      </x:c>
      <x:c r="V86" s="14" t="str">
        <x:v>Uploaded Pokémon chat JSON / prior card-by-card research</x:v>
      </x:c>
      <x:c r="W86" s="14" t="str"/>
    </x:row>
    <x:row r="87">
      <x:c r="A87" s="18" t="n">
        <x:v>86</x:v>
      </x:c>
      <x:c r="B87" s="14" t="str">
        <x:v>Trainer/Item/Stadium</x:v>
      </x:c>
      <x:c r="C87" s="14" t="str">
        <x:v>Desert Ruins</x:v>
      </x:c>
      <x:c r="D87" s="14" t="str">
        <x:v>88/101</x:v>
      </x:c>
      <x:c r="E87" s="14" t="str">
        <x:v>2006 World Championships</x:v>
      </x:c>
      <x:c r="F87" s="18" t="n">
        <x:v>2006</x:v>
      </x:c>
      <x:c r="G87" s="14" t="str">
        <x:v>Miska Saari gray-border</x:v>
      </x:c>
      <x:c r="H87" s="14" t="str">
        <x:v>1 of 1</x:v>
      </x:c>
      <x:c r="I87" s="16" t="n">
        <x:v>1.2</x:v>
      </x:c>
      <x:c r="J87" s="16" t="n">
        <x:v>1.5</x:v>
      </x:c>
      <x:c r="K87" s="16" t="n">
        <x:f>IF(AND(ISNUMBER(I87),ISNUMBER(J87)),AVERAGE(I87:J87),"")</x:f>
        <x:v>1.35</x:v>
      </x:c>
      <x:c r="L87" s="14" t="str">
        <x:v>$1–5</x:v>
      </x:c>
      <x:c r="M87" s="14" t="str">
        <x:v>Yes</x:v>
      </x:c>
      <x:c r="N87" s="14" t="str">
        <x:v>No</x:v>
      </x:c>
      <x:c r="O87" s="14" t="str">
        <x:v>Yes</x:v>
      </x:c>
      <x:c r="P87" s="14" t="str">
        <x:v>Clean/NM benchmark unless noted</x:v>
      </x:c>
      <x:c r="Q87" s="16" t="n">
        <x:v>1.2</x:v>
      </x:c>
      <x:c r="R87" s="16" t="n">
        <x:v>1.5</x:v>
      </x:c>
      <x:c r="S87" s="16" t="n">
        <x:f>IF(AND(ISNUMBER(Q87),ISNUMBER(R87)),AVERAGE(Q87:R87),K87)</x:f>
        <x:v>1.35</x:v>
      </x:c>
      <x:c r="T87" s="14" t="str"/>
      <x:c r="U87" s="18" t="n">
        <x:v>424</x:v>
      </x:c>
      <x:c r="V87" s="14" t="str">
        <x:v>Uploaded Pokémon chat JSON / prior card-by-card research</x:v>
      </x:c>
      <x:c r="W87" s="14" t="str"/>
    </x:row>
    <x:row r="88">
      <x:c r="A88" s="18" t="n">
        <x:v>87</x:v>
      </x:c>
      <x:c r="B88" s="14" t="str">
        <x:v>Trainer/Item/Stadium</x:v>
      </x:c>
      <x:c r="C88" s="14" t="str">
        <x:v>Celadon City Gym</x:v>
      </x:c>
      <x:c r="D88" s="14" t="str">
        <x:v>107/132</x:v>
      </x:c>
      <x:c r="E88" s="14" t="str">
        <x:v>Gym Heroes</x:v>
      </x:c>
      <x:c r="F88" s="18" t="n">
        <x:v>2000</x:v>
      </x:c>
      <x:c r="G88" s="14" t="str">
        <x:v>Unlimited Regular</x:v>
      </x:c>
      <x:c r="H88" s="14" t="str">
        <x:v>1 of 1</x:v>
      </x:c>
      <x:c r="I88" s="16" t="n">
        <x:v>2</x:v>
      </x:c>
      <x:c r="J88" s="16" t="n">
        <x:v>2.25</x:v>
      </x:c>
      <x:c r="K88" s="16" t="n">
        <x:f>IF(AND(ISNUMBER(I88),ISNUMBER(J88)),AVERAGE(I88:J88),"")</x:f>
        <x:v>2.125</x:v>
      </x:c>
      <x:c r="L88" s="14" t="str">
        <x:v>$1–5</x:v>
      </x:c>
      <x:c r="M88" s="14" t="str">
        <x:v>Yes</x:v>
      </x:c>
      <x:c r="N88" s="14" t="str">
        <x:v>No</x:v>
      </x:c>
      <x:c r="O88" s="14" t="str">
        <x:v>Yes</x:v>
      </x:c>
      <x:c r="P88" s="14" t="str">
        <x:v>Clean/NM benchmark unless noted</x:v>
      </x:c>
      <x:c r="Q88" s="16" t="n">
        <x:v>2</x:v>
      </x:c>
      <x:c r="R88" s="16" t="n">
        <x:v>2.25</x:v>
      </x:c>
      <x:c r="S88" s="16" t="n">
        <x:f>IF(AND(ISNUMBER(Q88),ISNUMBER(R88)),AVERAGE(Q88:R88),K88)</x:f>
        <x:v>2.125</x:v>
      </x:c>
      <x:c r="T88" s="14" t="str"/>
      <x:c r="U88" s="18" t="n">
        <x:v>436</x:v>
      </x:c>
      <x:c r="V88" s="14" t="str">
        <x:v>Uploaded Pokémon chat JSON / prior card-by-card research</x:v>
      </x:c>
      <x:c r="W88" s="14" t="str"/>
    </x:row>
    <x:row r="89">
      <x:c r="A89" s="18" t="n">
        <x:v>88</x:v>
      </x:c>
      <x:c r="B89" s="14" t="str">
        <x:v>Trainer/Item/Stadium</x:v>
      </x:c>
      <x:c r="C89" s="14" t="str">
        <x:v>Chaos Gym</x:v>
      </x:c>
      <x:c r="D89" s="14" t="str">
        <x:v>102/132</x:v>
      </x:c>
      <x:c r="E89" s="14" t="str">
        <x:v>Gym Challenge</x:v>
      </x:c>
      <x:c r="F89" s="18" t="n">
        <x:v>2000</x:v>
      </x:c>
      <x:c r="G89" s="14" t="str">
        <x:v>Rare Unlimited</x:v>
      </x:c>
      <x:c r="H89" s="14" t="str">
        <x:v>1 of 1</x:v>
      </x:c>
      <x:c r="I89" s="16" t="n">
        <x:v>10</x:v>
      </x:c>
      <x:c r="J89" s="16" t="n">
        <x:v>12</x:v>
      </x:c>
      <x:c r="K89" s="16" t="n">
        <x:f>IF(AND(ISNUMBER(I89),ISNUMBER(J89)),AVERAGE(I89:J89),"")</x:f>
        <x:v>11</x:v>
      </x:c>
      <x:c r="L89" s="14" t="str">
        <x:v>$5–20</x:v>
      </x:c>
      <x:c r="M89" s="14" t="str">
        <x:v>Yes</x:v>
      </x:c>
      <x:c r="N89" s="14" t="str">
        <x:v>Yes</x:v>
      </x:c>
      <x:c r="O89" s="14" t="str">
        <x:v>Yes</x:v>
      </x:c>
      <x:c r="P89" s="14" t="str">
        <x:v>Clean/NM benchmark unless noted</x:v>
      </x:c>
      <x:c r="Q89" s="16" t="n">
        <x:v>10</x:v>
      </x:c>
      <x:c r="R89" s="16" t="n">
        <x:v>12</x:v>
      </x:c>
      <x:c r="S89" s="16" t="n">
        <x:f>IF(AND(ISNUMBER(Q89),ISNUMBER(R89)),AVERAGE(Q89:R89),K89)</x:f>
        <x:v>11</x:v>
      </x:c>
      <x:c r="T89" s="14" t="str"/>
      <x:c r="U89" s="18" t="n">
        <x:v>436</x:v>
      </x:c>
      <x:c r="V89" s="14" t="str">
        <x:v>Uploaded Pokémon chat JSON / prior card-by-card research</x:v>
      </x:c>
      <x:c r="W89" s="14" t="str"/>
    </x:row>
    <x:row r="90">
      <x:c r="A90" s="18" t="n">
        <x:v>89</x:v>
      </x:c>
      <x:c r="B90" s="14" t="str">
        <x:v>Trainer/Item/Stadium</x:v>
      </x:c>
      <x:c r="C90" s="14" t="str">
        <x:v>Aspertia City Gym</x:v>
      </x:c>
      <x:c r="D90" s="14" t="str">
        <x:v>127/149</x:v>
      </x:c>
      <x:c r="E90" s="14" t="str">
        <x:v>Boundaries Crossed</x:v>
      </x:c>
      <x:c r="F90" s="18" t="n">
        <x:v>2012</x:v>
      </x:c>
      <x:c r="G90" s="14" t="str">
        <x:v>Reverse Holo</x:v>
      </x:c>
      <x:c r="H90" s="14" t="str">
        <x:v>1 of 2</x:v>
      </x:c>
      <x:c r="I90" s="16" t="n">
        <x:v>1.2</x:v>
      </x:c>
      <x:c r="J90" s="16" t="n">
        <x:v>1.2</x:v>
      </x:c>
      <x:c r="K90" s="16" t="n">
        <x:f>IF(AND(ISNUMBER(I90),ISNUMBER(J90)),AVERAGE(I90:J90),"")</x:f>
        <x:v>1.2</x:v>
      </x:c>
      <x:c r="L90" s="14" t="str">
        <x:v>$1–5</x:v>
      </x:c>
      <x:c r="M90" s="14" t="str">
        <x:v>Yes</x:v>
      </x:c>
      <x:c r="N90" s="14" t="str">
        <x:v>No</x:v>
      </x:c>
      <x:c r="O90" s="14" t="str">
        <x:v>Yes</x:v>
      </x:c>
      <x:c r="P90" s="14" t="str">
        <x:v>Clean/NM benchmark unless noted</x:v>
      </x:c>
      <x:c r="Q90" s="16" t="n">
        <x:v>1.2</x:v>
      </x:c>
      <x:c r="R90" s="16" t="n">
        <x:v>1.2</x:v>
      </x:c>
      <x:c r="S90" s="16" t="n">
        <x:f>IF(AND(ISNUMBER(Q90),ISNUMBER(R90)),AVERAGE(Q90:R90),K90)</x:f>
        <x:v>1.2</x:v>
      </x:c>
      <x:c r="T90" s="14" t="str"/>
      <x:c r="U90" s="18" t="n">
        <x:v>442</x:v>
      </x:c>
      <x:c r="V90" s="14" t="str">
        <x:v>Uploaded Pokémon chat JSON / prior card-by-card research</x:v>
      </x:c>
      <x:c r="W90" s="14" t="str"/>
    </x:row>
    <x:row r="91">
      <x:c r="A91" s="18" t="n">
        <x:v>90</x:v>
      </x:c>
      <x:c r="B91" s="14" t="str">
        <x:v>Trainer/Item/Stadium</x:v>
      </x:c>
      <x:c r="C91" s="14" t="str">
        <x:v>Aspertia City Gym</x:v>
      </x:c>
      <x:c r="D91" s="14" t="str">
        <x:v>127/149</x:v>
      </x:c>
      <x:c r="E91" s="14" t="str">
        <x:v>Boundaries Crossed</x:v>
      </x:c>
      <x:c r="F91" s="18" t="n">
        <x:v>2012</x:v>
      </x:c>
      <x:c r="G91" s="14" t="str">
        <x:v>Reverse Holo</x:v>
      </x:c>
      <x:c r="H91" s="14" t="str">
        <x:v>2 of 2</x:v>
      </x:c>
      <x:c r="I91" s="16" t="n">
        <x:v>1.2</x:v>
      </x:c>
      <x:c r="J91" s="16" t="n">
        <x:v>1.2</x:v>
      </x:c>
      <x:c r="K91" s="16" t="n">
        <x:f>IF(AND(ISNUMBER(I91),ISNUMBER(J91)),AVERAGE(I91:J91),"")</x:f>
        <x:v>1.2</x:v>
      </x:c>
      <x:c r="L91" s="14" t="str">
        <x:v>$1–5</x:v>
      </x:c>
      <x:c r="M91" s="14" t="str">
        <x:v>Yes</x:v>
      </x:c>
      <x:c r="N91" s="14" t="str">
        <x:v>No</x:v>
      </x:c>
      <x:c r="O91" s="14" t="str">
        <x:v>Yes</x:v>
      </x:c>
      <x:c r="P91" s="14" t="str">
        <x:v>Clean/NM benchmark unless noted</x:v>
      </x:c>
      <x:c r="Q91" s="16" t="n">
        <x:v>1.2</x:v>
      </x:c>
      <x:c r="R91" s="16" t="n">
        <x:v>1.2</x:v>
      </x:c>
      <x:c r="S91" s="16" t="n">
        <x:f>IF(AND(ISNUMBER(Q91),ISNUMBER(R91)),AVERAGE(Q91:R91),K91)</x:f>
        <x:v>1.2</x:v>
      </x:c>
      <x:c r="T91" s="14" t="str"/>
      <x:c r="U91" s="18" t="n">
        <x:v>442</x:v>
      </x:c>
      <x:c r="V91" s="14" t="str">
        <x:v>Uploaded Pokémon chat JSON / prior card-by-card research</x:v>
      </x:c>
      <x:c r="W91" s="14" t="str"/>
    </x:row>
    <x:row r="92">
      <x:c r="A92" s="18" t="n">
        <x:v>91</x:v>
      </x:c>
      <x:c r="B92" s="14" t="str">
        <x:v>Trainer/Item/Stadium</x:v>
      </x:c>
      <x:c r="C92" s="14" t="str">
        <x:v>Skyarrow Bridge</x:v>
      </x:c>
      <x:c r="D92" s="14" t="str">
        <x:v>91/99</x:v>
      </x:c>
      <x:c r="E92" s="14" t="str">
        <x:v>Next Destinies</x:v>
      </x:c>
      <x:c r="F92" s="18" t="n">
        <x:v>2012</x:v>
      </x:c>
      <x:c r="G92" s="14" t="str">
        <x:v>Reverse Holo</x:v>
      </x:c>
      <x:c r="H92" s="14" t="str">
        <x:v>1 of 1</x:v>
      </x:c>
      <x:c r="I92" s="16" t="n">
        <x:v>0.45</x:v>
      </x:c>
      <x:c r="J92" s="16" t="n">
        <x:v>0.75</x:v>
      </x:c>
      <x:c r="K92" s="16" t="n">
        <x:f>IF(AND(ISNUMBER(I92),ISNUMBER(J92)),AVERAGE(I92:J92),"")</x:f>
        <x:v>0.6</x:v>
      </x:c>
      <x:c r="L92" s="14" t="str">
        <x:v>&lt;$1</x:v>
      </x:c>
      <x:c r="M92" s="14" t="str">
        <x:v>Yes</x:v>
      </x:c>
      <x:c r="N92" s="14" t="str">
        <x:v>No</x:v>
      </x:c>
      <x:c r="O92" s="14" t="str">
        <x:v>No</x:v>
      </x:c>
      <x:c r="P92" s="14" t="str">
        <x:v>Clean/NM benchmark unless noted</x:v>
      </x:c>
      <x:c r="Q92" s="16" t="n">
        <x:v>0.45</x:v>
      </x:c>
      <x:c r="R92" s="16" t="n">
        <x:v>0.75</x:v>
      </x:c>
      <x:c r="S92" s="16" t="n">
        <x:f>IF(AND(ISNUMBER(Q92),ISNUMBER(R92)),AVERAGE(Q92:R92),K92)</x:f>
        <x:v>0.6</x:v>
      </x:c>
      <x:c r="T92" s="14" t="str"/>
      <x:c r="U92" s="18" t="n">
        <x:v>442</x:v>
      </x:c>
      <x:c r="V92" s="14" t="str">
        <x:v>Uploaded Pokémon chat JSON / prior card-by-card research</x:v>
      </x:c>
      <x:c r="W92" s="14" t="str"/>
    </x:row>
    <x:row r="93">
      <x:c r="A93" s="18" t="n">
        <x:v>92</x:v>
      </x:c>
      <x:c r="B93" s="14" t="str">
        <x:v>Trainer/Item/Stadium</x:v>
      </x:c>
      <x:c r="C93" s="14" t="str">
        <x:v>Twins</x:v>
      </x:c>
      <x:c r="D93" s="14" t="str">
        <x:v>89/102</x:v>
      </x:c>
      <x:c r="E93" s="14" t="str">
        <x:v>2011 World Championships</x:v>
      </x:c>
      <x:c r="F93" s="18" t="n">
        <x:v>2011</x:v>
      </x:c>
      <x:c r="G93" s="14" t="str">
        <x:v>Ross Cawthon gray-border</x:v>
      </x:c>
      <x:c r="H93" s="14" t="str">
        <x:v>1 of 4</x:v>
      </x:c>
      <x:c r="I93" s="16" t="n">
        <x:v>0.6</x:v>
      </x:c>
      <x:c r="J93" s="16" t="n">
        <x:v>1</x:v>
      </x:c>
      <x:c r="K93" s="16" t="n">
        <x:f>IF(AND(ISNUMBER(I93),ISNUMBER(J93)),AVERAGE(I93:J93),"")</x:f>
        <x:v>0.8</x:v>
      </x:c>
      <x:c r="L93" s="14" t="str">
        <x:v>&lt;$1</x:v>
      </x:c>
      <x:c r="M93" s="14" t="str">
        <x:v>Yes</x:v>
      </x:c>
      <x:c r="N93" s="14" t="str">
        <x:v>No</x:v>
      </x:c>
      <x:c r="O93" s="14" t="str">
        <x:v>No</x:v>
      </x:c>
      <x:c r="P93" s="14" t="str">
        <x:v>Clean/NM benchmark unless noted</x:v>
      </x:c>
      <x:c r="Q93" s="16" t="n">
        <x:v>0.6</x:v>
      </x:c>
      <x:c r="R93" s="16" t="n">
        <x:v>1</x:v>
      </x:c>
      <x:c r="S93" s="16" t="n">
        <x:f>IF(AND(ISNUMBER(Q93),ISNUMBER(R93)),AVERAGE(Q93:R93),K93)</x:f>
        <x:v>0.8</x:v>
      </x:c>
      <x:c r="T93" s="14" t="str"/>
      <x:c r="U93" s="18" t="n">
        <x:v>448</x:v>
      </x:c>
      <x:c r="V93" s="14" t="str">
        <x:v>Uploaded Pokémon chat JSON / prior card-by-card research</x:v>
      </x:c>
      <x:c r="W93" s="14" t="str"/>
    </x:row>
    <x:row r="94">
      <x:c r="A94" s="18" t="n">
        <x:v>93</x:v>
      </x:c>
      <x:c r="B94" s="14" t="str">
        <x:v>Trainer/Item/Stadium</x:v>
      </x:c>
      <x:c r="C94" s="14" t="str">
        <x:v>Twins</x:v>
      </x:c>
      <x:c r="D94" s="14" t="str">
        <x:v>89/102</x:v>
      </x:c>
      <x:c r="E94" s="14" t="str">
        <x:v>2011 World Championships</x:v>
      </x:c>
      <x:c r="F94" s="18" t="n">
        <x:v>2011</x:v>
      </x:c>
      <x:c r="G94" s="14" t="str">
        <x:v>Ross Cawthon gray-border</x:v>
      </x:c>
      <x:c r="H94" s="14" t="str">
        <x:v>2 of 4</x:v>
      </x:c>
      <x:c r="I94" s="16" t="n">
        <x:v>0.6</x:v>
      </x:c>
      <x:c r="J94" s="16" t="n">
        <x:v>1</x:v>
      </x:c>
      <x:c r="K94" s="16" t="n">
        <x:f>IF(AND(ISNUMBER(I94),ISNUMBER(J94)),AVERAGE(I94:J94),"")</x:f>
        <x:v>0.8</x:v>
      </x:c>
      <x:c r="L94" s="14" t="str">
        <x:v>&lt;$1</x:v>
      </x:c>
      <x:c r="M94" s="14" t="str">
        <x:v>Yes</x:v>
      </x:c>
      <x:c r="N94" s="14" t="str">
        <x:v>No</x:v>
      </x:c>
      <x:c r="O94" s="14" t="str">
        <x:v>No</x:v>
      </x:c>
      <x:c r="P94" s="14" t="str">
        <x:v>Clean/NM benchmark unless noted</x:v>
      </x:c>
      <x:c r="Q94" s="16" t="n">
        <x:v>0.6</x:v>
      </x:c>
      <x:c r="R94" s="16" t="n">
        <x:v>1</x:v>
      </x:c>
      <x:c r="S94" s="16" t="n">
        <x:f>IF(AND(ISNUMBER(Q94),ISNUMBER(R94)),AVERAGE(Q94:R94),K94)</x:f>
        <x:v>0.8</x:v>
      </x:c>
      <x:c r="T94" s="14" t="str"/>
      <x:c r="U94" s="18" t="n">
        <x:v>448</x:v>
      </x:c>
      <x:c r="V94" s="14" t="str">
        <x:v>Uploaded Pokémon chat JSON / prior card-by-card research</x:v>
      </x:c>
      <x:c r="W94" s="14" t="str"/>
    </x:row>
    <x:row r="95">
      <x:c r="A95" s="18" t="n">
        <x:v>94</x:v>
      </x:c>
      <x:c r="B95" s="14" t="str">
        <x:v>Trainer/Item/Stadium</x:v>
      </x:c>
      <x:c r="C95" s="14" t="str">
        <x:v>Twins</x:v>
      </x:c>
      <x:c r="D95" s="14" t="str">
        <x:v>89/102</x:v>
      </x:c>
      <x:c r="E95" s="14" t="str">
        <x:v>2011 World Championships</x:v>
      </x:c>
      <x:c r="F95" s="18" t="n">
        <x:v>2011</x:v>
      </x:c>
      <x:c r="G95" s="14" t="str">
        <x:v>Ross Cawthon gray-border</x:v>
      </x:c>
      <x:c r="H95" s="14" t="str">
        <x:v>3 of 4</x:v>
      </x:c>
      <x:c r="I95" s="16" t="n">
        <x:v>0.6</x:v>
      </x:c>
      <x:c r="J95" s="16" t="n">
        <x:v>1</x:v>
      </x:c>
      <x:c r="K95" s="16" t="n">
        <x:f>IF(AND(ISNUMBER(I95),ISNUMBER(J95)),AVERAGE(I95:J95),"")</x:f>
        <x:v>0.8</x:v>
      </x:c>
      <x:c r="L95" s="14" t="str">
        <x:v>&lt;$1</x:v>
      </x:c>
      <x:c r="M95" s="14" t="str">
        <x:v>Yes</x:v>
      </x:c>
      <x:c r="N95" s="14" t="str">
        <x:v>No</x:v>
      </x:c>
      <x:c r="O95" s="14" t="str">
        <x:v>No</x:v>
      </x:c>
      <x:c r="P95" s="14" t="str">
        <x:v>Clean/NM benchmark unless noted</x:v>
      </x:c>
      <x:c r="Q95" s="16" t="n">
        <x:v>0.6</x:v>
      </x:c>
      <x:c r="R95" s="16" t="n">
        <x:v>1</x:v>
      </x:c>
      <x:c r="S95" s="16" t="n">
        <x:f>IF(AND(ISNUMBER(Q95),ISNUMBER(R95)),AVERAGE(Q95:R95),K95)</x:f>
        <x:v>0.8</x:v>
      </x:c>
      <x:c r="T95" s="14" t="str"/>
      <x:c r="U95" s="18" t="n">
        <x:v>448</x:v>
      </x:c>
      <x:c r="V95" s="14" t="str">
        <x:v>Uploaded Pokémon chat JSON / prior card-by-card research</x:v>
      </x:c>
      <x:c r="W95" s="14" t="str"/>
    </x:row>
    <x:row r="96">
      <x:c r="A96" s="18" t="n">
        <x:v>95</x:v>
      </x:c>
      <x:c r="B96" s="14" t="str">
        <x:v>Trainer/Item/Stadium</x:v>
      </x:c>
      <x:c r="C96" s="14" t="str">
        <x:v>Twins</x:v>
      </x:c>
      <x:c r="D96" s="14" t="str">
        <x:v>89/102</x:v>
      </x:c>
      <x:c r="E96" s="14" t="str">
        <x:v>2011 World Championships</x:v>
      </x:c>
      <x:c r="F96" s="18" t="n">
        <x:v>2011</x:v>
      </x:c>
      <x:c r="G96" s="14" t="str">
        <x:v>Ross Cawthon gray-border</x:v>
      </x:c>
      <x:c r="H96" s="14" t="str">
        <x:v>4 of 4</x:v>
      </x:c>
      <x:c r="I96" s="16" t="n">
        <x:v>0.6</x:v>
      </x:c>
      <x:c r="J96" s="16" t="n">
        <x:v>1</x:v>
      </x:c>
      <x:c r="K96" s="16" t="n">
        <x:f>IF(AND(ISNUMBER(I96),ISNUMBER(J96)),AVERAGE(I96:J96),"")</x:f>
        <x:v>0.8</x:v>
      </x:c>
      <x:c r="L96" s="14" t="str">
        <x:v>&lt;$1</x:v>
      </x:c>
      <x:c r="M96" s="14" t="str">
        <x:v>Yes</x:v>
      </x:c>
      <x:c r="N96" s="14" t="str">
        <x:v>No</x:v>
      </x:c>
      <x:c r="O96" s="14" t="str">
        <x:v>No</x:v>
      </x:c>
      <x:c r="P96" s="14" t="str">
        <x:v>Clean/NM benchmark unless noted</x:v>
      </x:c>
      <x:c r="Q96" s="16" t="n">
        <x:v>0.6</x:v>
      </x:c>
      <x:c r="R96" s="16" t="n">
        <x:v>1</x:v>
      </x:c>
      <x:c r="S96" s="16" t="n">
        <x:f>IF(AND(ISNUMBER(Q96),ISNUMBER(R96)),AVERAGE(Q96:R96),K96)</x:f>
        <x:v>0.8</x:v>
      </x:c>
      <x:c r="T96" s="14" t="str"/>
      <x:c r="U96" s="18" t="n">
        <x:v>448</x:v>
      </x:c>
      <x:c r="V96" s="14" t="str">
        <x:v>Uploaded Pokémon chat JSON / prior card-by-card research</x:v>
      </x:c>
      <x:c r="W96" s="14" t="str"/>
    </x:row>
    <x:row r="97">
      <x:c r="A97" s="18" t="n">
        <x:v>96</x:v>
      </x:c>
      <x:c r="B97" s="14" t="str">
        <x:v>Trainer/Item/Stadium</x:v>
      </x:c>
      <x:c r="C97" s="14" t="str">
        <x:v>Steven’s Advice</x:v>
      </x:c>
      <x:c r="D97" s="14" t="str">
        <x:v>92/101</x:v>
      </x:c>
      <x:c r="E97" s="14" t="str">
        <x:v>2004 World Championships</x:v>
      </x:c>
      <x:c r="F97" s="18" t="n">
        <x:v>2004</x:v>
      </x:c>
      <x:c r="G97" s="14" t="str">
        <x:v>Chris Fulop gray-border</x:v>
      </x:c>
      <x:c r="H97" s="14" t="str">
        <x:v>1 of 3</x:v>
      </x:c>
      <x:c r="I97" s="16" t="n">
        <x:v>5.25</x:v>
      </x:c>
      <x:c r="J97" s="16" t="n">
        <x:v>5.5</x:v>
      </x:c>
      <x:c r="K97" s="16" t="n">
        <x:f>IF(AND(ISNUMBER(I97),ISNUMBER(J97)),AVERAGE(I97:J97),"")</x:f>
        <x:v>5.375</x:v>
      </x:c>
      <x:c r="L97" s="14" t="str">
        <x:v>$5–20</x:v>
      </x:c>
      <x:c r="M97" s="14" t="str">
        <x:v>Yes</x:v>
      </x:c>
      <x:c r="N97" s="14" t="str">
        <x:v>No</x:v>
      </x:c>
      <x:c r="O97" s="14" t="str">
        <x:v>Yes</x:v>
      </x:c>
      <x:c r="P97" s="14" t="str">
        <x:v>Clean/NM benchmark unless noted</x:v>
      </x:c>
      <x:c r="Q97" s="16" t="n">
        <x:v>5.25</x:v>
      </x:c>
      <x:c r="R97" s="16" t="n">
        <x:v>5.5</x:v>
      </x:c>
      <x:c r="S97" s="16" t="n">
        <x:f>IF(AND(ISNUMBER(Q97),ISNUMBER(R97)),AVERAGE(Q97:R97),K97)</x:f>
        <x:v>5.375</x:v>
      </x:c>
      <x:c r="T97" s="14" t="str"/>
      <x:c r="U97" s="18" t="n">
        <x:v>454</x:v>
      </x:c>
      <x:c r="V97" s="14" t="str">
        <x:v>Uploaded Pokémon chat JSON / prior card-by-card research</x:v>
      </x:c>
      <x:c r="W97" s="14" t="str"/>
    </x:row>
    <x:row r="98">
      <x:c r="A98" s="18" t="n">
        <x:v>97</x:v>
      </x:c>
      <x:c r="B98" s="14" t="str">
        <x:v>Trainer/Item/Stadium</x:v>
      </x:c>
      <x:c r="C98" s="14" t="str">
        <x:v>Steven’s Advice</x:v>
      </x:c>
      <x:c r="D98" s="14" t="str">
        <x:v>92/101</x:v>
      </x:c>
      <x:c r="E98" s="14" t="str">
        <x:v>2004 World Championships</x:v>
      </x:c>
      <x:c r="F98" s="18" t="n">
        <x:v>2004</x:v>
      </x:c>
      <x:c r="G98" s="14" t="str">
        <x:v>Chris Fulop gray-border</x:v>
      </x:c>
      <x:c r="H98" s="14" t="str">
        <x:v>2 of 3</x:v>
      </x:c>
      <x:c r="I98" s="16" t="n">
        <x:v>5.25</x:v>
      </x:c>
      <x:c r="J98" s="16" t="n">
        <x:v>5.5</x:v>
      </x:c>
      <x:c r="K98" s="16" t="n">
        <x:f>IF(AND(ISNUMBER(I98),ISNUMBER(J98)),AVERAGE(I98:J98),"")</x:f>
        <x:v>5.375</x:v>
      </x:c>
      <x:c r="L98" s="14" t="str">
        <x:v>$5–20</x:v>
      </x:c>
      <x:c r="M98" s="14" t="str">
        <x:v>Yes</x:v>
      </x:c>
      <x:c r="N98" s="14" t="str">
        <x:v>No</x:v>
      </x:c>
      <x:c r="O98" s="14" t="str">
        <x:v>Yes</x:v>
      </x:c>
      <x:c r="P98" s="14" t="str">
        <x:v>Clean/NM benchmark unless noted</x:v>
      </x:c>
      <x:c r="Q98" s="16" t="n">
        <x:v>5.25</x:v>
      </x:c>
      <x:c r="R98" s="16" t="n">
        <x:v>5.5</x:v>
      </x:c>
      <x:c r="S98" s="16" t="n">
        <x:f>IF(AND(ISNUMBER(Q98),ISNUMBER(R98)),AVERAGE(Q98:R98),K98)</x:f>
        <x:v>5.375</x:v>
      </x:c>
      <x:c r="T98" s="14" t="str"/>
      <x:c r="U98" s="18" t="n">
        <x:v>454</x:v>
      </x:c>
      <x:c r="V98" s="14" t="str">
        <x:v>Uploaded Pokémon chat JSON / prior card-by-card research</x:v>
      </x:c>
      <x:c r="W98" s="14" t="str"/>
    </x:row>
    <x:row r="99">
      <x:c r="A99" s="18" t="n">
        <x:v>98</x:v>
      </x:c>
      <x:c r="B99" s="14" t="str">
        <x:v>Trainer/Item/Stadium</x:v>
      </x:c>
      <x:c r="C99" s="14" t="str">
        <x:v>Steven’s Advice</x:v>
      </x:c>
      <x:c r="D99" s="14" t="str">
        <x:v>92/101</x:v>
      </x:c>
      <x:c r="E99" s="14" t="str">
        <x:v>2004 World Championships</x:v>
      </x:c>
      <x:c r="F99" s="18" t="n">
        <x:v>2004</x:v>
      </x:c>
      <x:c r="G99" s="14" t="str">
        <x:v>Chris Fulop gray-border</x:v>
      </x:c>
      <x:c r="H99" s="14" t="str">
        <x:v>3 of 3</x:v>
      </x:c>
      <x:c r="I99" s="16" t="n">
        <x:v>5.25</x:v>
      </x:c>
      <x:c r="J99" s="16" t="n">
        <x:v>5.5</x:v>
      </x:c>
      <x:c r="K99" s="16" t="n">
        <x:f>IF(AND(ISNUMBER(I99),ISNUMBER(J99)),AVERAGE(I99:J99),"")</x:f>
        <x:v>5.375</x:v>
      </x:c>
      <x:c r="L99" s="14" t="str">
        <x:v>$5–20</x:v>
      </x:c>
      <x:c r="M99" s="14" t="str">
        <x:v>Yes</x:v>
      </x:c>
      <x:c r="N99" s="14" t="str">
        <x:v>No</x:v>
      </x:c>
      <x:c r="O99" s="14" t="str">
        <x:v>Yes</x:v>
      </x:c>
      <x:c r="P99" s="14" t="str">
        <x:v>Clean/NM benchmark unless noted</x:v>
      </x:c>
      <x:c r="Q99" s="16" t="n">
        <x:v>5.25</x:v>
      </x:c>
      <x:c r="R99" s="16" t="n">
        <x:v>5.5</x:v>
      </x:c>
      <x:c r="S99" s="16" t="n">
        <x:f>IF(AND(ISNUMBER(Q99),ISNUMBER(R99)),AVERAGE(Q99:R99),K99)</x:f>
        <x:v>5.375</x:v>
      </x:c>
      <x:c r="T99" s="14" t="str"/>
      <x:c r="U99" s="18" t="n">
        <x:v>454</x:v>
      </x:c>
      <x:c r="V99" s="14" t="str">
        <x:v>Uploaded Pokémon chat JSON / prior card-by-card research</x:v>
      </x:c>
      <x:c r="W99" s="14" t="str"/>
    </x:row>
    <x:row r="100">
      <x:c r="A100" s="18" t="n">
        <x:v>99</x:v>
      </x:c>
      <x:c r="B100" s="14" t="str">
        <x:v>Trainer/Item/Stadium</x:v>
      </x:c>
      <x:c r="C100" s="14" t="str">
        <x:v>Steven’s Advice</x:v>
      </x:c>
      <x:c r="D100" s="14" t="str">
        <x:v>92/101</x:v>
      </x:c>
      <x:c r="E100" s="14" t="str">
        <x:v>2006 World Championships</x:v>
      </x:c>
      <x:c r="F100" s="18" t="n">
        <x:v>2006</x:v>
      </x:c>
      <x:c r="G100" s="14" t="str">
        <x:v>Miska Saari gray-border</x:v>
      </x:c>
      <x:c r="H100" s="14" t="str">
        <x:v>1 of 1</x:v>
      </x:c>
      <x:c r="I100" s="16" t="n">
        <x:v>1</x:v>
      </x:c>
      <x:c r="J100" s="16" t="n">
        <x:v>1</x:v>
      </x:c>
      <x:c r="K100" s="16" t="n">
        <x:f>IF(AND(ISNUMBER(I100),ISNUMBER(J100)),AVERAGE(I100:J100),"")</x:f>
        <x:v>1</x:v>
      </x:c>
      <x:c r="L100" s="14" t="str">
        <x:v>$1–5</x:v>
      </x:c>
      <x:c r="M100" s="14" t="str">
        <x:v>Yes</x:v>
      </x:c>
      <x:c r="N100" s="14" t="str">
        <x:v>No</x:v>
      </x:c>
      <x:c r="O100" s="14" t="str">
        <x:v>Yes</x:v>
      </x:c>
      <x:c r="P100" s="14" t="str">
        <x:v>Clean/NM benchmark unless noted</x:v>
      </x:c>
      <x:c r="Q100" s="16" t="n">
        <x:v>1</x:v>
      </x:c>
      <x:c r="R100" s="16" t="n">
        <x:v>1</x:v>
      </x:c>
      <x:c r="S100" s="16" t="n">
        <x:f>IF(AND(ISNUMBER(Q100),ISNUMBER(R100)),AVERAGE(Q100:R100),K100)</x:f>
        <x:v>1</x:v>
      </x:c>
      <x:c r="T100" s="14" t="str"/>
      <x:c r="U100" s="18" t="n">
        <x:v>454</x:v>
      </x:c>
      <x:c r="V100" s="14" t="str">
        <x:v>Uploaded Pokémon chat JSON / prior card-by-card research</x:v>
      </x:c>
      <x:c r="W100" s="14" t="str"/>
    </x:row>
    <x:row r="101">
      <x:c r="A101" s="18" t="n">
        <x:v>100</x:v>
      </x:c>
      <x:c r="B101" s="14" t="str">
        <x:v>Trainer/Item/Stadium</x:v>
      </x:c>
      <x:c r="C101" s="14" t="str">
        <x:v>Team Plasma Grunt</x:v>
      </x:c>
      <x:c r="D101" s="14" t="str">
        <x:v>125/135</x:v>
      </x:c>
      <x:c r="E101" s="14" t="str">
        <x:v>Plasma Storm</x:v>
      </x:c>
      <x:c r="F101" s="18" t="n">
        <x:v>2013</x:v>
      </x:c>
      <x:c r="G101" s="14" t="str">
        <x:v>Regular</x:v>
      </x:c>
      <x:c r="H101" s="14" t="str">
        <x:v>1 of 1</x:v>
      </x:c>
      <x:c r="I101" s="16" t="n">
        <x:v>0.3</x:v>
      </x:c>
      <x:c r="J101" s="16" t="n">
        <x:v>0.3</x:v>
      </x:c>
      <x:c r="K101" s="16" t="n">
        <x:f>IF(AND(ISNUMBER(I101),ISNUMBER(J101)),AVERAGE(I101:J101),"")</x:f>
        <x:v>0.3</x:v>
      </x:c>
      <x:c r="L101" s="14" t="str">
        <x:v>&lt;$1</x:v>
      </x:c>
      <x:c r="M101" s="14" t="str">
        <x:v>No</x:v>
      </x:c>
      <x:c r="N101" s="14" t="str">
        <x:v>No</x:v>
      </x:c>
      <x:c r="O101" s="14" t="str">
        <x:v>No</x:v>
      </x:c>
      <x:c r="P101" s="14" t="str">
        <x:v>Clean/NM benchmark unless noted</x:v>
      </x:c>
      <x:c r="Q101" s="16" t="n">
        <x:v>0.3</x:v>
      </x:c>
      <x:c r="R101" s="16" t="n">
        <x:v>0.3</x:v>
      </x:c>
      <x:c r="S101" s="16" t="n">
        <x:f>IF(AND(ISNUMBER(Q101),ISNUMBER(R101)),AVERAGE(Q101:R101),K101)</x:f>
        <x:v>0.3</x:v>
      </x:c>
      <x:c r="T101" s="14" t="str"/>
      <x:c r="U101" s="18" t="n">
        <x:v>460</x:v>
      </x:c>
      <x:c r="V101" s="14" t="str">
        <x:v>Uploaded Pokémon chat JSON / prior card-by-card research</x:v>
      </x:c>
      <x:c r="W101" s="14" t="str"/>
    </x:row>
    <x:row r="102">
      <x:c r="A102" s="18" t="n">
        <x:v>101</x:v>
      </x:c>
      <x:c r="B102" s="14" t="str">
        <x:v>Trainer/Item/Stadium</x:v>
      </x:c>
      <x:c r="C102" s="14" t="str">
        <x:v>Seeker</x:v>
      </x:c>
      <x:c r="D102" s="14" t="str">
        <x:v>88/102</x:v>
      </x:c>
      <x:c r="E102" s="14" t="str">
        <x:v>2011 World Championships</x:v>
      </x:c>
      <x:c r="F102" s="18" t="n">
        <x:v>2011</x:v>
      </x:c>
      <x:c r="G102" s="14" t="str">
        <x:v>Ross Cawthon gray-border</x:v>
      </x:c>
      <x:c r="H102" s="14" t="str">
        <x:v>1 of 2</x:v>
      </x:c>
      <x:c r="I102" s="16" t="n">
        <x:v>4.4</x:v>
      </x:c>
      <x:c r="J102" s="16" t="n">
        <x:v>4.43</x:v>
      </x:c>
      <x:c r="K102" s="16" t="n">
        <x:f>IF(AND(ISNUMBER(I102),ISNUMBER(J102)),AVERAGE(I102:J102),"")</x:f>
        <x:v>4.415</x:v>
      </x:c>
      <x:c r="L102" s="14" t="str">
        <x:v>$1–5</x:v>
      </x:c>
      <x:c r="M102" s="14" t="str">
        <x:v>Yes</x:v>
      </x:c>
      <x:c r="N102" s="14" t="str">
        <x:v>No</x:v>
      </x:c>
      <x:c r="O102" s="14" t="str">
        <x:v>Yes</x:v>
      </x:c>
      <x:c r="P102" s="14" t="str">
        <x:v>Clean/NM benchmark unless noted</x:v>
      </x:c>
      <x:c r="Q102" s="16" t="n">
        <x:v>4.4</x:v>
      </x:c>
      <x:c r="R102" s="16" t="n">
        <x:v>4.43</x:v>
      </x:c>
      <x:c r="S102" s="16" t="n">
        <x:f>IF(AND(ISNUMBER(Q102),ISNUMBER(R102)),AVERAGE(Q102:R102),K102)</x:f>
        <x:v>4.415</x:v>
      </x:c>
      <x:c r="T102" s="14" t="str"/>
      <x:c r="U102" s="18" t="n">
        <x:v>466</x:v>
      </x:c>
      <x:c r="V102" s="14" t="str">
        <x:v>Uploaded Pokémon chat JSON / prior card-by-card research</x:v>
      </x:c>
      <x:c r="W102" s="14" t="str"/>
    </x:row>
    <x:row r="103">
      <x:c r="A103" s="18" t="n">
        <x:v>102</x:v>
      </x:c>
      <x:c r="B103" s="14" t="str">
        <x:v>Trainer/Item/Stadium</x:v>
      </x:c>
      <x:c r="C103" s="14" t="str">
        <x:v>Seeker</x:v>
      </x:c>
      <x:c r="D103" s="14" t="str">
        <x:v>88/102</x:v>
      </x:c>
      <x:c r="E103" s="14" t="str">
        <x:v>2011 World Championships</x:v>
      </x:c>
      <x:c r="F103" s="18" t="n">
        <x:v>2011</x:v>
      </x:c>
      <x:c r="G103" s="14" t="str">
        <x:v>Ross Cawthon gray-border</x:v>
      </x:c>
      <x:c r="H103" s="14" t="str">
        <x:v>2 of 2</x:v>
      </x:c>
      <x:c r="I103" s="16" t="n">
        <x:v>4.4</x:v>
      </x:c>
      <x:c r="J103" s="16" t="n">
        <x:v>4.43</x:v>
      </x:c>
      <x:c r="K103" s="16" t="n">
        <x:f>IF(AND(ISNUMBER(I103),ISNUMBER(J103)),AVERAGE(I103:J103),"")</x:f>
        <x:v>4.415</x:v>
      </x:c>
      <x:c r="L103" s="14" t="str">
        <x:v>$1–5</x:v>
      </x:c>
      <x:c r="M103" s="14" t="str">
        <x:v>Yes</x:v>
      </x:c>
      <x:c r="N103" s="14" t="str">
        <x:v>No</x:v>
      </x:c>
      <x:c r="O103" s="14" t="str">
        <x:v>Yes</x:v>
      </x:c>
      <x:c r="P103" s="14" t="str">
        <x:v>Clean/NM benchmark unless noted</x:v>
      </x:c>
      <x:c r="Q103" s="16" t="n">
        <x:v>4.4</x:v>
      </x:c>
      <x:c r="R103" s="16" t="n">
        <x:v>4.43</x:v>
      </x:c>
      <x:c r="S103" s="16" t="n">
        <x:f>IF(AND(ISNUMBER(Q103),ISNUMBER(R103)),AVERAGE(Q103:R103),K103)</x:f>
        <x:v>4.415</x:v>
      </x:c>
      <x:c r="T103" s="14" t="str"/>
      <x:c r="U103" s="18" t="n">
        <x:v>466</x:v>
      </x:c>
      <x:c r="V103" s="14" t="str">
        <x:v>Uploaded Pokémon chat JSON / prior card-by-card research</x:v>
      </x:c>
      <x:c r="W103" s="14" t="str"/>
    </x:row>
    <x:row r="104">
      <x:c r="A104" s="18" t="n">
        <x:v>103</x:v>
      </x:c>
      <x:c r="B104" s="14" t="str">
        <x:v>Trainer/Item/Stadium</x:v>
      </x:c>
      <x:c r="C104" s="14" t="str">
        <x:v>Shadow Triad</x:v>
      </x:c>
      <x:c r="D104" s="14" t="str">
        <x:v>102/116</x:v>
      </x:c>
      <x:c r="E104" s="14" t="str">
        <x:v>Plasma Freeze</x:v>
      </x:c>
      <x:c r="F104" s="18" t="n">
        <x:v>2013</x:v>
      </x:c>
      <x:c r="G104" s="14" t="str">
        <x:v>Regular</x:v>
      </x:c>
      <x:c r="H104" s="14" t="str">
        <x:v>1 of 2</x:v>
      </x:c>
      <x:c r="I104" s="16" t="n">
        <x:v>0.25</x:v>
      </x:c>
      <x:c r="J104" s="16" t="n">
        <x:v>0.5</x:v>
      </x:c>
      <x:c r="K104" s="16" t="n">
        <x:f>IF(AND(ISNUMBER(I104),ISNUMBER(J104)),AVERAGE(I104:J104),"")</x:f>
        <x:v>0.375</x:v>
      </x:c>
      <x:c r="L104" s="14" t="str">
        <x:v>&lt;$1</x:v>
      </x:c>
      <x:c r="M104" s="14" t="str">
        <x:v>No</x:v>
      </x:c>
      <x:c r="N104" s="14" t="str">
        <x:v>No</x:v>
      </x:c>
      <x:c r="O104" s="14" t="str">
        <x:v>No</x:v>
      </x:c>
      <x:c r="P104" s="14" t="str">
        <x:v>Clean/NM benchmark unless noted</x:v>
      </x:c>
      <x:c r="Q104" s="16" t="n">
        <x:v>0.25</x:v>
      </x:c>
      <x:c r="R104" s="16" t="n">
        <x:v>0.5</x:v>
      </x:c>
      <x:c r="S104" s="16" t="n">
        <x:f>IF(AND(ISNUMBER(Q104),ISNUMBER(R104)),AVERAGE(Q104:R104),K104)</x:f>
        <x:v>0.375</x:v>
      </x:c>
      <x:c r="T104" s="14" t="str"/>
      <x:c r="U104" s="18" t="n">
        <x:v>472</x:v>
      </x:c>
      <x:c r="V104" s="14" t="str">
        <x:v>Uploaded Pokémon chat JSON / prior card-by-card research</x:v>
      </x:c>
      <x:c r="W104" s="14" t="str"/>
    </x:row>
    <x:row r="105">
      <x:c r="A105" s="18" t="n">
        <x:v>104</x:v>
      </x:c>
      <x:c r="B105" s="14" t="str">
        <x:v>Trainer/Item/Stadium</x:v>
      </x:c>
      <x:c r="C105" s="14" t="str">
        <x:v>Shadow Triad</x:v>
      </x:c>
      <x:c r="D105" s="14" t="str">
        <x:v>102/116</x:v>
      </x:c>
      <x:c r="E105" s="14" t="str">
        <x:v>Plasma Freeze</x:v>
      </x:c>
      <x:c r="F105" s="18" t="n">
        <x:v>2013</x:v>
      </x:c>
      <x:c r="G105" s="14" t="str">
        <x:v>Regular</x:v>
      </x:c>
      <x:c r="H105" s="14" t="str">
        <x:v>2 of 2</x:v>
      </x:c>
      <x:c r="I105" s="16" t="n">
        <x:v>0.25</x:v>
      </x:c>
      <x:c r="J105" s="16" t="n">
        <x:v>0.5</x:v>
      </x:c>
      <x:c r="K105" s="16" t="n">
        <x:f>IF(AND(ISNUMBER(I105),ISNUMBER(J105)),AVERAGE(I105:J105),"")</x:f>
        <x:v>0.375</x:v>
      </x:c>
      <x:c r="L105" s="14" t="str">
        <x:v>&lt;$1</x:v>
      </x:c>
      <x:c r="M105" s="14" t="str">
        <x:v>No</x:v>
      </x:c>
      <x:c r="N105" s="14" t="str">
        <x:v>No</x:v>
      </x:c>
      <x:c r="O105" s="14" t="str">
        <x:v>No</x:v>
      </x:c>
      <x:c r="P105" s="14" t="str">
        <x:v>Clean/NM benchmark unless noted</x:v>
      </x:c>
      <x:c r="Q105" s="16" t="n">
        <x:v>0.25</x:v>
      </x:c>
      <x:c r="R105" s="16" t="n">
        <x:v>0.5</x:v>
      </x:c>
      <x:c r="S105" s="16" t="n">
        <x:f>IF(AND(ISNUMBER(Q105),ISNUMBER(R105)),AVERAGE(Q105:R105),K105)</x:f>
        <x:v>0.375</x:v>
      </x:c>
      <x:c r="T105" s="14" t="str"/>
      <x:c r="U105" s="18" t="n">
        <x:v>472</x:v>
      </x:c>
      <x:c r="V105" s="14" t="str">
        <x:v>Uploaded Pokémon chat JSON / prior card-by-card research</x:v>
      </x:c>
      <x:c r="W105" s="14" t="str"/>
    </x:row>
    <x:row r="106">
      <x:c r="A106" s="18" t="n">
        <x:v>105</x:v>
      </x:c>
      <x:c r="B106" s="14" t="str">
        <x:v>Trainer/Item/Stadium</x:v>
      </x:c>
      <x:c r="C106" s="14" t="str">
        <x:v>Sage’s Training</x:v>
      </x:c>
      <x:c r="D106" s="14" t="str">
        <x:v>85/95</x:v>
      </x:c>
      <x:c r="E106" s="14" t="str">
        <x:v>2011 World Championships</x:v>
      </x:c>
      <x:c r="F106" s="18" t="n">
        <x:v>2011</x:v>
      </x:c>
      <x:c r="G106" s="14" t="str">
        <x:v>Ross Cawthon gray-border</x:v>
      </x:c>
      <x:c r="H106" s="14" t="str">
        <x:v>1 of 4</x:v>
      </x:c>
      <x:c r="I106" s="16" t="n">
        <x:v>0.35</x:v>
      </x:c>
      <x:c r="J106" s="16" t="n">
        <x:v>0.4</x:v>
      </x:c>
      <x:c r="K106" s="16" t="n">
        <x:f>IF(AND(ISNUMBER(I106),ISNUMBER(J106)),AVERAGE(I106:J106),"")</x:f>
        <x:v>0.375</x:v>
      </x:c>
      <x:c r="L106" s="14" t="str">
        <x:v>&lt;$1</x:v>
      </x:c>
      <x:c r="M106" s="14" t="str">
        <x:v>Yes</x:v>
      </x:c>
      <x:c r="N106" s="14" t="str">
        <x:v>No</x:v>
      </x:c>
      <x:c r="O106" s="14" t="str">
        <x:v>No</x:v>
      </x:c>
      <x:c r="P106" s="14" t="str">
        <x:v>Clean/NM benchmark unless noted</x:v>
      </x:c>
      <x:c r="Q106" s="16" t="n">
        <x:v>0.35</x:v>
      </x:c>
      <x:c r="R106" s="16" t="n">
        <x:v>0.4</x:v>
      </x:c>
      <x:c r="S106" s="16" t="n">
        <x:f>IF(AND(ISNUMBER(Q106),ISNUMBER(R106)),AVERAGE(Q106:R106),K106)</x:f>
        <x:v>0.375</x:v>
      </x:c>
      <x:c r="T106" s="14" t="str"/>
      <x:c r="U106" s="18" t="n">
        <x:v>478</x:v>
      </x:c>
      <x:c r="V106" s="14" t="str">
        <x:v>Uploaded Pokémon chat JSON / prior card-by-card research</x:v>
      </x:c>
      <x:c r="W106" s="14" t="str"/>
    </x:row>
    <x:row r="107">
      <x:c r="A107" s="18" t="n">
        <x:v>106</x:v>
      </x:c>
      <x:c r="B107" s="14" t="str">
        <x:v>Trainer/Item/Stadium</x:v>
      </x:c>
      <x:c r="C107" s="14" t="str">
        <x:v>Sage’s Training</x:v>
      </x:c>
      <x:c r="D107" s="14" t="str">
        <x:v>85/95</x:v>
      </x:c>
      <x:c r="E107" s="14" t="str">
        <x:v>2011 World Championships</x:v>
      </x:c>
      <x:c r="F107" s="18" t="n">
        <x:v>2011</x:v>
      </x:c>
      <x:c r="G107" s="14" t="str">
        <x:v>Ross Cawthon gray-border</x:v>
      </x:c>
      <x:c r="H107" s="14" t="str">
        <x:v>2 of 4</x:v>
      </x:c>
      <x:c r="I107" s="16" t="n">
        <x:v>0.35</x:v>
      </x:c>
      <x:c r="J107" s="16" t="n">
        <x:v>0.4</x:v>
      </x:c>
      <x:c r="K107" s="16" t="n">
        <x:f>IF(AND(ISNUMBER(I107),ISNUMBER(J107)),AVERAGE(I107:J107),"")</x:f>
        <x:v>0.375</x:v>
      </x:c>
      <x:c r="L107" s="14" t="str">
        <x:v>&lt;$1</x:v>
      </x:c>
      <x:c r="M107" s="14" t="str">
        <x:v>Yes</x:v>
      </x:c>
      <x:c r="N107" s="14" t="str">
        <x:v>No</x:v>
      </x:c>
      <x:c r="O107" s="14" t="str">
        <x:v>No</x:v>
      </x:c>
      <x:c r="P107" s="14" t="str">
        <x:v>Clean/NM benchmark unless noted</x:v>
      </x:c>
      <x:c r="Q107" s="16" t="n">
        <x:v>0.35</x:v>
      </x:c>
      <x:c r="R107" s="16" t="n">
        <x:v>0.4</x:v>
      </x:c>
      <x:c r="S107" s="16" t="n">
        <x:f>IF(AND(ISNUMBER(Q107),ISNUMBER(R107)),AVERAGE(Q107:R107),K107)</x:f>
        <x:v>0.375</x:v>
      </x:c>
      <x:c r="T107" s="14" t="str"/>
      <x:c r="U107" s="18" t="n">
        <x:v>478</x:v>
      </x:c>
      <x:c r="V107" s="14" t="str">
        <x:v>Uploaded Pokémon chat JSON / prior card-by-card research</x:v>
      </x:c>
      <x:c r="W107" s="14" t="str"/>
    </x:row>
    <x:row r="108">
      <x:c r="A108" s="18" t="n">
        <x:v>107</x:v>
      </x:c>
      <x:c r="B108" s="14" t="str">
        <x:v>Trainer/Item/Stadium</x:v>
      </x:c>
      <x:c r="C108" s="14" t="str">
        <x:v>Sage’s Training</x:v>
      </x:c>
      <x:c r="D108" s="14" t="str">
        <x:v>85/95</x:v>
      </x:c>
      <x:c r="E108" s="14" t="str">
        <x:v>2011 World Championships</x:v>
      </x:c>
      <x:c r="F108" s="18" t="n">
        <x:v>2011</x:v>
      </x:c>
      <x:c r="G108" s="14" t="str">
        <x:v>Ross Cawthon gray-border</x:v>
      </x:c>
      <x:c r="H108" s="14" t="str">
        <x:v>3 of 4</x:v>
      </x:c>
      <x:c r="I108" s="16" t="n">
        <x:v>0.35</x:v>
      </x:c>
      <x:c r="J108" s="16" t="n">
        <x:v>0.4</x:v>
      </x:c>
      <x:c r="K108" s="16" t="n">
        <x:f>IF(AND(ISNUMBER(I108),ISNUMBER(J108)),AVERAGE(I108:J108),"")</x:f>
        <x:v>0.375</x:v>
      </x:c>
      <x:c r="L108" s="14" t="str">
        <x:v>&lt;$1</x:v>
      </x:c>
      <x:c r="M108" s="14" t="str">
        <x:v>Yes</x:v>
      </x:c>
      <x:c r="N108" s="14" t="str">
        <x:v>No</x:v>
      </x:c>
      <x:c r="O108" s="14" t="str">
        <x:v>No</x:v>
      </x:c>
      <x:c r="P108" s="14" t="str">
        <x:v>Clean/NM benchmark unless noted</x:v>
      </x:c>
      <x:c r="Q108" s="16" t="n">
        <x:v>0.35</x:v>
      </x:c>
      <x:c r="R108" s="16" t="n">
        <x:v>0.4</x:v>
      </x:c>
      <x:c r="S108" s="16" t="n">
        <x:f>IF(AND(ISNUMBER(Q108),ISNUMBER(R108)),AVERAGE(Q108:R108),K108)</x:f>
        <x:v>0.375</x:v>
      </x:c>
      <x:c r="T108" s="14" t="str"/>
      <x:c r="U108" s="18" t="n">
        <x:v>478</x:v>
      </x:c>
      <x:c r="V108" s="14" t="str">
        <x:v>Uploaded Pokémon chat JSON / prior card-by-card research</x:v>
      </x:c>
      <x:c r="W108" s="14" t="str"/>
    </x:row>
    <x:row r="109">
      <x:c r="A109" s="18" t="n">
        <x:v>108</x:v>
      </x:c>
      <x:c r="B109" s="14" t="str">
        <x:v>Trainer/Item/Stadium</x:v>
      </x:c>
      <x:c r="C109" s="14" t="str">
        <x:v>Sage’s Training</x:v>
      </x:c>
      <x:c r="D109" s="14" t="str">
        <x:v>85/95</x:v>
      </x:c>
      <x:c r="E109" s="14" t="str">
        <x:v>2011 World Championships</x:v>
      </x:c>
      <x:c r="F109" s="18" t="n">
        <x:v>2011</x:v>
      </x:c>
      <x:c r="G109" s="14" t="str">
        <x:v>Ross Cawthon gray-border</x:v>
      </x:c>
      <x:c r="H109" s="14" t="str">
        <x:v>4 of 4</x:v>
      </x:c>
      <x:c r="I109" s="16" t="n">
        <x:v>0.35</x:v>
      </x:c>
      <x:c r="J109" s="16" t="n">
        <x:v>0.4</x:v>
      </x:c>
      <x:c r="K109" s="16" t="n">
        <x:f>IF(AND(ISNUMBER(I109),ISNUMBER(J109)),AVERAGE(I109:J109),"")</x:f>
        <x:v>0.375</x:v>
      </x:c>
      <x:c r="L109" s="14" t="str">
        <x:v>&lt;$1</x:v>
      </x:c>
      <x:c r="M109" s="14" t="str">
        <x:v>Yes</x:v>
      </x:c>
      <x:c r="N109" s="14" t="str">
        <x:v>No</x:v>
      </x:c>
      <x:c r="O109" s="14" t="str">
        <x:v>No</x:v>
      </x:c>
      <x:c r="P109" s="14" t="str">
        <x:v>Clean/NM benchmark unless noted</x:v>
      </x:c>
      <x:c r="Q109" s="16" t="n">
        <x:v>0.35</x:v>
      </x:c>
      <x:c r="R109" s="16" t="n">
        <x:v>0.4</x:v>
      </x:c>
      <x:c r="S109" s="16" t="n">
        <x:f>IF(AND(ISNUMBER(Q109),ISNUMBER(R109)),AVERAGE(Q109:R109),K109)</x:f>
        <x:v>0.375</x:v>
      </x:c>
      <x:c r="T109" s="14" t="str"/>
      <x:c r="U109" s="18" t="n">
        <x:v>478</x:v>
      </x:c>
      <x:c r="V109" s="14" t="str">
        <x:v>Uploaded Pokémon chat JSON / prior card-by-card research</x:v>
      </x:c>
      <x:c r="W109" s="14" t="str"/>
    </x:row>
    <x:row r="110">
      <x:c r="A110" s="18" t="n">
        <x:v>109</x:v>
      </x:c>
      <x:c r="B110" s="14" t="str">
        <x:v>Trainer/Item/Stadium</x:v>
      </x:c>
      <x:c r="C110" s="14" t="str">
        <x:v>Professor Birch</x:v>
      </x:c>
      <x:c r="D110" s="14" t="str">
        <x:v>89/109</x:v>
      </x:c>
      <x:c r="E110" s="14" t="str">
        <x:v>EX Ruby &amp; Sapphire</x:v>
      </x:c>
      <x:c r="F110" s="18" t="n">
        <x:v>2003</x:v>
      </x:c>
      <x:c r="G110" s="14" t="str">
        <x:v>e-Reader regular</x:v>
      </x:c>
      <x:c r="H110" s="14" t="str">
        <x:v>1 of 1</x:v>
      </x:c>
      <x:c r="I110" s="16" t="n">
        <x:v>0.4</x:v>
      </x:c>
      <x:c r="J110" s="16" t="n">
        <x:v>1</x:v>
      </x:c>
      <x:c r="K110" s="16" t="n">
        <x:f>IF(AND(ISNUMBER(I110),ISNUMBER(J110)),AVERAGE(I110:J110),"")</x:f>
        <x:v>0.7</x:v>
      </x:c>
      <x:c r="L110" s="14" t="str">
        <x:v>&lt;$1</x:v>
      </x:c>
      <x:c r="M110" s="14" t="str">
        <x:v>Yes</x:v>
      </x:c>
      <x:c r="N110" s="14" t="str">
        <x:v>No</x:v>
      </x:c>
      <x:c r="O110" s="14" t="str">
        <x:v>No</x:v>
      </x:c>
      <x:c r="P110" s="14" t="str">
        <x:v>Clean/NM benchmark unless noted</x:v>
      </x:c>
      <x:c r="Q110" s="16" t="n">
        <x:v>0.4</x:v>
      </x:c>
      <x:c r="R110" s="16" t="n">
        <x:v>1</x:v>
      </x:c>
      <x:c r="S110" s="16" t="n">
        <x:f>IF(AND(ISNUMBER(Q110),ISNUMBER(R110)),AVERAGE(Q110:R110),K110)</x:f>
        <x:v>0.7</x:v>
      </x:c>
      <x:c r="T110" s="14" t="str"/>
      <x:c r="U110" s="18" t="n">
        <x:v>487</x:v>
      </x:c>
      <x:c r="V110" s="14" t="str">
        <x:v>Uploaded Pokémon chat JSON / prior card-by-card research</x:v>
      </x:c>
      <x:c r="W110" s="14" t="str"/>
    </x:row>
    <x:row r="111">
      <x:c r="A111" s="18" t="n">
        <x:v>110</x:v>
      </x:c>
      <x:c r="B111" s="14" t="str">
        <x:v>Trainer/Item/Stadium</x:v>
      </x:c>
      <x:c r="C111" s="14" t="str">
        <x:v>Professor Oak’s New Theory</x:v>
      </x:c>
      <x:c r="D111" s="14" t="str">
        <x:v>83/95</x:v>
      </x:c>
      <x:c r="E111" s="14" t="str">
        <x:v>2011 World Championships</x:v>
      </x:c>
      <x:c r="F111" s="18" t="n">
        <x:v>2011</x:v>
      </x:c>
      <x:c r="G111" s="14" t="str">
        <x:v>Ross Cawthon gray-border</x:v>
      </x:c>
      <x:c r="H111" s="14" t="str">
        <x:v>1 of 1</x:v>
      </x:c>
      <x:c r="I111" s="16" t="n">
        <x:v>0.85</x:v>
      </x:c>
      <x:c r="J111" s="16" t="n">
        <x:v>1</x:v>
      </x:c>
      <x:c r="K111" s="16" t="n">
        <x:f>IF(AND(ISNUMBER(I111),ISNUMBER(J111)),AVERAGE(I111:J111),"")</x:f>
        <x:v>0.925</x:v>
      </x:c>
      <x:c r="L111" s="14" t="str">
        <x:v>&lt;$1</x:v>
      </x:c>
      <x:c r="M111" s="14" t="str">
        <x:v>Yes</x:v>
      </x:c>
      <x:c r="N111" s="14" t="str">
        <x:v>No</x:v>
      </x:c>
      <x:c r="O111" s="14" t="str">
        <x:v>No</x:v>
      </x:c>
      <x:c r="P111" s="14" t="str">
        <x:v>Clean/NM benchmark unless noted</x:v>
      </x:c>
      <x:c r="Q111" s="16" t="n">
        <x:v>0.85</x:v>
      </x:c>
      <x:c r="R111" s="16" t="n">
        <x:v>1</x:v>
      </x:c>
      <x:c r="S111" s="16" t="n">
        <x:f>IF(AND(ISNUMBER(Q111),ISNUMBER(R111)),AVERAGE(Q111:R111),K111)</x:f>
        <x:v>0.925</x:v>
      </x:c>
      <x:c r="T111" s="14" t="str"/>
      <x:c r="U111" s="18" t="n">
        <x:v>487</x:v>
      </x:c>
      <x:c r="V111" s="14" t="str">
        <x:v>Uploaded Pokémon chat JSON / prior card-by-card research</x:v>
      </x:c>
      <x:c r="W111" s="14" t="str"/>
    </x:row>
    <x:row r="112">
      <x:c r="A112" s="18" t="n">
        <x:v>111</x:v>
      </x:c>
      <x:c r="B112" s="14" t="str">
        <x:v>Trainer/Item/Stadium</x:v>
      </x:c>
      <x:c r="C112" s="14" t="str">
        <x:v>Professor Juniper</x:v>
      </x:c>
      <x:c r="D112" s="14" t="str">
        <x:v>84/101</x:v>
      </x:c>
      <x:c r="E112" s="14" t="str">
        <x:v>Plasma Blast</x:v>
      </x:c>
      <x:c r="F112" s="18" t="n">
        <x:v>2013</x:v>
      </x:c>
      <x:c r="G112" s="14" t="str">
        <x:v>Reverse Holo</x:v>
      </x:c>
      <x:c r="H112" s="14" t="str">
        <x:v>1 of 4</x:v>
      </x:c>
      <x:c r="I112" s="16" t="n">
        <x:v>0.65</x:v>
      </x:c>
      <x:c r="J112" s="16" t="n">
        <x:v>0.65</x:v>
      </x:c>
      <x:c r="K112" s="16" t="n">
        <x:f>IF(AND(ISNUMBER(I112),ISNUMBER(J112)),AVERAGE(I112:J112),"")</x:f>
        <x:v>0.65</x:v>
      </x:c>
      <x:c r="L112" s="14" t="str">
        <x:v>&lt;$1</x:v>
      </x:c>
      <x:c r="M112" s="14" t="str">
        <x:v>Yes</x:v>
      </x:c>
      <x:c r="N112" s="14" t="str">
        <x:v>No</x:v>
      </x:c>
      <x:c r="O112" s="14" t="str">
        <x:v>No</x:v>
      </x:c>
      <x:c r="P112" s="14" t="str">
        <x:v>Clean/NM benchmark unless noted</x:v>
      </x:c>
      <x:c r="Q112" s="16" t="n">
        <x:v>0.65</x:v>
      </x:c>
      <x:c r="R112" s="16" t="n">
        <x:v>0.65</x:v>
      </x:c>
      <x:c r="S112" s="16" t="n">
        <x:f>IF(AND(ISNUMBER(Q112),ISNUMBER(R112)),AVERAGE(Q112:R112),K112)</x:f>
        <x:v>0.65</x:v>
      </x:c>
      <x:c r="T112" s="14" t="str"/>
      <x:c r="U112" s="18" t="n">
        <x:v>493</x:v>
      </x:c>
      <x:c r="V112" s="14" t="str">
        <x:v>Uploaded Pokémon chat JSON / prior card-by-card research</x:v>
      </x:c>
      <x:c r="W112" s="14" t="str"/>
    </x:row>
    <x:row r="113">
      <x:c r="A113" s="18" t="n">
        <x:v>112</x:v>
      </x:c>
      <x:c r="B113" s="14" t="str">
        <x:v>Trainer/Item/Stadium</x:v>
      </x:c>
      <x:c r="C113" s="14" t="str">
        <x:v>Professor Juniper</x:v>
      </x:c>
      <x:c r="D113" s="14" t="str">
        <x:v>84/101</x:v>
      </x:c>
      <x:c r="E113" s="14" t="str">
        <x:v>Plasma Blast</x:v>
      </x:c>
      <x:c r="F113" s="18" t="n">
        <x:v>2013</x:v>
      </x:c>
      <x:c r="G113" s="14" t="str">
        <x:v>Reverse Holo</x:v>
      </x:c>
      <x:c r="H113" s="14" t="str">
        <x:v>2 of 4</x:v>
      </x:c>
      <x:c r="I113" s="16" t="n">
        <x:v>0.65</x:v>
      </x:c>
      <x:c r="J113" s="16" t="n">
        <x:v>0.65</x:v>
      </x:c>
      <x:c r="K113" s="16" t="n">
        <x:f>IF(AND(ISNUMBER(I113),ISNUMBER(J113)),AVERAGE(I113:J113),"")</x:f>
        <x:v>0.65</x:v>
      </x:c>
      <x:c r="L113" s="14" t="str">
        <x:v>&lt;$1</x:v>
      </x:c>
      <x:c r="M113" s="14" t="str">
        <x:v>Yes</x:v>
      </x:c>
      <x:c r="N113" s="14" t="str">
        <x:v>No</x:v>
      </x:c>
      <x:c r="O113" s="14" t="str">
        <x:v>No</x:v>
      </x:c>
      <x:c r="P113" s="14" t="str">
        <x:v>Clean/NM benchmark unless noted</x:v>
      </x:c>
      <x:c r="Q113" s="16" t="n">
        <x:v>0.65</x:v>
      </x:c>
      <x:c r="R113" s="16" t="n">
        <x:v>0.65</x:v>
      </x:c>
      <x:c r="S113" s="16" t="n">
        <x:f>IF(AND(ISNUMBER(Q113),ISNUMBER(R113)),AVERAGE(Q113:R113),K113)</x:f>
        <x:v>0.65</x:v>
      </x:c>
      <x:c r="T113" s="14" t="str"/>
      <x:c r="U113" s="18" t="n">
        <x:v>493</x:v>
      </x:c>
      <x:c r="V113" s="14" t="str">
        <x:v>Uploaded Pokémon chat JSON / prior card-by-card research</x:v>
      </x:c>
      <x:c r="W113" s="14" t="str"/>
    </x:row>
    <x:row r="114">
      <x:c r="A114" s="18" t="n">
        <x:v>113</x:v>
      </x:c>
      <x:c r="B114" s="14" t="str">
        <x:v>Trainer/Item/Stadium</x:v>
      </x:c>
      <x:c r="C114" s="14" t="str">
        <x:v>Professor Juniper</x:v>
      </x:c>
      <x:c r="D114" s="14" t="str">
        <x:v>84/101</x:v>
      </x:c>
      <x:c r="E114" s="14" t="str">
        <x:v>Plasma Blast</x:v>
      </x:c>
      <x:c r="F114" s="18" t="n">
        <x:v>2013</x:v>
      </x:c>
      <x:c r="G114" s="14" t="str">
        <x:v>Reverse Holo</x:v>
      </x:c>
      <x:c r="H114" s="14" t="str">
        <x:v>3 of 4</x:v>
      </x:c>
      <x:c r="I114" s="16" t="n">
        <x:v>0.65</x:v>
      </x:c>
      <x:c r="J114" s="16" t="n">
        <x:v>0.65</x:v>
      </x:c>
      <x:c r="K114" s="16" t="n">
        <x:f>IF(AND(ISNUMBER(I114),ISNUMBER(J114)),AVERAGE(I114:J114),"")</x:f>
        <x:v>0.65</x:v>
      </x:c>
      <x:c r="L114" s="14" t="str">
        <x:v>&lt;$1</x:v>
      </x:c>
      <x:c r="M114" s="14" t="str">
        <x:v>Yes</x:v>
      </x:c>
      <x:c r="N114" s="14" t="str">
        <x:v>No</x:v>
      </x:c>
      <x:c r="O114" s="14" t="str">
        <x:v>No</x:v>
      </x:c>
      <x:c r="P114" s="14" t="str">
        <x:v>Clean/NM benchmark unless noted</x:v>
      </x:c>
      <x:c r="Q114" s="16" t="n">
        <x:v>0.65</x:v>
      </x:c>
      <x:c r="R114" s="16" t="n">
        <x:v>0.65</x:v>
      </x:c>
      <x:c r="S114" s="16" t="n">
        <x:f>IF(AND(ISNUMBER(Q114),ISNUMBER(R114)),AVERAGE(Q114:R114),K114)</x:f>
        <x:v>0.65</x:v>
      </x:c>
      <x:c r="T114" s="14" t="str"/>
      <x:c r="U114" s="18" t="n">
        <x:v>493</x:v>
      </x:c>
      <x:c r="V114" s="14" t="str">
        <x:v>Uploaded Pokémon chat JSON / prior card-by-card research</x:v>
      </x:c>
      <x:c r="W114" s="14" t="str"/>
    </x:row>
    <x:row r="115">
      <x:c r="A115" s="18" t="n">
        <x:v>114</x:v>
      </x:c>
      <x:c r="B115" s="14" t="str">
        <x:v>Trainer/Item/Stadium</x:v>
      </x:c>
      <x:c r="C115" s="14" t="str">
        <x:v>Professor Juniper</x:v>
      </x:c>
      <x:c r="D115" s="14" t="str">
        <x:v>84/101</x:v>
      </x:c>
      <x:c r="E115" s="14" t="str">
        <x:v>Plasma Blast</x:v>
      </x:c>
      <x:c r="F115" s="18" t="n">
        <x:v>2013</x:v>
      </x:c>
      <x:c r="G115" s="14" t="str">
        <x:v>Reverse Holo</x:v>
      </x:c>
      <x:c r="H115" s="14" t="str">
        <x:v>4 of 4</x:v>
      </x:c>
      <x:c r="I115" s="16" t="n">
        <x:v>0.65</x:v>
      </x:c>
      <x:c r="J115" s="16" t="n">
        <x:v>0.65</x:v>
      </x:c>
      <x:c r="K115" s="16" t="n">
        <x:f>IF(AND(ISNUMBER(I115),ISNUMBER(J115)),AVERAGE(I115:J115),"")</x:f>
        <x:v>0.65</x:v>
      </x:c>
      <x:c r="L115" s="14" t="str">
        <x:v>&lt;$1</x:v>
      </x:c>
      <x:c r="M115" s="14" t="str">
        <x:v>Yes</x:v>
      </x:c>
      <x:c r="N115" s="14" t="str">
        <x:v>No</x:v>
      </x:c>
      <x:c r="O115" s="14" t="str">
        <x:v>No</x:v>
      </x:c>
      <x:c r="P115" s="14" t="str">
        <x:v>Clean/NM benchmark unless noted</x:v>
      </x:c>
      <x:c r="Q115" s="16" t="n">
        <x:v>0.65</x:v>
      </x:c>
      <x:c r="R115" s="16" t="n">
        <x:v>0.65</x:v>
      </x:c>
      <x:c r="S115" s="16" t="n">
        <x:f>IF(AND(ISNUMBER(Q115),ISNUMBER(R115)),AVERAGE(Q115:R115),K115)</x:f>
        <x:v>0.65</x:v>
      </x:c>
      <x:c r="T115" s="14" t="str"/>
      <x:c r="U115" s="18" t="n">
        <x:v>493</x:v>
      </x:c>
      <x:c r="V115" s="14" t="str">
        <x:v>Uploaded Pokémon chat JSON / prior card-by-card research</x:v>
      </x:c>
      <x:c r="W115" s="14" t="str"/>
    </x:row>
    <x:row r="116">
      <x:c r="A116" s="18" t="n">
        <x:v>115</x:v>
      </x:c>
      <x:c r="B116" s="14" t="str">
        <x:v>Trainer/Item/Stadium</x:v>
      </x:c>
      <x:c r="C116" s="14" t="str">
        <x:v>Professor Juniper</x:v>
      </x:c>
      <x:c r="D116" s="14" t="str">
        <x:v>101/114</x:v>
      </x:c>
      <x:c r="E116" s="14" t="str">
        <x:v>Black &amp; White</x:v>
      </x:c>
      <x:c r="F116" s="18" t="n">
        <x:v>2011</x:v>
      </x:c>
      <x:c r="G116" s="14" t="str">
        <x:v>Reverse Holo</x:v>
      </x:c>
      <x:c r="H116" s="14" t="str">
        <x:v>1 of 1</x:v>
      </x:c>
      <x:c r="I116" s="16" t="n">
        <x:v>1.1</x:v>
      </x:c>
      <x:c r="J116" s="16" t="n">
        <x:v>1.5</x:v>
      </x:c>
      <x:c r="K116" s="16" t="n">
        <x:f>IF(AND(ISNUMBER(I116),ISNUMBER(J116)),AVERAGE(I116:J116),"")</x:f>
        <x:v>1.3</x:v>
      </x:c>
      <x:c r="L116" s="14" t="str">
        <x:v>$1–5</x:v>
      </x:c>
      <x:c r="M116" s="14" t="str">
        <x:v>Yes</x:v>
      </x:c>
      <x:c r="N116" s="14" t="str">
        <x:v>No</x:v>
      </x:c>
      <x:c r="O116" s="14" t="str">
        <x:v>Yes</x:v>
      </x:c>
      <x:c r="P116" s="14" t="str">
        <x:v>Clean/NM benchmark unless noted</x:v>
      </x:c>
      <x:c r="Q116" s="16" t="n">
        <x:v>1.1</x:v>
      </x:c>
      <x:c r="R116" s="16" t="n">
        <x:v>1.5</x:v>
      </x:c>
      <x:c r="S116" s="16" t="n">
        <x:f>IF(AND(ISNUMBER(Q116),ISNUMBER(R116)),AVERAGE(Q116:R116),K116)</x:f>
        <x:v>1.3</x:v>
      </x:c>
      <x:c r="T116" s="14" t="str"/>
      <x:c r="U116" s="18" t="n">
        <x:v>493</x:v>
      </x:c>
      <x:c r="V116" s="14" t="str">
        <x:v>Uploaded Pokémon chat JSON / prior card-by-card research</x:v>
      </x:c>
      <x:c r="W116" s="14" t="str"/>
    </x:row>
    <x:row r="117">
      <x:c r="A117" s="18" t="n">
        <x:v>116</x:v>
      </x:c>
      <x:c r="B117" s="14" t="str">
        <x:v>Trainer/Item/Stadium</x:v>
      </x:c>
      <x:c r="C117" s="14" t="str">
        <x:v>Professor Juniper</x:v>
      </x:c>
      <x:c r="D117" s="14" t="str">
        <x:v>98/108</x:v>
      </x:c>
      <x:c r="E117" s="14" t="str">
        <x:v>Dark Explorers</x:v>
      </x:c>
      <x:c r="F117" s="18" t="n">
        <x:v>2012</x:v>
      </x:c>
      <x:c r="G117" s="14" t="str">
        <x:v>Reverse Holo</x:v>
      </x:c>
      <x:c r="H117" s="14" t="str">
        <x:v>1 of 1</x:v>
      </x:c>
      <x:c r="I117" s="16" t="n">
        <x:v>1.5</x:v>
      </x:c>
      <x:c r="J117" s="16" t="n">
        <x:v>2</x:v>
      </x:c>
      <x:c r="K117" s="16" t="n">
        <x:f>IF(AND(ISNUMBER(I117),ISNUMBER(J117)),AVERAGE(I117:J117),"")</x:f>
        <x:v>1.75</x:v>
      </x:c>
      <x:c r="L117" s="14" t="str">
        <x:v>$1–5</x:v>
      </x:c>
      <x:c r="M117" s="14" t="str">
        <x:v>Yes</x:v>
      </x:c>
      <x:c r="N117" s="14" t="str">
        <x:v>No</x:v>
      </x:c>
      <x:c r="O117" s="14" t="str">
        <x:v>Yes</x:v>
      </x:c>
      <x:c r="P117" s="14" t="str">
        <x:v>Clean/NM benchmark unless noted</x:v>
      </x:c>
      <x:c r="Q117" s="16" t="n">
        <x:v>1.5</x:v>
      </x:c>
      <x:c r="R117" s="16" t="n">
        <x:v>2</x:v>
      </x:c>
      <x:c r="S117" s="16" t="n">
        <x:f>IF(AND(ISNUMBER(Q117),ISNUMBER(R117)),AVERAGE(Q117:R117),K117)</x:f>
        <x:v>1.75</x:v>
      </x:c>
      <x:c r="T117" s="14" t="str"/>
      <x:c r="U117" s="18" t="n">
        <x:v>493</x:v>
      </x:c>
      <x:c r="V117" s="14" t="str">
        <x:v>Uploaded Pokémon chat JSON / prior card-by-card research</x:v>
      </x:c>
      <x:c r="W117" s="14" t="str"/>
    </x:row>
    <x:row r="118">
      <x:c r="A118" s="18" t="n">
        <x:v>117</x:v>
      </x:c>
      <x:c r="B118" s="14" t="str">
        <x:v>Trainer/Item/Stadium</x:v>
      </x:c>
      <x:c r="C118" s="14" t="str">
        <x:v>Professor Elm’s Training Method</x:v>
      </x:c>
      <x:c r="D118" s="14" t="str">
        <x:v>148/165</x:v>
      </x:c>
      <x:c r="E118" s="14" t="str">
        <x:v>2004 World Championships</x:v>
      </x:c>
      <x:c r="F118" s="18" t="n">
        <x:v>2004</x:v>
      </x:c>
      <x:c r="G118" s="14" t="str">
        <x:v>Chris Fulop gray-border</x:v>
      </x:c>
      <x:c r="H118" s="14" t="str">
        <x:v>1 of 1</x:v>
      </x:c>
      <x:c r="I118" s="16" t="n">
        <x:v>1.7</x:v>
      </x:c>
      <x:c r="J118" s="16" t="n">
        <x:v>3.35</x:v>
      </x:c>
      <x:c r="K118" s="16" t="n">
        <x:f>IF(AND(ISNUMBER(I118),ISNUMBER(J118)),AVERAGE(I118:J118),"")</x:f>
        <x:v>2.525</x:v>
      </x:c>
      <x:c r="L118" s="14" t="str">
        <x:v>$1–5</x:v>
      </x:c>
      <x:c r="M118" s="14" t="str">
        <x:v>Yes</x:v>
      </x:c>
      <x:c r="N118" s="14" t="str">
        <x:v>No</x:v>
      </x:c>
      <x:c r="O118" s="14" t="str">
        <x:v>Yes</x:v>
      </x:c>
      <x:c r="P118" s="14" t="str">
        <x:v>Clean/NM benchmark unless noted</x:v>
      </x:c>
      <x:c r="Q118" s="16" t="n">
        <x:v>1.7</x:v>
      </x:c>
      <x:c r="R118" s="16" t="n">
        <x:v>3.35</x:v>
      </x:c>
      <x:c r="S118" s="16" t="n">
        <x:f>IF(AND(ISNUMBER(Q118),ISNUMBER(R118)),AVERAGE(Q118:R118),K118)</x:f>
        <x:v>2.525</x:v>
      </x:c>
      <x:c r="T118" s="14" t="str"/>
      <x:c r="U118" s="18" t="n">
        <x:v>499</x:v>
      </x:c>
      <x:c r="V118" s="14" t="str">
        <x:v>Uploaded Pokémon chat JSON / prior card-by-card research</x:v>
      </x:c>
      <x:c r="W118" s="14" t="str"/>
    </x:row>
    <x:row r="119">
      <x:c r="A119" s="18" t="n">
        <x:v>118</x:v>
      </x:c>
      <x:c r="B119" s="14" t="str">
        <x:v>Trainer/Item/Stadium</x:v>
      </x:c>
      <x:c r="C119" s="14" t="str">
        <x:v>Pokémon Nurse</x:v>
      </x:c>
      <x:c r="D119" s="14" t="str">
        <x:v>145/165</x:v>
      </x:c>
      <x:c r="E119" s="14" t="str">
        <x:v>2004 World Championships</x:v>
      </x:c>
      <x:c r="F119" s="18" t="n">
        <x:v>2004</x:v>
      </x:c>
      <x:c r="G119" s="14" t="str">
        <x:v>Chris Fulop gray-border</x:v>
      </x:c>
      <x:c r="H119" s="14" t="str">
        <x:v>1 of 1</x:v>
      </x:c>
      <x:c r="I119" s="16" t="n">
        <x:v>11.33</x:v>
      </x:c>
      <x:c r="J119" s="16" t="n">
        <x:v>11.33</x:v>
      </x:c>
      <x:c r="K119" s="16" t="n">
        <x:f>IF(AND(ISNUMBER(I119),ISNUMBER(J119)),AVERAGE(I119:J119),"")</x:f>
        <x:v>11.33</x:v>
      </x:c>
      <x:c r="L119" s="14" t="str">
        <x:v>$5–20</x:v>
      </x:c>
      <x:c r="M119" s="14" t="str">
        <x:v>Yes</x:v>
      </x:c>
      <x:c r="N119" s="14" t="str">
        <x:v>Yes</x:v>
      </x:c>
      <x:c r="O119" s="14" t="str">
        <x:v>Yes</x:v>
      </x:c>
      <x:c r="P119" s="14" t="str">
        <x:v>Clean/NM benchmark unless noted</x:v>
      </x:c>
      <x:c r="Q119" s="16" t="n">
        <x:v>11.33</x:v>
      </x:c>
      <x:c r="R119" s="16" t="n">
        <x:v>11.33</x:v>
      </x:c>
      <x:c r="S119" s="16" t="n">
        <x:f>IF(AND(ISNUMBER(Q119),ISNUMBER(R119)),AVERAGE(Q119:R119),K119)</x:f>
        <x:v>11.33</x:v>
      </x:c>
      <x:c r="T119" s="14" t="str"/>
      <x:c r="U119" s="18" t="n">
        <x:v>499</x:v>
      </x:c>
      <x:c r="V119" s="14" t="str">
        <x:v>Uploaded Pokémon chat JSON / prior card-by-card research</x:v>
      </x:c>
      <x:c r="W119" s="14" t="str"/>
    </x:row>
    <x:row r="120">
      <x:c r="A120" s="18" t="n">
        <x:v>119</x:v>
      </x:c>
      <x:c r="B120" s="14" t="str">
        <x:v>Trainer/Item/Stadium</x:v>
      </x:c>
      <x:c r="C120" s="14" t="str">
        <x:v>Pokémon Collector</x:v>
      </x:c>
      <x:c r="D120" s="14" t="str">
        <x:v>97/123</x:v>
      </x:c>
      <x:c r="E120" s="14" t="str">
        <x:v>2011 World Championships</x:v>
      </x:c>
      <x:c r="F120" s="18" t="n">
        <x:v>2011</x:v>
      </x:c>
      <x:c r="G120" s="14" t="str">
        <x:v>Ross Cawthon gray-border</x:v>
      </x:c>
      <x:c r="H120" s="14" t="str">
        <x:v>1 of 3</x:v>
      </x:c>
      <x:c r="I120" s="16" t="n">
        <x:v>2</x:v>
      </x:c>
      <x:c r="J120" s="16" t="n">
        <x:v>2.07</x:v>
      </x:c>
      <x:c r="K120" s="16" t="n">
        <x:f>IF(AND(ISNUMBER(I120),ISNUMBER(J120)),AVERAGE(I120:J120),"")</x:f>
        <x:v>2.035</x:v>
      </x:c>
      <x:c r="L120" s="14" t="str">
        <x:v>$1–5</x:v>
      </x:c>
      <x:c r="M120" s="14" t="str">
        <x:v>Yes</x:v>
      </x:c>
      <x:c r="N120" s="14" t="str">
        <x:v>No</x:v>
      </x:c>
      <x:c r="O120" s="14" t="str">
        <x:v>Yes</x:v>
      </x:c>
      <x:c r="P120" s="14" t="str">
        <x:v>Clean/NM benchmark unless noted</x:v>
      </x:c>
      <x:c r="Q120" s="16" t="n">
        <x:v>2</x:v>
      </x:c>
      <x:c r="R120" s="16" t="n">
        <x:v>2.07</x:v>
      </x:c>
      <x:c r="S120" s="16" t="n">
        <x:f>IF(AND(ISNUMBER(Q120),ISNUMBER(R120)),AVERAGE(Q120:R120),K120)</x:f>
        <x:v>2.035</x:v>
      </x:c>
      <x:c r="T120" s="14" t="str"/>
      <x:c r="U120" s="18" t="n">
        <x:v>505</x:v>
      </x:c>
      <x:c r="V120" s="14" t="str">
        <x:v>Uploaded Pokémon chat JSON / prior card-by-card research</x:v>
      </x:c>
      <x:c r="W120" s="14" t="str"/>
    </x:row>
    <x:row r="121">
      <x:c r="A121" s="18" t="n">
        <x:v>120</x:v>
      </x:c>
      <x:c r="B121" s="14" t="str">
        <x:v>Trainer/Item/Stadium</x:v>
      </x:c>
      <x:c r="C121" s="14" t="str">
        <x:v>Pokémon Collector</x:v>
      </x:c>
      <x:c r="D121" s="14" t="str">
        <x:v>97/123</x:v>
      </x:c>
      <x:c r="E121" s="14" t="str">
        <x:v>2011 World Championships</x:v>
      </x:c>
      <x:c r="F121" s="18" t="n">
        <x:v>2011</x:v>
      </x:c>
      <x:c r="G121" s="14" t="str">
        <x:v>Ross Cawthon gray-border</x:v>
      </x:c>
      <x:c r="H121" s="14" t="str">
        <x:v>2 of 3</x:v>
      </x:c>
      <x:c r="I121" s="16" t="n">
        <x:v>2</x:v>
      </x:c>
      <x:c r="J121" s="16" t="n">
        <x:v>2.07</x:v>
      </x:c>
      <x:c r="K121" s="16" t="n">
        <x:f>IF(AND(ISNUMBER(I121),ISNUMBER(J121)),AVERAGE(I121:J121),"")</x:f>
        <x:v>2.035</x:v>
      </x:c>
      <x:c r="L121" s="14" t="str">
        <x:v>$1–5</x:v>
      </x:c>
      <x:c r="M121" s="14" t="str">
        <x:v>Yes</x:v>
      </x:c>
      <x:c r="N121" s="14" t="str">
        <x:v>No</x:v>
      </x:c>
      <x:c r="O121" s="14" t="str">
        <x:v>Yes</x:v>
      </x:c>
      <x:c r="P121" s="14" t="str">
        <x:v>Clean/NM benchmark unless noted</x:v>
      </x:c>
      <x:c r="Q121" s="16" t="n">
        <x:v>2</x:v>
      </x:c>
      <x:c r="R121" s="16" t="n">
        <x:v>2.07</x:v>
      </x:c>
      <x:c r="S121" s="16" t="n">
        <x:f>IF(AND(ISNUMBER(Q121),ISNUMBER(R121)),AVERAGE(Q121:R121),K121)</x:f>
        <x:v>2.035</x:v>
      </x:c>
      <x:c r="T121" s="14" t="str"/>
      <x:c r="U121" s="18" t="n">
        <x:v>505</x:v>
      </x:c>
      <x:c r="V121" s="14" t="str">
        <x:v>Uploaded Pokémon chat JSON / prior card-by-card research</x:v>
      </x:c>
      <x:c r="W121" s="14" t="str"/>
    </x:row>
    <x:row r="122">
      <x:c r="A122" s="18" t="n">
        <x:v>121</x:v>
      </x:c>
      <x:c r="B122" s="14" t="str">
        <x:v>Trainer/Item/Stadium</x:v>
      </x:c>
      <x:c r="C122" s="14" t="str">
        <x:v>Pokémon Collector</x:v>
      </x:c>
      <x:c r="D122" s="14" t="str">
        <x:v>97/123</x:v>
      </x:c>
      <x:c r="E122" s="14" t="str">
        <x:v>2011 World Championships</x:v>
      </x:c>
      <x:c r="F122" s="18" t="n">
        <x:v>2011</x:v>
      </x:c>
      <x:c r="G122" s="14" t="str">
        <x:v>Ross Cawthon gray-border</x:v>
      </x:c>
      <x:c r="H122" s="14" t="str">
        <x:v>3 of 3</x:v>
      </x:c>
      <x:c r="I122" s="16" t="n">
        <x:v>2</x:v>
      </x:c>
      <x:c r="J122" s="16" t="n">
        <x:v>2.07</x:v>
      </x:c>
      <x:c r="K122" s="16" t="n">
        <x:f>IF(AND(ISNUMBER(I122),ISNUMBER(J122)),AVERAGE(I122:J122),"")</x:f>
        <x:v>2.035</x:v>
      </x:c>
      <x:c r="L122" s="14" t="str">
        <x:v>$1–5</x:v>
      </x:c>
      <x:c r="M122" s="14" t="str">
        <x:v>Yes</x:v>
      </x:c>
      <x:c r="N122" s="14" t="str">
        <x:v>No</x:v>
      </x:c>
      <x:c r="O122" s="14" t="str">
        <x:v>Yes</x:v>
      </x:c>
      <x:c r="P122" s="14" t="str">
        <x:v>Clean/NM benchmark unless noted</x:v>
      </x:c>
      <x:c r="Q122" s="16" t="n">
        <x:v>2</x:v>
      </x:c>
      <x:c r="R122" s="16" t="n">
        <x:v>2.07</x:v>
      </x:c>
      <x:c r="S122" s="16" t="n">
        <x:f>IF(AND(ISNUMBER(Q122),ISNUMBER(R122)),AVERAGE(Q122:R122),K122)</x:f>
        <x:v>2.035</x:v>
      </x:c>
      <x:c r="T122" s="14" t="str"/>
      <x:c r="U122" s="18" t="n">
        <x:v>505</x:v>
      </x:c>
      <x:c r="V122" s="14" t="str">
        <x:v>Uploaded Pokémon chat JSON / prior card-by-card research</x:v>
      </x:c>
      <x:c r="W122" s="14" t="str"/>
    </x:row>
    <x:row r="123">
      <x:c r="A123" s="18" t="n">
        <x:v>122</x:v>
      </x:c>
      <x:c r="B123" s="14" t="str">
        <x:v>Trainer/Item/Stadium</x:v>
      </x:c>
      <x:c r="C123" s="14" t="str">
        <x:v>Oracle</x:v>
      </x:c>
      <x:c r="D123" s="14" t="str">
        <x:v>138/144</x:v>
      </x:c>
      <x:c r="E123" s="14" t="str">
        <x:v>2004 World Championships</x:v>
      </x:c>
      <x:c r="F123" s="18" t="n">
        <x:v>2004</x:v>
      </x:c>
      <x:c r="G123" s="14" t="str">
        <x:v>Chris Fulop gray-border</x:v>
      </x:c>
      <x:c r="H123" s="14" t="str">
        <x:v>1 of 2</x:v>
      </x:c>
      <x:c r="I123" s="16" t="n">
        <x:v>2.5</x:v>
      </x:c>
      <x:c r="J123" s="16" t="n">
        <x:v>3</x:v>
      </x:c>
      <x:c r="K123" s="16" t="n">
        <x:f>IF(AND(ISNUMBER(I123),ISNUMBER(J123)),AVERAGE(I123:J123),"")</x:f>
        <x:v>2.75</x:v>
      </x:c>
      <x:c r="L123" s="14" t="str">
        <x:v>$1–5</x:v>
      </x:c>
      <x:c r="M123" s="14" t="str">
        <x:v>Yes</x:v>
      </x:c>
      <x:c r="N123" s="14" t="str">
        <x:v>No</x:v>
      </x:c>
      <x:c r="O123" s="14" t="str">
        <x:v>Yes</x:v>
      </x:c>
      <x:c r="P123" s="14" t="str">
        <x:v>Clean/NM benchmark unless noted</x:v>
      </x:c>
      <x:c r="Q123" s="16" t="n">
        <x:v>2.5</x:v>
      </x:c>
      <x:c r="R123" s="16" t="n">
        <x:v>3</x:v>
      </x:c>
      <x:c r="S123" s="16" t="n">
        <x:f>IF(AND(ISNUMBER(Q123),ISNUMBER(R123)),AVERAGE(Q123:R123),K123)</x:f>
        <x:v>2.75</x:v>
      </x:c>
      <x:c r="T123" s="14" t="str"/>
      <x:c r="U123" s="18" t="n">
        <x:v>511</x:v>
      </x:c>
      <x:c r="V123" s="14" t="str">
        <x:v>Uploaded Pokémon chat JSON / prior card-by-card research</x:v>
      </x:c>
      <x:c r="W123" s="14" t="str"/>
    </x:row>
    <x:row r="124">
      <x:c r="A124" s="18" t="n">
        <x:v>123</x:v>
      </x:c>
      <x:c r="B124" s="14" t="str">
        <x:v>Trainer/Item/Stadium</x:v>
      </x:c>
      <x:c r="C124" s="14" t="str">
        <x:v>Oracle</x:v>
      </x:c>
      <x:c r="D124" s="14" t="str">
        <x:v>138/144</x:v>
      </x:c>
      <x:c r="E124" s="14" t="str">
        <x:v>2004 World Championships</x:v>
      </x:c>
      <x:c r="F124" s="18" t="n">
        <x:v>2004</x:v>
      </x:c>
      <x:c r="G124" s="14" t="str">
        <x:v>Chris Fulop gray-border</x:v>
      </x:c>
      <x:c r="H124" s="14" t="str">
        <x:v>2 of 2</x:v>
      </x:c>
      <x:c r="I124" s="16" t="n">
        <x:v>2.5</x:v>
      </x:c>
      <x:c r="J124" s="16" t="n">
        <x:v>3</x:v>
      </x:c>
      <x:c r="K124" s="16" t="n">
        <x:f>IF(AND(ISNUMBER(I124),ISNUMBER(J124)),AVERAGE(I124:J124),"")</x:f>
        <x:v>2.75</x:v>
      </x:c>
      <x:c r="L124" s="14" t="str">
        <x:v>$1–5</x:v>
      </x:c>
      <x:c r="M124" s="14" t="str">
        <x:v>Yes</x:v>
      </x:c>
      <x:c r="N124" s="14" t="str">
        <x:v>No</x:v>
      </x:c>
      <x:c r="O124" s="14" t="str">
        <x:v>Yes</x:v>
      </x:c>
      <x:c r="P124" s="14" t="str">
        <x:v>Clean/NM benchmark unless noted</x:v>
      </x:c>
      <x:c r="Q124" s="16" t="n">
        <x:v>2.5</x:v>
      </x:c>
      <x:c r="R124" s="16" t="n">
        <x:v>3</x:v>
      </x:c>
      <x:c r="S124" s="16" t="n">
        <x:f>IF(AND(ISNUMBER(Q124),ISNUMBER(R124)),AVERAGE(Q124:R124),K124)</x:f>
        <x:v>2.75</x:v>
      </x:c>
      <x:c r="T124" s="14" t="str"/>
      <x:c r="U124" s="18" t="n">
        <x:v>511</x:v>
      </x:c>
      <x:c r="V124" s="14" t="str">
        <x:v>Uploaded Pokémon chat JSON / prior card-by-card research</x:v>
      </x:c>
      <x:c r="W124" s="14" t="str"/>
    </x:row>
    <x:row r="125">
      <x:c r="A125" s="18" t="n">
        <x:v>124</x:v>
      </x:c>
      <x:c r="B125" s="14" t="str">
        <x:v>Trainer/Item/Stadium</x:v>
      </x:c>
      <x:c r="C125" s="14" t="str">
        <x:v>Hugh</x:v>
      </x:c>
      <x:c r="D125" s="14" t="str">
        <x:v>130/149</x:v>
      </x:c>
      <x:c r="E125" s="14" t="str">
        <x:v>Boundaries Crossed</x:v>
      </x:c>
      <x:c r="F125" s="18" t="n">
        <x:v>2012</x:v>
      </x:c>
      <x:c r="G125" s="14" t="str">
        <x:v>Reverse Holo</x:v>
      </x:c>
      <x:c r="H125" s="14" t="str">
        <x:v>1 of 1</x:v>
      </x:c>
      <x:c r="I125" s="16" t="n">
        <x:v>2.5</x:v>
      </x:c>
      <x:c r="J125" s="16" t="n">
        <x:v>3</x:v>
      </x:c>
      <x:c r="K125" s="16" t="n">
        <x:f>IF(AND(ISNUMBER(I125),ISNUMBER(J125)),AVERAGE(I125:J125),"")</x:f>
        <x:v>2.75</x:v>
      </x:c>
      <x:c r="L125" s="14" t="str">
        <x:v>$1–5</x:v>
      </x:c>
      <x:c r="M125" s="14" t="str">
        <x:v>Yes</x:v>
      </x:c>
      <x:c r="N125" s="14" t="str">
        <x:v>No</x:v>
      </x:c>
      <x:c r="O125" s="14" t="str">
        <x:v>Yes</x:v>
      </x:c>
      <x:c r="P125" s="14" t="str">
        <x:v>Clean/NM benchmark unless noted</x:v>
      </x:c>
      <x:c r="Q125" s="16" t="n">
        <x:v>2.5</x:v>
      </x:c>
      <x:c r="R125" s="16" t="n">
        <x:v>3</x:v>
      </x:c>
      <x:c r="S125" s="16" t="n">
        <x:f>IF(AND(ISNUMBER(Q125),ISNUMBER(R125)),AVERAGE(Q125:R125),K125)</x:f>
        <x:v>2.75</x:v>
      </x:c>
      <x:c r="T125" s="14" t="str"/>
      <x:c r="U125" s="18" t="n">
        <x:v>517</x:v>
      </x:c>
      <x:c r="V125" s="14" t="str">
        <x:v>Uploaded Pokémon chat JSON / prior card-by-card research</x:v>
      </x:c>
      <x:c r="W125" s="14" t="str"/>
    </x:row>
    <x:row r="126">
      <x:c r="A126" s="18" t="n">
        <x:v>125</x:v>
      </x:c>
      <x:c r="B126" s="14" t="str">
        <x:v>Trainer/Item/Stadium</x:v>
      </x:c>
      <x:c r="C126" s="14" t="str">
        <x:v>Colress</x:v>
      </x:c>
      <x:c r="D126" s="14" t="str">
        <x:v>118/135</x:v>
      </x:c>
      <x:c r="E126" s="14" t="str">
        <x:v>Plasma Storm</x:v>
      </x:c>
      <x:c r="F126" s="18" t="n">
        <x:v>2013</x:v>
      </x:c>
      <x:c r="G126" s="14" t="str">
        <x:v>Regular</x:v>
      </x:c>
      <x:c r="H126" s="14" t="str">
        <x:v>1 of 1</x:v>
      </x:c>
      <x:c r="I126" s="16" t="n">
        <x:v>1.5</x:v>
      </x:c>
      <x:c r="J126" s="16" t="n">
        <x:v>1.75</x:v>
      </x:c>
      <x:c r="K126" s="16" t="n">
        <x:f>IF(AND(ISNUMBER(I126),ISNUMBER(J126)),AVERAGE(I126:J126),"")</x:f>
        <x:v>1.625</x:v>
      </x:c>
      <x:c r="L126" s="14" t="str">
        <x:v>$1–5</x:v>
      </x:c>
      <x:c r="M126" s="14" t="str">
        <x:v>Yes</x:v>
      </x:c>
      <x:c r="N126" s="14" t="str">
        <x:v>No</x:v>
      </x:c>
      <x:c r="O126" s="14" t="str">
        <x:v>Yes</x:v>
      </x:c>
      <x:c r="P126" s="14" t="str">
        <x:v>Clean/NM benchmark unless noted</x:v>
      </x:c>
      <x:c r="Q126" s="16" t="n">
        <x:v>1.5</x:v>
      </x:c>
      <x:c r="R126" s="16" t="n">
        <x:v>1.75</x:v>
      </x:c>
      <x:c r="S126" s="16" t="n">
        <x:f>IF(AND(ISNUMBER(Q126),ISNUMBER(R126)),AVERAGE(Q126:R126),K126)</x:f>
        <x:v>1.625</x:v>
      </x:c>
      <x:c r="T126" s="14" t="str"/>
      <x:c r="U126" s="18" t="n">
        <x:v>517</x:v>
      </x:c>
      <x:c r="V126" s="14" t="str">
        <x:v>Uploaded Pokémon chat JSON / prior card-by-card research</x:v>
      </x:c>
      <x:c r="W126" s="14" t="str"/>
    </x:row>
    <x:row r="127">
      <x:c r="A127" s="18" t="n">
        <x:v>126</x:v>
      </x:c>
      <x:c r="B127" s="14" t="str">
        <x:v>Trainer/Item/Stadium</x:v>
      </x:c>
      <x:c r="C127" s="14" t="str">
        <x:v>Copycat</x:v>
      </x:c>
      <x:c r="D127" s="14" t="str">
        <x:v>77/95</x:v>
      </x:c>
      <x:c r="E127" s="14" t="str">
        <x:v>2011 World Championships</x:v>
      </x:c>
      <x:c r="F127" s="18" t="n">
        <x:v>2011</x:v>
      </x:c>
      <x:c r="G127" s="14" t="str">
        <x:v>Ross Cawthon gray-border</x:v>
      </x:c>
      <x:c r="H127" s="14" t="str">
        <x:v>1 of 1</x:v>
      </x:c>
      <x:c r="I127" s="16" t="n">
        <x:v>2.96</x:v>
      </x:c>
      <x:c r="J127" s="16" t="n">
        <x:v>3.02</x:v>
      </x:c>
      <x:c r="K127" s="16" t="n">
        <x:f>IF(AND(ISNUMBER(I127),ISNUMBER(J127)),AVERAGE(I127:J127),"")</x:f>
        <x:v>2.99</x:v>
      </x:c>
      <x:c r="L127" s="14" t="str">
        <x:v>$1–5</x:v>
      </x:c>
      <x:c r="M127" s="14" t="str">
        <x:v>Yes</x:v>
      </x:c>
      <x:c r="N127" s="14" t="str">
        <x:v>No</x:v>
      </x:c>
      <x:c r="O127" s="14" t="str">
        <x:v>Yes</x:v>
      </x:c>
      <x:c r="P127" s="14" t="str">
        <x:v>Clean/NM benchmark unless noted</x:v>
      </x:c>
      <x:c r="Q127" s="16" t="n">
        <x:v>2.96</x:v>
      </x:c>
      <x:c r="R127" s="16" t="n">
        <x:v>3.02</x:v>
      </x:c>
      <x:c r="S127" s="16" t="n">
        <x:f>IF(AND(ISNUMBER(Q127),ISNUMBER(R127)),AVERAGE(Q127:R127),K127)</x:f>
        <x:v>2.99</x:v>
      </x:c>
      <x:c r="T127" s="14" t="str"/>
      <x:c r="U127" s="18" t="n">
        <x:v>523</x:v>
      </x:c>
      <x:c r="V127" s="14" t="str">
        <x:v>Uploaded Pokémon chat JSON / prior card-by-card research</x:v>
      </x:c>
      <x:c r="W127" s="14" t="str"/>
    </x:row>
    <x:row r="128">
      <x:c r="A128" s="18" t="n">
        <x:v>127</x:v>
      </x:c>
      <x:c r="B128" s="14" t="str">
        <x:v>Trainer/Item/Stadium</x:v>
      </x:c>
      <x:c r="C128" s="14" t="str">
        <x:v>Copycat</x:v>
      </x:c>
      <x:c r="D128" s="14" t="str">
        <x:v>138/165</x:v>
      </x:c>
      <x:c r="E128" s="14" t="str">
        <x:v>2004 World Championships</x:v>
      </x:c>
      <x:c r="F128" s="18" t="n">
        <x:v>2004</x:v>
      </x:c>
      <x:c r="G128" s="14" t="str">
        <x:v>Chris Fulop gray-border</x:v>
      </x:c>
      <x:c r="H128" s="14" t="str">
        <x:v>1 of 3</x:v>
      </x:c>
      <x:c r="I128" s="16" t="n">
        <x:v>1.23</x:v>
      </x:c>
      <x:c r="J128" s="16" t="n">
        <x:v>1.25</x:v>
      </x:c>
      <x:c r="K128" s="16" t="n">
        <x:f>IF(AND(ISNUMBER(I128),ISNUMBER(J128)),AVERAGE(I128:J128),"")</x:f>
        <x:v>1.24</x:v>
      </x:c>
      <x:c r="L128" s="14" t="str">
        <x:v>$1–5</x:v>
      </x:c>
      <x:c r="M128" s="14" t="str">
        <x:v>Yes</x:v>
      </x:c>
      <x:c r="N128" s="14" t="str">
        <x:v>No</x:v>
      </x:c>
      <x:c r="O128" s="14" t="str">
        <x:v>Yes</x:v>
      </x:c>
      <x:c r="P128" s="14" t="str">
        <x:v>Clean/NM benchmark unless noted</x:v>
      </x:c>
      <x:c r="Q128" s="16" t="n">
        <x:v>1.23</x:v>
      </x:c>
      <x:c r="R128" s="16" t="n">
        <x:v>1.25</x:v>
      </x:c>
      <x:c r="S128" s="16" t="n">
        <x:f>IF(AND(ISNUMBER(Q128),ISNUMBER(R128)),AVERAGE(Q128:R128),K128)</x:f>
        <x:v>1.24</x:v>
      </x:c>
      <x:c r="T128" s="14" t="str"/>
      <x:c r="U128" s="18" t="n">
        <x:v>523</x:v>
      </x:c>
      <x:c r="V128" s="14" t="str">
        <x:v>Uploaded Pokémon chat JSON / prior card-by-card research</x:v>
      </x:c>
      <x:c r="W128" s="14" t="str"/>
    </x:row>
    <x:row r="129">
      <x:c r="A129" s="18" t="n">
        <x:v>128</x:v>
      </x:c>
      <x:c r="B129" s="14" t="str">
        <x:v>Trainer/Item/Stadium</x:v>
      </x:c>
      <x:c r="C129" s="14" t="str">
        <x:v>Copycat</x:v>
      </x:c>
      <x:c r="D129" s="14" t="str">
        <x:v>138/165</x:v>
      </x:c>
      <x:c r="E129" s="14" t="str">
        <x:v>2004 World Championships</x:v>
      </x:c>
      <x:c r="F129" s="18" t="n">
        <x:v>2004</x:v>
      </x:c>
      <x:c r="G129" s="14" t="str">
        <x:v>Chris Fulop gray-border</x:v>
      </x:c>
      <x:c r="H129" s="14" t="str">
        <x:v>2 of 3</x:v>
      </x:c>
      <x:c r="I129" s="16" t="n">
        <x:v>1.23</x:v>
      </x:c>
      <x:c r="J129" s="16" t="n">
        <x:v>1.25</x:v>
      </x:c>
      <x:c r="K129" s="16" t="n">
        <x:f>IF(AND(ISNUMBER(I129),ISNUMBER(J129)),AVERAGE(I129:J129),"")</x:f>
        <x:v>1.24</x:v>
      </x:c>
      <x:c r="L129" s="14" t="str">
        <x:v>$1–5</x:v>
      </x:c>
      <x:c r="M129" s="14" t="str">
        <x:v>Yes</x:v>
      </x:c>
      <x:c r="N129" s="14" t="str">
        <x:v>No</x:v>
      </x:c>
      <x:c r="O129" s="14" t="str">
        <x:v>Yes</x:v>
      </x:c>
      <x:c r="P129" s="14" t="str">
        <x:v>Clean/NM benchmark unless noted</x:v>
      </x:c>
      <x:c r="Q129" s="16" t="n">
        <x:v>1.23</x:v>
      </x:c>
      <x:c r="R129" s="16" t="n">
        <x:v>1.25</x:v>
      </x:c>
      <x:c r="S129" s="16" t="n">
        <x:f>IF(AND(ISNUMBER(Q129),ISNUMBER(R129)),AVERAGE(Q129:R129),K129)</x:f>
        <x:v>1.24</x:v>
      </x:c>
      <x:c r="T129" s="14" t="str"/>
      <x:c r="U129" s="18" t="n">
        <x:v>523</x:v>
      </x:c>
      <x:c r="V129" s="14" t="str">
        <x:v>Uploaded Pokémon chat JSON / prior card-by-card research</x:v>
      </x:c>
      <x:c r="W129" s="14" t="str"/>
    </x:row>
    <x:row r="130">
      <x:c r="A130" s="18" t="n">
        <x:v>129</x:v>
      </x:c>
      <x:c r="B130" s="14" t="str">
        <x:v>Trainer/Item/Stadium</x:v>
      </x:c>
      <x:c r="C130" s="14" t="str">
        <x:v>Copycat</x:v>
      </x:c>
      <x:c r="D130" s="14" t="str">
        <x:v>138/165</x:v>
      </x:c>
      <x:c r="E130" s="14" t="str">
        <x:v>2004 World Championships</x:v>
      </x:c>
      <x:c r="F130" s="18" t="n">
        <x:v>2004</x:v>
      </x:c>
      <x:c r="G130" s="14" t="str">
        <x:v>Chris Fulop gray-border</x:v>
      </x:c>
      <x:c r="H130" s="14" t="str">
        <x:v>3 of 3</x:v>
      </x:c>
      <x:c r="I130" s="16" t="n">
        <x:v>1.23</x:v>
      </x:c>
      <x:c r="J130" s="16" t="n">
        <x:v>1.25</x:v>
      </x:c>
      <x:c r="K130" s="16" t="n">
        <x:f>IF(AND(ISNUMBER(I130),ISNUMBER(J130)),AVERAGE(I130:J130),"")</x:f>
        <x:v>1.24</x:v>
      </x:c>
      <x:c r="L130" s="14" t="str">
        <x:v>$1–5</x:v>
      </x:c>
      <x:c r="M130" s="14" t="str">
        <x:v>Yes</x:v>
      </x:c>
      <x:c r="N130" s="14" t="str">
        <x:v>No</x:v>
      </x:c>
      <x:c r="O130" s="14" t="str">
        <x:v>Yes</x:v>
      </x:c>
      <x:c r="P130" s="14" t="str">
        <x:v>Clean/NM benchmark unless noted</x:v>
      </x:c>
      <x:c r="Q130" s="16" t="n">
        <x:v>1.23</x:v>
      </x:c>
      <x:c r="R130" s="16" t="n">
        <x:v>1.25</x:v>
      </x:c>
      <x:c r="S130" s="16" t="n">
        <x:f>IF(AND(ISNUMBER(Q130),ISNUMBER(R130)),AVERAGE(Q130:R130),K130)</x:f>
        <x:v>1.24</x:v>
      </x:c>
      <x:c r="T130" s="14" t="str"/>
      <x:c r="U130" s="18" t="n">
        <x:v>523</x:v>
      </x:c>
      <x:c r="V130" s="14" t="str">
        <x:v>Uploaded Pokémon chat JSON / prior card-by-card research</x:v>
      </x:c>
      <x:c r="W130" s="14" t="str"/>
    </x:row>
    <x:row r="131">
      <x:c r="A131" s="18" t="n">
        <x:v>130</x:v>
      </x:c>
      <x:c r="B131" s="14" t="str">
        <x:v>Trainer/Item/Stadium</x:v>
      </x:c>
      <x:c r="C131" s="14" t="str">
        <x:v>Cheren</x:v>
      </x:c>
      <x:c r="D131" s="14" t="str">
        <x:v>91/98</x:v>
      </x:c>
      <x:c r="E131" s="14" t="str">
        <x:v>Emerging Powers</x:v>
      </x:c>
      <x:c r="F131" s="18" t="n">
        <x:v>2011</x:v>
      </x:c>
      <x:c r="G131" s="14" t="str">
        <x:v>Reverse Holo</x:v>
      </x:c>
      <x:c r="H131" s="14" t="str">
        <x:v>1 of 1</x:v>
      </x:c>
      <x:c r="I131" s="16" t="n">
        <x:v>1.5</x:v>
      </x:c>
      <x:c r="J131" s="16" t="n">
        <x:v>1.75</x:v>
      </x:c>
      <x:c r="K131" s="16" t="n">
        <x:f>IF(AND(ISNUMBER(I131),ISNUMBER(J131)),AVERAGE(I131:J131),"")</x:f>
        <x:v>1.625</x:v>
      </x:c>
      <x:c r="L131" s="14" t="str">
        <x:v>$1–5</x:v>
      </x:c>
      <x:c r="M131" s="14" t="str">
        <x:v>Yes</x:v>
      </x:c>
      <x:c r="N131" s="14" t="str">
        <x:v>No</x:v>
      </x:c>
      <x:c r="O131" s="14" t="str">
        <x:v>Yes</x:v>
      </x:c>
      <x:c r="P131" s="14" t="str">
        <x:v>Clean/NM benchmark unless noted</x:v>
      </x:c>
      <x:c r="Q131" s="16" t="n">
        <x:v>1.5</x:v>
      </x:c>
      <x:c r="R131" s="16" t="n">
        <x:v>1.75</x:v>
      </x:c>
      <x:c r="S131" s="16" t="n">
        <x:f>IF(AND(ISNUMBER(Q131),ISNUMBER(R131)),AVERAGE(Q131:R131),K131)</x:f>
        <x:v>1.625</x:v>
      </x:c>
      <x:c r="T131" s="14" t="str"/>
      <x:c r="U131" s="18" t="n">
        <x:v>529</x:v>
      </x:c>
      <x:c r="V131" s="14" t="str">
        <x:v>Uploaded Pokémon chat JSON / prior card-by-card research</x:v>
      </x:c>
      <x:c r="W131" s="14" t="str"/>
    </x:row>
    <x:row r="132">
      <x:c r="A132" s="18" t="n">
        <x:v>131</x:v>
      </x:c>
      <x:c r="B132" s="14" t="str">
        <x:v>Trainer/Item/Stadium</x:v>
      </x:c>
      <x:c r="C132" s="14" t="str">
        <x:v>Black Belt</x:v>
      </x:c>
      <x:c r="D132" s="14" t="str">
        <x:v>85/102</x:v>
      </x:c>
      <x:c r="E132" s="14" t="str">
        <x:v>Triumphant</x:v>
      </x:c>
      <x:c r="F132" s="18" t="n">
        <x:v>2010</x:v>
      </x:c>
      <x:c r="G132" s="14" t="str">
        <x:v>Regular</x:v>
      </x:c>
      <x:c r="H132" s="14" t="str">
        <x:v>1 of 1</x:v>
      </x:c>
      <x:c r="I132" s="16" t="n">
        <x:v>1</x:v>
      </x:c>
      <x:c r="J132" s="16" t="n">
        <x:v>2</x:v>
      </x:c>
      <x:c r="K132" s="16" t="n">
        <x:f>IF(AND(ISNUMBER(I132),ISNUMBER(J132)),AVERAGE(I132:J132),"")</x:f>
        <x:v>1.5</x:v>
      </x:c>
      <x:c r="L132" s="14" t="str">
        <x:v>$1–5</x:v>
      </x:c>
      <x:c r="M132" s="14" t="str">
        <x:v>Yes</x:v>
      </x:c>
      <x:c r="N132" s="14" t="str">
        <x:v>No</x:v>
      </x:c>
      <x:c r="O132" s="14" t="str">
        <x:v>Yes</x:v>
      </x:c>
      <x:c r="P132" s="14" t="str">
        <x:v>Clean/NM benchmark unless noted</x:v>
      </x:c>
      <x:c r="Q132" s="16" t="n">
        <x:v>1</x:v>
      </x:c>
      <x:c r="R132" s="16" t="n">
        <x:v>2</x:v>
      </x:c>
      <x:c r="S132" s="16" t="n">
        <x:f>IF(AND(ISNUMBER(Q132),ISNUMBER(R132)),AVERAGE(Q132:R132),K132)</x:f>
        <x:v>1.5</x:v>
      </x:c>
      <x:c r="T132" s="14" t="str"/>
      <x:c r="U132" s="18" t="n">
        <x:v>529</x:v>
      </x:c>
      <x:c r="V132" s="14" t="str">
        <x:v>Uploaded Pokémon chat JSON / prior card-by-card research</x:v>
      </x:c>
      <x:c r="W132" s="14" t="str"/>
    </x:row>
    <x:row r="133">
      <x:c r="A133" s="18" t="n">
        <x:v>132</x:v>
      </x:c>
      <x:c r="B133" s="14" t="str">
        <x:v>Trainer/Item/Stadium</x:v>
      </x:c>
      <x:c r="C133" s="14" t="str">
        <x:v>Bianca</x:v>
      </x:c>
      <x:c r="D133" s="14" t="str">
        <x:v>90/98</x:v>
      </x:c>
      <x:c r="E133" s="14" t="str">
        <x:v>Emerging Powers</x:v>
      </x:c>
      <x:c r="F133" s="18" t="n">
        <x:v>2011</x:v>
      </x:c>
      <x:c r="G133" s="14" t="str">
        <x:v>Reverse Holo</x:v>
      </x:c>
      <x:c r="H133" s="14" t="str">
        <x:v>1 of 2</x:v>
      </x:c>
      <x:c r="I133" s="16" t="n">
        <x:v>1.75</x:v>
      </x:c>
      <x:c r="J133" s="16" t="n">
        <x:v>2</x:v>
      </x:c>
      <x:c r="K133" s="16" t="n">
        <x:f>IF(AND(ISNUMBER(I133),ISNUMBER(J133)),AVERAGE(I133:J133),"")</x:f>
        <x:v>1.875</x:v>
      </x:c>
      <x:c r="L133" s="14" t="str">
        <x:v>$1–5</x:v>
      </x:c>
      <x:c r="M133" s="14" t="str">
        <x:v>Yes</x:v>
      </x:c>
      <x:c r="N133" s="14" t="str">
        <x:v>No</x:v>
      </x:c>
      <x:c r="O133" s="14" t="str">
        <x:v>Yes</x:v>
      </x:c>
      <x:c r="P133" s="14" t="str">
        <x:v>Clean/NM benchmark unless noted</x:v>
      </x:c>
      <x:c r="Q133" s="16" t="n">
        <x:v>1.75</x:v>
      </x:c>
      <x:c r="R133" s="16" t="n">
        <x:v>2</x:v>
      </x:c>
      <x:c r="S133" s="16" t="n">
        <x:f>IF(AND(ISNUMBER(Q133),ISNUMBER(R133)),AVERAGE(Q133:R133),K133)</x:f>
        <x:v>1.875</x:v>
      </x:c>
      <x:c r="T133" s="14" t="str"/>
      <x:c r="U133" s="18" t="n">
        <x:v>535</x:v>
      </x:c>
      <x:c r="V133" s="14" t="str">
        <x:v>Uploaded Pokémon chat JSON / prior card-by-card research</x:v>
      </x:c>
      <x:c r="W133" s="14" t="str"/>
    </x:row>
    <x:row r="134">
      <x:c r="A134" s="18" t="n">
        <x:v>133</x:v>
      </x:c>
      <x:c r="B134" s="14" t="str">
        <x:v>Trainer/Item/Stadium</x:v>
      </x:c>
      <x:c r="C134" s="14" t="str">
        <x:v>Bianca</x:v>
      </x:c>
      <x:c r="D134" s="14" t="str">
        <x:v>90/98</x:v>
      </x:c>
      <x:c r="E134" s="14" t="str">
        <x:v>Emerging Powers</x:v>
      </x:c>
      <x:c r="F134" s="18" t="n">
        <x:v>2011</x:v>
      </x:c>
      <x:c r="G134" s="14" t="str">
        <x:v>Reverse Holo</x:v>
      </x:c>
      <x:c r="H134" s="14" t="str">
        <x:v>2 of 2</x:v>
      </x:c>
      <x:c r="I134" s="16" t="n">
        <x:v>1.75</x:v>
      </x:c>
      <x:c r="J134" s="16" t="n">
        <x:v>2</x:v>
      </x:c>
      <x:c r="K134" s="16" t="n">
        <x:f>IF(AND(ISNUMBER(I134),ISNUMBER(J134)),AVERAGE(I134:J134),"")</x:f>
        <x:v>1.875</x:v>
      </x:c>
      <x:c r="L134" s="14" t="str">
        <x:v>$1–5</x:v>
      </x:c>
      <x:c r="M134" s="14" t="str">
        <x:v>Yes</x:v>
      </x:c>
      <x:c r="N134" s="14" t="str">
        <x:v>No</x:v>
      </x:c>
      <x:c r="O134" s="14" t="str">
        <x:v>Yes</x:v>
      </x:c>
      <x:c r="P134" s="14" t="str">
        <x:v>Clean/NM benchmark unless noted</x:v>
      </x:c>
      <x:c r="Q134" s="16" t="n">
        <x:v>1.75</x:v>
      </x:c>
      <x:c r="R134" s="16" t="n">
        <x:v>2</x:v>
      </x:c>
      <x:c r="S134" s="16" t="n">
        <x:f>IF(AND(ISNUMBER(Q134),ISNUMBER(R134)),AVERAGE(Q134:R134),K134)</x:f>
        <x:v>1.875</x:v>
      </x:c>
      <x:c r="T134" s="14" t="str"/>
      <x:c r="U134" s="18" t="n">
        <x:v>535</x:v>
      </x:c>
      <x:c r="V134" s="14" t="str">
        <x:v>Uploaded Pokémon chat JSON / prior card-by-card research</x:v>
      </x:c>
      <x:c r="W134" s="14" t="str"/>
    </x:row>
    <x:row r="135">
      <x:c r="A135" s="18" t="n">
        <x:v>134</x:v>
      </x:c>
      <x:c r="B135" s="14" t="str">
        <x:v>Dragon / Dragon Vault</x:v>
      </x:c>
      <x:c r="C135" s="14" t="str">
        <x:v>Salamence</x:v>
      </x:c>
      <x:c r="D135" s="14" t="str">
        <x:v>8/20</x:v>
      </x:c>
      <x:c r="E135" s="14" t="str">
        <x:v>Dragon Vault</x:v>
      </x:c>
      <x:c r="F135" s="18" t="n">
        <x:v>2012</x:v>
      </x:c>
      <x:c r="G135" s="14" t="str">
        <x:v>Holo</x:v>
      </x:c>
      <x:c r="H135" s="14" t="str">
        <x:v>1 of 6</x:v>
      </x:c>
      <x:c r="I135" s="16" t="n">
        <x:v>5.5</x:v>
      </x:c>
      <x:c r="J135" s="16" t="n">
        <x:v>6</x:v>
      </x:c>
      <x:c r="K135" s="16" t="n">
        <x:f>IF(AND(ISNUMBER(I135),ISNUMBER(J135)),AVERAGE(I135:J135),"")</x:f>
        <x:v>5.75</x:v>
      </x:c>
      <x:c r="L135" s="14" t="str">
        <x:v>$5–20</x:v>
      </x:c>
      <x:c r="M135" s="14" t="str">
        <x:v>Yes</x:v>
      </x:c>
      <x:c r="N135" s="14" t="str">
        <x:v>No</x:v>
      </x:c>
      <x:c r="O135" s="14" t="str">
        <x:v>Yes</x:v>
      </x:c>
      <x:c r="P135" s="14" t="str">
        <x:v>Clean/NM benchmark unless noted</x:v>
      </x:c>
      <x:c r="Q135" s="16" t="n">
        <x:v>5.5</x:v>
      </x:c>
      <x:c r="R135" s="16" t="n">
        <x:v>6</x:v>
      </x:c>
      <x:c r="S135" s="16" t="n">
        <x:f>IF(AND(ISNUMBER(Q135),ISNUMBER(R135)),AVERAGE(Q135:R135),K135)</x:f>
        <x:v>5.75</x:v>
      </x:c>
      <x:c r="T135" s="14" t="str"/>
      <x:c r="U135" s="18" t="n">
        <x:v>559</x:v>
      </x:c>
      <x:c r="V135" s="14" t="str">
        <x:v>Uploaded Pokémon chat JSON / prior card-by-card research</x:v>
      </x:c>
      <x:c r="W135" s="14" t="str"/>
    </x:row>
    <x:row r="136">
      <x:c r="A136" s="18" t="n">
        <x:v>135</x:v>
      </x:c>
      <x:c r="B136" s="14" t="str">
        <x:v>Dragon / Dragon Vault</x:v>
      </x:c>
      <x:c r="C136" s="14" t="str">
        <x:v>Salamence</x:v>
      </x:c>
      <x:c r="D136" s="14" t="str">
        <x:v>8/20</x:v>
      </x:c>
      <x:c r="E136" s="14" t="str">
        <x:v>Dragon Vault</x:v>
      </x:c>
      <x:c r="F136" s="18" t="n">
        <x:v>2012</x:v>
      </x:c>
      <x:c r="G136" s="14" t="str">
        <x:v>Holo</x:v>
      </x:c>
      <x:c r="H136" s="14" t="str">
        <x:v>2 of 6</x:v>
      </x:c>
      <x:c r="I136" s="16" t="n">
        <x:v>5.5</x:v>
      </x:c>
      <x:c r="J136" s="16" t="n">
        <x:v>6</x:v>
      </x:c>
      <x:c r="K136" s="16" t="n">
        <x:f>IF(AND(ISNUMBER(I136),ISNUMBER(J136)),AVERAGE(I136:J136),"")</x:f>
        <x:v>5.75</x:v>
      </x:c>
      <x:c r="L136" s="14" t="str">
        <x:v>$5–20</x:v>
      </x:c>
      <x:c r="M136" s="14" t="str">
        <x:v>Yes</x:v>
      </x:c>
      <x:c r="N136" s="14" t="str">
        <x:v>No</x:v>
      </x:c>
      <x:c r="O136" s="14" t="str">
        <x:v>Yes</x:v>
      </x:c>
      <x:c r="P136" s="14" t="str">
        <x:v>Clean/NM benchmark unless noted</x:v>
      </x:c>
      <x:c r="Q136" s="16" t="n">
        <x:v>5.5</x:v>
      </x:c>
      <x:c r="R136" s="16" t="n">
        <x:v>6</x:v>
      </x:c>
      <x:c r="S136" s="16" t="n">
        <x:f>IF(AND(ISNUMBER(Q136),ISNUMBER(R136)),AVERAGE(Q136:R136),K136)</x:f>
        <x:v>5.75</x:v>
      </x:c>
      <x:c r="T136" s="14" t="str"/>
      <x:c r="U136" s="18" t="n">
        <x:v>559</x:v>
      </x:c>
      <x:c r="V136" s="14" t="str">
        <x:v>Uploaded Pokémon chat JSON / prior card-by-card research</x:v>
      </x:c>
      <x:c r="W136" s="14" t="str"/>
    </x:row>
    <x:row r="137">
      <x:c r="A137" s="18" t="n">
        <x:v>136</x:v>
      </x:c>
      <x:c r="B137" s="14" t="str">
        <x:v>Dragon / Dragon Vault</x:v>
      </x:c>
      <x:c r="C137" s="14" t="str">
        <x:v>Dragonite</x:v>
      </x:c>
      <x:c r="D137" s="14" t="str">
        <x:v>5/20</x:v>
      </x:c>
      <x:c r="E137" s="14" t="str">
        <x:v>Dragon Vault</x:v>
      </x:c>
      <x:c r="F137" s="18" t="n">
        <x:v>2012</x:v>
      </x:c>
      <x:c r="G137" s="14" t="str">
        <x:v>Holo</x:v>
      </x:c>
      <x:c r="H137" s="14" t="str">
        <x:v>1 of 3</x:v>
      </x:c>
      <x:c r="I137" s="16" t="n">
        <x:v>25</x:v>
      </x:c>
      <x:c r="J137" s="16" t="n">
        <x:v>35</x:v>
      </x:c>
      <x:c r="K137" s="16" t="n">
        <x:v>30</x:v>
      </x:c>
      <x:c r="L137" s="14" t="str">
        <x:v>$20+</x:v>
      </x:c>
      <x:c r="M137" s="14" t="str">
        <x:v>Yes</x:v>
      </x:c>
      <x:c r="N137" s="14" t="str">
        <x:v>Yes</x:v>
      </x:c>
      <x:c r="O137" s="14" t="str">
        <x:v>Yes</x:v>
      </x:c>
      <x:c r="P137" s="14" t="str">
        <x:v>Clean/NM benchmark unless noted</x:v>
      </x:c>
      <x:c r="Q137" s="16" t="n">
        <x:v>25</x:v>
      </x:c>
      <x:c r="R137" s="16" t="n">
        <x:v>35</x:v>
      </x:c>
      <x:c r="S137" s="16" t="n">
        <x:v>30</x:v>
      </x:c>
      <x:c r="T137" s="14" t="str"/>
      <x:c r="U137" s="18" t="n">
        <x:v>565</x:v>
      </x:c>
      <x:c r="V137" s="14" t="str">
        <x:v>Uploaded Pokémon chat JSON / prior card-by-card research</x:v>
      </x:c>
      <x:c r="W137" s="14" t="str"/>
    </x:row>
    <x:row r="138">
      <x:c r="A138" s="18" t="n">
        <x:v>137</x:v>
      </x:c>
      <x:c r="B138" s="14" t="str">
        <x:v>Dragon / Dragon Vault</x:v>
      </x:c>
      <x:c r="C138" s="14" t="str">
        <x:v>Dragonite</x:v>
      </x:c>
      <x:c r="D138" s="14" t="str">
        <x:v>5/20</x:v>
      </x:c>
      <x:c r="E138" s="14" t="str">
        <x:v>Dragon Vault</x:v>
      </x:c>
      <x:c r="F138" s="18" t="n">
        <x:v>2012</x:v>
      </x:c>
      <x:c r="G138" s="14" t="str">
        <x:v>Holo</x:v>
      </x:c>
      <x:c r="H138" s="14" t="str">
        <x:v>2 of 3</x:v>
      </x:c>
      <x:c r="I138" s="16" t="n">
        <x:v>25</x:v>
      </x:c>
      <x:c r="J138" s="16" t="n">
        <x:v>35</x:v>
      </x:c>
      <x:c r="K138" s="16" t="n">
        <x:v>30</x:v>
      </x:c>
      <x:c r="L138" s="14" t="str">
        <x:v>$20+</x:v>
      </x:c>
      <x:c r="M138" s="14" t="str">
        <x:v>Yes</x:v>
      </x:c>
      <x:c r="N138" s="14" t="str">
        <x:v>Yes</x:v>
      </x:c>
      <x:c r="O138" s="14" t="str">
        <x:v>Yes</x:v>
      </x:c>
      <x:c r="P138" s="14" t="str">
        <x:v>Clean/NM benchmark unless noted</x:v>
      </x:c>
      <x:c r="Q138" s="16" t="n">
        <x:v>25</x:v>
      </x:c>
      <x:c r="R138" s="16" t="n">
        <x:v>35</x:v>
      </x:c>
      <x:c r="S138" s="16" t="n">
        <x:v>30</x:v>
      </x:c>
      <x:c r="T138" s="14" t="str"/>
      <x:c r="U138" s="18" t="n">
        <x:v>565</x:v>
      </x:c>
      <x:c r="V138" s="14" t="str">
        <x:v>Uploaded Pokémon chat JSON / prior card-by-card research</x:v>
      </x:c>
      <x:c r="W138" s="14" t="str"/>
    </x:row>
    <x:row r="139">
      <x:c r="A139" s="18" t="n">
        <x:v>138</x:v>
      </x:c>
      <x:c r="B139" s="14" t="str">
        <x:v>Dragon / Dragon Vault</x:v>
      </x:c>
      <x:c r="C139" s="14" t="str">
        <x:v>Rayquaza</x:v>
      </x:c>
      <x:c r="D139" s="14" t="str">
        <x:v>11/20</x:v>
      </x:c>
      <x:c r="E139" s="14" t="str">
        <x:v>Dragon Vault</x:v>
      </x:c>
      <x:c r="F139" s="18" t="n">
        <x:v>2012</x:v>
      </x:c>
      <x:c r="G139" s="14" t="str">
        <x:v>Normal Holo</x:v>
      </x:c>
      <x:c r="H139" s="14" t="str">
        <x:v>1 of 3</x:v>
      </x:c>
      <x:c r="I139" s="16" t="n">
        <x:v>35</x:v>
      </x:c>
      <x:c r="J139" s="16" t="n">
        <x:v>50</x:v>
      </x:c>
      <x:c r="K139" s="16" t="n">
        <x:v>42.5</x:v>
      </x:c>
      <x:c r="L139" s="14" t="str">
        <x:v>$20+</x:v>
      </x:c>
      <x:c r="M139" s="14" t="str">
        <x:v>Yes</x:v>
      </x:c>
      <x:c r="N139" s="14" t="str">
        <x:v>Yes</x:v>
      </x:c>
      <x:c r="O139" s="14" t="str">
        <x:v>Yes</x:v>
      </x:c>
      <x:c r="P139" s="14" t="str">
        <x:v>Manual pre-grade: PSA 9 most likely</x:v>
      </x:c>
      <x:c r="Q139" s="16" t="n">
        <x:v>35</x:v>
      </x:c>
      <x:c r="R139" s="16" t="n">
        <x:v>50</x:v>
      </x:c>
      <x:c r="S139" s="16" t="n">
        <x:v>42.5</x:v>
      </x:c>
      <x:c r="T139" s="14" t="str">
        <x:v>Dragon Vault Rayquaza 11/20 regular holo copy 1 of 3. Re-done manual grading session 2026-08-18: centering PSA 10 (app: 52.5/47.5 L-R and 50.6/49.4 T-B); corners PSA 9; edges PSA 8–9 due a few small isolated reverse perimeter whitening/nicks, mainly along the bottom edge; surface PSA 9–10 with no obvious crease, dent, major scratch, or holo scrape in supplied angles. Overall PSA 9 slightly favored over PSA 8. Odds: PSA 7 ~2%, PSA 8 ~43%, PSA 9 ~52%, PSA 10 ~3%.</x:v>
      </x:c>
      <x:c r="U139" s="18" t="n">
        <x:v>571</x:v>
      </x:c>
      <x:c r="V139" s="14" t="str">
        <x:v>TCGplayer + PriceCharting + PSA/Collectors, researched 2026-08-18</x:v>
      </x:c>
      <x:c r="W139" s="14" t="str">
        <x:v>https://www.pricecharting.com/game/pokemon-dragon-vault/rayquaza-11</x:v>
      </x:c>
    </x:row>
    <x:row r="140">
      <x:c r="A140" s="18" t="n">
        <x:v>139</x:v>
      </x:c>
      <x:c r="B140" s="14" t="str">
        <x:v>Dragon / Dragon Vault</x:v>
      </x:c>
      <x:c r="C140" s="14" t="str">
        <x:v>Rayquaza</x:v>
      </x:c>
      <x:c r="D140" s="14" t="str">
        <x:v>11/20</x:v>
      </x:c>
      <x:c r="E140" s="14" t="str">
        <x:v>Dragon Vault</x:v>
      </x:c>
      <x:c r="F140" s="18" t="n">
        <x:v>2012</x:v>
      </x:c>
      <x:c r="G140" s="14" t="str">
        <x:v>Dragon Vault stamped blister promo</x:v>
      </x:c>
      <x:c r="H140" s="14" t="str">
        <x:v>1 of 2</x:v>
      </x:c>
      <x:c r="I140" s="16" t="n">
        <x:v>75</x:v>
      </x:c>
      <x:c r="J140" s="16" t="n">
        <x:v>95</x:v>
      </x:c>
      <x:c r="K140" s="16" t="n">
        <x:v>85</x:v>
      </x:c>
      <x:c r="L140" s="14" t="str">
        <x:v>$20+</x:v>
      </x:c>
      <x:c r="M140" s="14" t="str">
        <x:v>Yes</x:v>
      </x:c>
      <x:c r="N140" s="14" t="str">
        <x:v>Yes</x:v>
      </x:c>
      <x:c r="O140" s="14" t="str">
        <x:v>Yes</x:v>
      </x:c>
      <x:c r="P140" s="14" t="str">
        <x:v>Moisture/edge damage: pronounced side-edge swelling/ruffling; photo pre-grade PSA 6 most likely</x:v>
      </x:c>
      <x:c r="Q140" s="16" t="n">
        <x:v>25</x:v>
      </x:c>
      <x:c r="R140" s="16" t="n">
        <x:v>45</x:v>
      </x:c>
      <x:c r="S140" s="16" t="n">
        <x:v>35</x:v>
      </x:c>
      <x:c r="T140" s="14" t="str">
        <x:v>Rayquaza 11/20 stamped copy #1 of 2. Photo re-grade: PSA 6 most likely (PSA 5 ~35%, PSA 6 ~55%, PSA 7 ~9%, PSA 8 ~1%). Centering 9; corners 8–9; edge 5–6 due wavy/ruffled moisture-type deformation; surface/structure 6–7.</x:v>
      </x:c>
      <x:c r="U140" s="18" t="n">
        <x:v>577</x:v>
      </x:c>
      <x:c r="V140" s="14" t="str">
        <x:v>Uploaded Pokémon chat JSON / prior card-by-card research</x:v>
      </x:c>
      <x:c r="W140" s="14" t="str"/>
    </x:row>
    <x:row r="141">
      <x:c r="A141" s="18" t="n">
        <x:v>140</x:v>
      </x:c>
      <x:c r="B141" s="14" t="str">
        <x:v>Dragon / Dragon Vault</x:v>
      </x:c>
      <x:c r="C141" s="14" t="str">
        <x:v>Druddigon</x:v>
      </x:c>
      <x:c r="D141" s="14" t="str">
        <x:v>17/20</x:v>
      </x:c>
      <x:c r="E141" s="14" t="str">
        <x:v>Dragon Vault</x:v>
      </x:c>
      <x:c r="F141" s="18" t="n">
        <x:v>2012</x:v>
      </x:c>
      <x:c r="G141" s="14" t="str">
        <x:v>Normal Holo</x:v>
      </x:c>
      <x:c r="H141" s="14" t="str">
        <x:v>1 of 2</x:v>
      </x:c>
      <x:c r="I141" s="16" t="n">
        <x:v>2.5</x:v>
      </x:c>
      <x:c r="J141" s="16" t="n">
        <x:v>3</x:v>
      </x:c>
      <x:c r="K141" s="16" t="n">
        <x:f>IF(AND(ISNUMBER(I141),ISNUMBER(J141)),AVERAGE(I141:J141),"")</x:f>
        <x:v>2.75</x:v>
      </x:c>
      <x:c r="L141" s="14" t="str">
        <x:v>$1–5</x:v>
      </x:c>
      <x:c r="M141" s="14" t="str">
        <x:v>Yes</x:v>
      </x:c>
      <x:c r="N141" s="14" t="str">
        <x:v>No</x:v>
      </x:c>
      <x:c r="O141" s="14" t="str">
        <x:v>Yes</x:v>
      </x:c>
      <x:c r="P141" s="14" t="str">
        <x:v>Clean/NM benchmark unless noted</x:v>
      </x:c>
      <x:c r="Q141" s="16" t="n">
        <x:v>2.5</x:v>
      </x:c>
      <x:c r="R141" s="16" t="n">
        <x:v>3</x:v>
      </x:c>
      <x:c r="S141" s="16" t="n">
        <x:f>IF(AND(ISNUMBER(Q141),ISNUMBER(R141)),AVERAGE(Q141:R141),K141)</x:f>
        <x:v>2.75</x:v>
      </x:c>
      <x:c r="T141" s="14" t="str"/>
      <x:c r="U141" s="18" t="n">
        <x:v>589</x:v>
      </x:c>
      <x:c r="V141" s="14" t="str">
        <x:v>Uploaded Pokémon chat JSON / prior card-by-card research</x:v>
      </x:c>
      <x:c r="W141" s="14" t="str"/>
    </x:row>
    <x:row r="142">
      <x:c r="A142" s="18" t="n">
        <x:v>141</x:v>
      </x:c>
      <x:c r="B142" s="14" t="str">
        <x:v>Dragon / Dragon Vault</x:v>
      </x:c>
      <x:c r="C142" s="14" t="str">
        <x:v>Druddigon</x:v>
      </x:c>
      <x:c r="D142" s="14" t="str">
        <x:v>17/20</x:v>
      </x:c>
      <x:c r="E142" s="14" t="str">
        <x:v>Dragon Vault</x:v>
      </x:c>
      <x:c r="F142" s="18" t="n">
        <x:v>2012</x:v>
      </x:c>
      <x:c r="G142" s="14" t="str">
        <x:v>Dragon Vault stamped Holo</x:v>
      </x:c>
      <x:c r="H142" s="14" t="str">
        <x:v>1 of 1</x:v>
      </x:c>
      <x:c r="I142" s="16" t="n">
        <x:v>10</x:v>
      </x:c>
      <x:c r="J142" s="16" t="n">
        <x:v>14</x:v>
      </x:c>
      <x:c r="K142" s="16" t="n">
        <x:f>IF(AND(ISNUMBER(I142),ISNUMBER(J142)),AVERAGE(I142:J142),"")</x:f>
        <x:v>12</x:v>
      </x:c>
      <x:c r="L142" s="14" t="str">
        <x:v>$5–20</x:v>
      </x:c>
      <x:c r="M142" s="14" t="str">
        <x:v>Yes</x:v>
      </x:c>
      <x:c r="N142" s="14" t="str">
        <x:v>Yes</x:v>
      </x:c>
      <x:c r="O142" s="14" t="str">
        <x:v>Yes</x:v>
      </x:c>
      <x:c r="P142" s="14" t="str">
        <x:v>Clean/NM benchmark unless noted</x:v>
      </x:c>
      <x:c r="Q142" s="16" t="n">
        <x:v>10</x:v>
      </x:c>
      <x:c r="R142" s="16" t="n">
        <x:v>14</x:v>
      </x:c>
      <x:c r="S142" s="16" t="n">
        <x:f>IF(AND(ISNUMBER(Q142),ISNUMBER(R142)),AVERAGE(Q142:R142),K142)</x:f>
        <x:v>12</x:v>
      </x:c>
      <x:c r="T142" s="14" t="str"/>
      <x:c r="U142" s="18" t="n">
        <x:v>589</x:v>
      </x:c>
      <x:c r="V142" s="14" t="str">
        <x:v>Uploaded Pokémon chat JSON / prior card-by-card research</x:v>
      </x:c>
      <x:c r="W142" s="14" t="str"/>
    </x:row>
    <x:row r="143">
      <x:c r="A143" s="18" t="n">
        <x:v>142</x:v>
      </x:c>
      <x:c r="B143" s="14" t="str">
        <x:v>Dragon / Dragon Vault</x:v>
      </x:c>
      <x:c r="C143" s="14" t="str">
        <x:v>Druddigon</x:v>
      </x:c>
      <x:c r="D143" s="14" t="str">
        <x:v>70/101</x:v>
      </x:c>
      <x:c r="E143" s="14" t="str">
        <x:v>Plasma Blast</x:v>
      </x:c>
      <x:c r="F143" s="18" t="n">
        <x:v>2013</x:v>
      </x:c>
      <x:c r="G143" s="14" t="str">
        <x:v>Regular</x:v>
      </x:c>
      <x:c r="H143" s="14" t="str">
        <x:v>1 of 2</x:v>
      </x:c>
      <x:c r="I143" s="16" t="n">
        <x:v>0.3</x:v>
      </x:c>
      <x:c r="J143" s="16" t="n">
        <x:v>0.31</x:v>
      </x:c>
      <x:c r="K143" s="16" t="n">
        <x:f>IF(AND(ISNUMBER(I143),ISNUMBER(J143)),AVERAGE(I143:J143),"")</x:f>
        <x:v>0.305</x:v>
      </x:c>
      <x:c r="L143" s="14" t="str">
        <x:v>&lt;$1</x:v>
      </x:c>
      <x:c r="M143" s="14" t="str">
        <x:v>No</x:v>
      </x:c>
      <x:c r="N143" s="14" t="str">
        <x:v>No</x:v>
      </x:c>
      <x:c r="O143" s="14" t="str">
        <x:v>No</x:v>
      </x:c>
      <x:c r="P143" s="14" t="str">
        <x:v>Clean/NM benchmark unless noted</x:v>
      </x:c>
      <x:c r="Q143" s="16" t="n">
        <x:v>0.3</x:v>
      </x:c>
      <x:c r="R143" s="16" t="n">
        <x:v>0.31</x:v>
      </x:c>
      <x:c r="S143" s="16" t="n">
        <x:f>IF(AND(ISNUMBER(Q143),ISNUMBER(R143)),AVERAGE(Q143:R143),K143)</x:f>
        <x:v>0.305</x:v>
      </x:c>
      <x:c r="T143" s="14" t="str"/>
      <x:c r="U143" s="18" t="n">
        <x:v>597</x:v>
      </x:c>
      <x:c r="V143" s="14" t="str">
        <x:v>Uploaded Pokémon chat JSON / prior card-by-card research</x:v>
      </x:c>
      <x:c r="W143" s="14" t="str"/>
    </x:row>
    <x:row r="144">
      <x:c r="A144" s="18" t="n">
        <x:v>143</x:v>
      </x:c>
      <x:c r="B144" s="14" t="str">
        <x:v>Dragon / Dragon Vault</x:v>
      </x:c>
      <x:c r="C144" s="14" t="str">
        <x:v>Druddigon</x:v>
      </x:c>
      <x:c r="D144" s="14" t="str">
        <x:v>70/101</x:v>
      </x:c>
      <x:c r="E144" s="14" t="str">
        <x:v>Plasma Blast</x:v>
      </x:c>
      <x:c r="F144" s="18" t="n">
        <x:v>2013</x:v>
      </x:c>
      <x:c r="G144" s="14" t="str">
        <x:v>Regular</x:v>
      </x:c>
      <x:c r="H144" s="14" t="str">
        <x:v>2 of 2</x:v>
      </x:c>
      <x:c r="I144" s="16" t="n">
        <x:v>0.3</x:v>
      </x:c>
      <x:c r="J144" s="16" t="n">
        <x:v>0.31</x:v>
      </x:c>
      <x:c r="K144" s="16" t="n">
        <x:f>IF(AND(ISNUMBER(I144),ISNUMBER(J144)),AVERAGE(I144:J144),"")</x:f>
        <x:v>0.305</x:v>
      </x:c>
      <x:c r="L144" s="14" t="str">
        <x:v>&lt;$1</x:v>
      </x:c>
      <x:c r="M144" s="14" t="str">
        <x:v>No</x:v>
      </x:c>
      <x:c r="N144" s="14" t="str">
        <x:v>No</x:v>
      </x:c>
      <x:c r="O144" s="14" t="str">
        <x:v>No</x:v>
      </x:c>
      <x:c r="P144" s="14" t="str">
        <x:v>Clean/NM benchmark unless noted</x:v>
      </x:c>
      <x:c r="Q144" s="16" t="n">
        <x:v>0.3</x:v>
      </x:c>
      <x:c r="R144" s="16" t="n">
        <x:v>0.31</x:v>
      </x:c>
      <x:c r="S144" s="16" t="n">
        <x:f>IF(AND(ISNUMBER(Q144),ISNUMBER(R144)),AVERAGE(Q144:R144),K144)</x:f>
        <x:v>0.305</x:v>
      </x:c>
      <x:c r="T144" s="14" t="str"/>
      <x:c r="U144" s="18" t="n">
        <x:v>597</x:v>
      </x:c>
      <x:c r="V144" s="14" t="str">
        <x:v>Uploaded Pokémon chat JSON / prior card-by-card research</x:v>
      </x:c>
      <x:c r="W144" s="14" t="str"/>
    </x:row>
    <x:row r="145">
      <x:c r="A145" s="18" t="n">
        <x:v>144</x:v>
      </x:c>
      <x:c r="B145" s="14" t="str">
        <x:v>Dragon / Dragon Vault</x:v>
      </x:c>
      <x:c r="C145" s="14" t="str">
        <x:v>Haxorus</x:v>
      </x:c>
      <x:c r="D145" s="14" t="str">
        <x:v>16/20</x:v>
      </x:c>
      <x:c r="E145" s="14" t="str">
        <x:v>Dragon Vault</x:v>
      </x:c>
      <x:c r="F145" s="18" t="n">
        <x:v>2012</x:v>
      </x:c>
      <x:c r="G145" s="14" t="str">
        <x:v>Normal Holo</x:v>
      </x:c>
      <x:c r="H145" s="14" t="str">
        <x:v>1 of 1</x:v>
      </x:c>
      <x:c r="I145" s="16" t="n">
        <x:v>3.75</x:v>
      </x:c>
      <x:c r="J145" s="16" t="n">
        <x:v>4</x:v>
      </x:c>
      <x:c r="K145" s="16" t="n">
        <x:f>IF(AND(ISNUMBER(I145),ISNUMBER(J145)),AVERAGE(I145:J145),"")</x:f>
        <x:v>3.875</x:v>
      </x:c>
      <x:c r="L145" s="14" t="str">
        <x:v>$1–5</x:v>
      </x:c>
      <x:c r="M145" s="14" t="str">
        <x:v>Yes</x:v>
      </x:c>
      <x:c r="N145" s="14" t="str">
        <x:v>No</x:v>
      </x:c>
      <x:c r="O145" s="14" t="str">
        <x:v>Yes</x:v>
      </x:c>
      <x:c r="P145" s="14" t="str">
        <x:v>Clean/NM benchmark unless noted</x:v>
      </x:c>
      <x:c r="Q145" s="16" t="n">
        <x:v>3.75</x:v>
      </x:c>
      <x:c r="R145" s="16" t="n">
        <x:v>4</x:v>
      </x:c>
      <x:c r="S145" s="16" t="n">
        <x:f>IF(AND(ISNUMBER(Q145),ISNUMBER(R145)),AVERAGE(Q145:R145),K145)</x:f>
        <x:v>3.875</x:v>
      </x:c>
      <x:c r="T145" s="14" t="str"/>
      <x:c r="U145" s="18" t="n">
        <x:v>603</x:v>
      </x:c>
      <x:c r="V145" s="14" t="str">
        <x:v>Uploaded Pokémon chat JSON / prior card-by-card research</x:v>
      </x:c>
      <x:c r="W145" s="14" t="str"/>
    </x:row>
    <x:row r="146">
      <x:c r="A146" s="18" t="n">
        <x:v>145</x:v>
      </x:c>
      <x:c r="B146" s="14" t="str">
        <x:v>Dragon / Dragon Vault</x:v>
      </x:c>
      <x:c r="C146" s="14" t="str">
        <x:v>Haxorus</x:v>
      </x:c>
      <x:c r="D146" s="14" t="str">
        <x:v>16/20</x:v>
      </x:c>
      <x:c r="E146" s="14" t="str">
        <x:v>Dragon Vault</x:v>
      </x:c>
      <x:c r="F146" s="18" t="n">
        <x:v>2012</x:v>
      </x:c>
      <x:c r="G146" s="14" t="str">
        <x:v>Dragon Vault stamped blister promo</x:v>
      </x:c>
      <x:c r="H146" s="14" t="str">
        <x:v>1 of 1</x:v>
      </x:c>
      <x:c r="I146" s="16" t="n">
        <x:v>25</x:v>
      </x:c>
      <x:c r="J146" s="16" t="n">
        <x:v>27</x:v>
      </x:c>
      <x:c r="K146" s="16" t="n">
        <x:f>IF(AND(ISNUMBER(I146),ISNUMBER(J146)),AVERAGE(I146:J146),"")</x:f>
        <x:v>26</x:v>
      </x:c>
      <x:c r="L146" s="14" t="str">
        <x:v>$20+</x:v>
      </x:c>
      <x:c r="M146" s="14" t="str">
        <x:v>Yes</x:v>
      </x:c>
      <x:c r="N146" s="14" t="str">
        <x:v>Yes</x:v>
      </x:c>
      <x:c r="O146" s="14" t="str">
        <x:v>Yes</x:v>
      </x:c>
      <x:c r="P146" s="14" t="str">
        <x:v>Clean/NM benchmark unless noted</x:v>
      </x:c>
      <x:c r="Q146" s="16" t="n">
        <x:v>25</x:v>
      </x:c>
      <x:c r="R146" s="16" t="n">
        <x:v>27</x:v>
      </x:c>
      <x:c r="S146" s="16" t="n">
        <x:f>IF(AND(ISNUMBER(Q146),ISNUMBER(R146)),AVERAGE(Q146:R146),K146)</x:f>
        <x:v>26</x:v>
      </x:c>
      <x:c r="T146" s="14" t="str"/>
      <x:c r="U146" s="18" t="n">
        <x:v>603</x:v>
      </x:c>
      <x:c r="V146" s="14" t="str">
        <x:v>Uploaded Pokémon chat JSON / prior card-by-card research</x:v>
      </x:c>
      <x:c r="W146" s="14" t="str"/>
    </x:row>
    <x:row r="147">
      <x:c r="A147" s="18" t="n">
        <x:v>146</x:v>
      </x:c>
      <x:c r="B147" s="14" t="str">
        <x:v>Dragon / Dragon Vault</x:v>
      </x:c>
      <x:c r="C147" s="14" t="str">
        <x:v>Dragonair</x:v>
      </x:c>
      <x:c r="D147" s="14" t="str">
        <x:v>4/20</x:v>
      </x:c>
      <x:c r="E147" s="14" t="str">
        <x:v>Dragon Vault</x:v>
      </x:c>
      <x:c r="F147" s="18" t="n">
        <x:v>2012</x:v>
      </x:c>
      <x:c r="G147" s="14" t="str">
        <x:v>Holo</x:v>
      </x:c>
      <x:c r="H147" s="14" t="str">
        <x:v>1 of 5</x:v>
      </x:c>
      <x:c r="I147" s="16" t="n">
        <x:v>14.75</x:v>
      </x:c>
      <x:c r="J147" s="16" t="n">
        <x:v>15</x:v>
      </x:c>
      <x:c r="K147" s="16" t="n">
        <x:f>IF(AND(ISNUMBER(I147),ISNUMBER(J147)),AVERAGE(I147:J147),"")</x:f>
        <x:v>14.875</x:v>
      </x:c>
      <x:c r="L147" s="14" t="str">
        <x:v>$5–20</x:v>
      </x:c>
      <x:c r="M147" s="14" t="str">
        <x:v>Yes</x:v>
      </x:c>
      <x:c r="N147" s="14" t="str">
        <x:v>Yes</x:v>
      </x:c>
      <x:c r="O147" s="14" t="str">
        <x:v>Yes</x:v>
      </x:c>
      <x:c r="P147" s="14" t="str">
        <x:v>Clean/NM benchmark unless noted</x:v>
      </x:c>
      <x:c r="Q147" s="16" t="n">
        <x:v>14.75</x:v>
      </x:c>
      <x:c r="R147" s="16" t="n">
        <x:v>15</x:v>
      </x:c>
      <x:c r="S147" s="16" t="n">
        <x:f>IF(AND(ISNUMBER(Q147),ISNUMBER(R147)),AVERAGE(Q147:R147),K147)</x:f>
        <x:v>14.875</x:v>
      </x:c>
      <x:c r="T147" s="14" t="str"/>
      <x:c r="U147" s="18" t="n">
        <x:v>609</x:v>
      </x:c>
      <x:c r="V147" s="14" t="str">
        <x:v>Uploaded Pokémon chat JSON / prior card-by-card research</x:v>
      </x:c>
      <x:c r="W147" s="14" t="str"/>
    </x:row>
    <x:row r="148">
      <x:c r="A148" s="18" t="n">
        <x:v>147</x:v>
      </x:c>
      <x:c r="B148" s="14" t="str">
        <x:v>Dragon / Dragon Vault</x:v>
      </x:c>
      <x:c r="C148" s="14" t="str">
        <x:v>Dragonair</x:v>
      </x:c>
      <x:c r="D148" s="14" t="str">
        <x:v>4/20</x:v>
      </x:c>
      <x:c r="E148" s="14" t="str">
        <x:v>Dragon Vault</x:v>
      </x:c>
      <x:c r="F148" s="18" t="n">
        <x:v>2012</x:v>
      </x:c>
      <x:c r="G148" s="14" t="str">
        <x:v>Holo</x:v>
      </x:c>
      <x:c r="H148" s="14" t="str">
        <x:v>2 of 5</x:v>
      </x:c>
      <x:c r="I148" s="16" t="n">
        <x:v>14.75</x:v>
      </x:c>
      <x:c r="J148" s="16" t="n">
        <x:v>15</x:v>
      </x:c>
      <x:c r="K148" s="16" t="n">
        <x:f>IF(AND(ISNUMBER(I148),ISNUMBER(J148)),AVERAGE(I148:J148),"")</x:f>
        <x:v>14.875</x:v>
      </x:c>
      <x:c r="L148" s="14" t="str">
        <x:v>$5–20</x:v>
      </x:c>
      <x:c r="M148" s="14" t="str">
        <x:v>Yes</x:v>
      </x:c>
      <x:c r="N148" s="14" t="str">
        <x:v>Yes</x:v>
      </x:c>
      <x:c r="O148" s="14" t="str">
        <x:v>Yes</x:v>
      </x:c>
      <x:c r="P148" s="14" t="str">
        <x:v>Clean/NM benchmark unless noted</x:v>
      </x:c>
      <x:c r="Q148" s="16" t="n">
        <x:v>14.75</x:v>
      </x:c>
      <x:c r="R148" s="16" t="n">
        <x:v>15</x:v>
      </x:c>
      <x:c r="S148" s="16" t="n">
        <x:f>IF(AND(ISNUMBER(Q148),ISNUMBER(R148)),AVERAGE(Q148:R148),K148)</x:f>
        <x:v>14.875</x:v>
      </x:c>
      <x:c r="T148" s="14" t="str"/>
      <x:c r="U148" s="18" t="n">
        <x:v>609</x:v>
      </x:c>
      <x:c r="V148" s="14" t="str">
        <x:v>Uploaded Pokémon chat JSON / prior card-by-card research</x:v>
      </x:c>
      <x:c r="W148" s="14" t="str"/>
    </x:row>
    <x:row r="149">
      <x:c r="A149" s="18" t="n">
        <x:v>148</x:v>
      </x:c>
      <x:c r="B149" s="14" t="str">
        <x:v>Dragon / Dragon Vault</x:v>
      </x:c>
      <x:c r="C149" s="14" t="str">
        <x:v>Dragonair</x:v>
      </x:c>
      <x:c r="D149" s="14" t="str">
        <x:v>4/20</x:v>
      </x:c>
      <x:c r="E149" s="14" t="str">
        <x:v>Dragon Vault</x:v>
      </x:c>
      <x:c r="F149" s="18" t="n">
        <x:v>2012</x:v>
      </x:c>
      <x:c r="G149" s="14" t="str">
        <x:v>Holo</x:v>
      </x:c>
      <x:c r="H149" s="14" t="str">
        <x:v>3 of 5</x:v>
      </x:c>
      <x:c r="I149" s="16" t="n">
        <x:v>14.75</x:v>
      </x:c>
      <x:c r="J149" s="16" t="n">
        <x:v>15</x:v>
      </x:c>
      <x:c r="K149" s="16" t="n">
        <x:f>IF(AND(ISNUMBER(I149),ISNUMBER(J149)),AVERAGE(I149:J149),"")</x:f>
        <x:v>14.875</x:v>
      </x:c>
      <x:c r="L149" s="14" t="str">
        <x:v>$5–20</x:v>
      </x:c>
      <x:c r="M149" s="14" t="str">
        <x:v>Yes</x:v>
      </x:c>
      <x:c r="N149" s="14" t="str">
        <x:v>Yes</x:v>
      </x:c>
      <x:c r="O149" s="14" t="str">
        <x:v>Yes</x:v>
      </x:c>
      <x:c r="P149" s="14" t="str">
        <x:v>Clean/NM benchmark unless noted</x:v>
      </x:c>
      <x:c r="Q149" s="16" t="n">
        <x:v>14.75</x:v>
      </x:c>
      <x:c r="R149" s="16" t="n">
        <x:v>15</x:v>
      </x:c>
      <x:c r="S149" s="16" t="n">
        <x:f>IF(AND(ISNUMBER(Q149),ISNUMBER(R149)),AVERAGE(Q149:R149),K149)</x:f>
        <x:v>14.875</x:v>
      </x:c>
      <x:c r="T149" s="14" t="str"/>
      <x:c r="U149" s="18" t="n">
        <x:v>609</x:v>
      </x:c>
      <x:c r="V149" s="14" t="str">
        <x:v>Uploaded Pokémon chat JSON / prior card-by-card research</x:v>
      </x:c>
      <x:c r="W149" s="14" t="str"/>
    </x:row>
    <x:row r="150">
      <x:c r="A150" s="18" t="n">
        <x:v>149</x:v>
      </x:c>
      <x:c r="B150" s="14" t="str">
        <x:v>Dragon / Dragon Vault</x:v>
      </x:c>
      <x:c r="C150" s="14" t="str">
        <x:v>Dragonair</x:v>
      </x:c>
      <x:c r="D150" s="14" t="str">
        <x:v>4/20</x:v>
      </x:c>
      <x:c r="E150" s="14" t="str">
        <x:v>Dragon Vault</x:v>
      </x:c>
      <x:c r="F150" s="18" t="n">
        <x:v>2012</x:v>
      </x:c>
      <x:c r="G150" s="14" t="str">
        <x:v>Holo</x:v>
      </x:c>
      <x:c r="H150" s="14" t="str">
        <x:v>4 of 5</x:v>
      </x:c>
      <x:c r="I150" s="16" t="n">
        <x:v>14.75</x:v>
      </x:c>
      <x:c r="J150" s="16" t="n">
        <x:v>15</x:v>
      </x:c>
      <x:c r="K150" s="16" t="n">
        <x:f>IF(AND(ISNUMBER(I150),ISNUMBER(J150)),AVERAGE(I150:J150),"")</x:f>
        <x:v>14.875</x:v>
      </x:c>
      <x:c r="L150" s="14" t="str">
        <x:v>$5–20</x:v>
      </x:c>
      <x:c r="M150" s="14" t="str">
        <x:v>Yes</x:v>
      </x:c>
      <x:c r="N150" s="14" t="str">
        <x:v>Yes</x:v>
      </x:c>
      <x:c r="O150" s="14" t="str">
        <x:v>Yes</x:v>
      </x:c>
      <x:c r="P150" s="14" t="str">
        <x:v>Clean/NM benchmark unless noted</x:v>
      </x:c>
      <x:c r="Q150" s="16" t="n">
        <x:v>14.75</x:v>
      </x:c>
      <x:c r="R150" s="16" t="n">
        <x:v>15</x:v>
      </x:c>
      <x:c r="S150" s="16" t="n">
        <x:f>IF(AND(ISNUMBER(Q150),ISNUMBER(R150)),AVERAGE(Q150:R150),K150)</x:f>
        <x:v>14.875</x:v>
      </x:c>
      <x:c r="T150" s="14" t="str"/>
      <x:c r="U150" s="18" t="n">
        <x:v>609</x:v>
      </x:c>
      <x:c r="V150" s="14" t="str">
        <x:v>Uploaded Pokémon chat JSON / prior card-by-card research</x:v>
      </x:c>
      <x:c r="W150" s="14" t="str"/>
    </x:row>
    <x:row r="151">
      <x:c r="A151" s="18" t="n">
        <x:v>150</x:v>
      </x:c>
      <x:c r="B151" s="14" t="str">
        <x:v>Dragon / Dragon Vault</x:v>
      </x:c>
      <x:c r="C151" s="14" t="str">
        <x:v>Dragonair</x:v>
      </x:c>
      <x:c r="D151" s="14" t="str">
        <x:v>4/20</x:v>
      </x:c>
      <x:c r="E151" s="14" t="str">
        <x:v>Dragon Vault</x:v>
      </x:c>
      <x:c r="F151" s="18" t="n">
        <x:v>2012</x:v>
      </x:c>
      <x:c r="G151" s="14" t="str">
        <x:v>Holo</x:v>
      </x:c>
      <x:c r="H151" s="14" t="str">
        <x:v>5 of 5</x:v>
      </x:c>
      <x:c r="I151" s="16" t="n">
        <x:v>14.75</x:v>
      </x:c>
      <x:c r="J151" s="16" t="n">
        <x:v>15</x:v>
      </x:c>
      <x:c r="K151" s="16" t="n">
        <x:f>IF(AND(ISNUMBER(I151),ISNUMBER(J151)),AVERAGE(I151:J151),"")</x:f>
        <x:v>14.875</x:v>
      </x:c>
      <x:c r="L151" s="14" t="str">
        <x:v>$5–20</x:v>
      </x:c>
      <x:c r="M151" s="14" t="str">
        <x:v>Yes</x:v>
      </x:c>
      <x:c r="N151" s="14" t="str">
        <x:v>Yes</x:v>
      </x:c>
      <x:c r="O151" s="14" t="str">
        <x:v>Yes</x:v>
      </x:c>
      <x:c r="P151" s="14" t="str">
        <x:v>Clean/NM benchmark unless noted</x:v>
      </x:c>
      <x:c r="Q151" s="16" t="n">
        <x:v>14.75</x:v>
      </x:c>
      <x:c r="R151" s="16" t="n">
        <x:v>15</x:v>
      </x:c>
      <x:c r="S151" s="16" t="n">
        <x:f>IF(AND(ISNUMBER(Q151),ISNUMBER(R151)),AVERAGE(Q151:R151),K151)</x:f>
        <x:v>14.875</x:v>
      </x:c>
      <x:c r="T151" s="14" t="str"/>
      <x:c r="U151" s="18" t="n">
        <x:v>609</x:v>
      </x:c>
      <x:c r="V151" s="14" t="str">
        <x:v>Uploaded Pokémon chat JSON / prior card-by-card research</x:v>
      </x:c>
      <x:c r="W151" s="14" t="str"/>
    </x:row>
    <x:row r="152">
      <x:c r="A152" s="18" t="n">
        <x:v>151</x:v>
      </x:c>
      <x:c r="B152" s="14" t="str">
        <x:v>Dragon / Dragon Vault</x:v>
      </x:c>
      <x:c r="C152" s="14" t="str">
        <x:v>Dragonair</x:v>
      </x:c>
      <x:c r="D152" s="14" t="str">
        <x:v>3/20</x:v>
      </x:c>
      <x:c r="E152" s="14" t="str">
        <x:v>Dragon Vault</x:v>
      </x:c>
      <x:c r="F152" s="18" t="n">
        <x:v>2012</x:v>
      </x:c>
      <x:c r="G152" s="14" t="str">
        <x:v>Holo</x:v>
      </x:c>
      <x:c r="H152" s="14" t="str">
        <x:v>1 of 4</x:v>
      </x:c>
      <x:c r="I152" s="16" t="n">
        <x:v>5</x:v>
      </x:c>
      <x:c r="J152" s="16" t="n">
        <x:v>6</x:v>
      </x:c>
      <x:c r="K152" s="16" t="n">
        <x:f>IF(AND(ISNUMBER(I152),ISNUMBER(J152)),AVERAGE(I152:J152),"")</x:f>
        <x:v>5.5</x:v>
      </x:c>
      <x:c r="L152" s="14" t="str">
        <x:v>$5–20</x:v>
      </x:c>
      <x:c r="M152" s="14" t="str">
        <x:v>Yes</x:v>
      </x:c>
      <x:c r="N152" s="14" t="str">
        <x:v>No</x:v>
      </x:c>
      <x:c r="O152" s="14" t="str">
        <x:v>Yes</x:v>
      </x:c>
      <x:c r="P152" s="14" t="str">
        <x:v>Clean/NM benchmark unless noted</x:v>
      </x:c>
      <x:c r="Q152" s="16" t="n">
        <x:v>5</x:v>
      </x:c>
      <x:c r="R152" s="16" t="n">
        <x:v>6</x:v>
      </x:c>
      <x:c r="S152" s="16" t="n">
        <x:f>IF(AND(ISNUMBER(Q152),ISNUMBER(R152)),AVERAGE(Q152:R152),K152)</x:f>
        <x:v>5.5</x:v>
      </x:c>
      <x:c r="T152" s="14" t="str"/>
      <x:c r="U152" s="18" t="n">
        <x:v>633</x:v>
      </x:c>
      <x:c r="V152" s="14" t="str">
        <x:v>Uploaded Pokémon chat JSON / prior card-by-card research</x:v>
      </x:c>
      <x:c r="W152" s="14" t="str"/>
    </x:row>
    <x:row r="153">
      <x:c r="A153" s="18" t="n">
        <x:v>152</x:v>
      </x:c>
      <x:c r="B153" s="14" t="str">
        <x:v>Dragon / Dragon Vault</x:v>
      </x:c>
      <x:c r="C153" s="14" t="str">
        <x:v>Dragonair</x:v>
      </x:c>
      <x:c r="D153" s="14" t="str">
        <x:v>3/20</x:v>
      </x:c>
      <x:c r="E153" s="14" t="str">
        <x:v>Dragon Vault</x:v>
      </x:c>
      <x:c r="F153" s="18" t="n">
        <x:v>2012</x:v>
      </x:c>
      <x:c r="G153" s="14" t="str">
        <x:v>Holo</x:v>
      </x:c>
      <x:c r="H153" s="14" t="str">
        <x:v>2 of 4</x:v>
      </x:c>
      <x:c r="I153" s="16" t="n">
        <x:v>5</x:v>
      </x:c>
      <x:c r="J153" s="16" t="n">
        <x:v>6</x:v>
      </x:c>
      <x:c r="K153" s="16" t="n">
        <x:f>IF(AND(ISNUMBER(I153),ISNUMBER(J153)),AVERAGE(I153:J153),"")</x:f>
        <x:v>5.5</x:v>
      </x:c>
      <x:c r="L153" s="14" t="str">
        <x:v>$5–20</x:v>
      </x:c>
      <x:c r="M153" s="14" t="str">
        <x:v>Yes</x:v>
      </x:c>
      <x:c r="N153" s="14" t="str">
        <x:v>No</x:v>
      </x:c>
      <x:c r="O153" s="14" t="str">
        <x:v>Yes</x:v>
      </x:c>
      <x:c r="P153" s="14" t="str">
        <x:v>Clean/NM benchmark unless noted</x:v>
      </x:c>
      <x:c r="Q153" s="16" t="n">
        <x:v>5</x:v>
      </x:c>
      <x:c r="R153" s="16" t="n">
        <x:v>6</x:v>
      </x:c>
      <x:c r="S153" s="16" t="n">
        <x:f>IF(AND(ISNUMBER(Q153),ISNUMBER(R153)),AVERAGE(Q153:R153),K153)</x:f>
        <x:v>5.5</x:v>
      </x:c>
      <x:c r="T153" s="14" t="str"/>
      <x:c r="U153" s="18" t="n">
        <x:v>633</x:v>
      </x:c>
      <x:c r="V153" s="14" t="str">
        <x:v>Uploaded Pokémon chat JSON / prior card-by-card research</x:v>
      </x:c>
      <x:c r="W153" s="14" t="str"/>
    </x:row>
    <x:row r="154">
      <x:c r="A154" s="18" t="n">
        <x:v>153</x:v>
      </x:c>
      <x:c r="B154" s="14" t="str">
        <x:v>Dragon / Dragon Vault</x:v>
      </x:c>
      <x:c r="C154" s="14" t="str">
        <x:v>Dragonair</x:v>
      </x:c>
      <x:c r="D154" s="14" t="str">
        <x:v>3/20</x:v>
      </x:c>
      <x:c r="E154" s="14" t="str">
        <x:v>Dragon Vault</x:v>
      </x:c>
      <x:c r="F154" s="18" t="n">
        <x:v>2012</x:v>
      </x:c>
      <x:c r="G154" s="14" t="str">
        <x:v>Holo</x:v>
      </x:c>
      <x:c r="H154" s="14" t="str">
        <x:v>3 of 4</x:v>
      </x:c>
      <x:c r="I154" s="16" t="n">
        <x:v>5</x:v>
      </x:c>
      <x:c r="J154" s="16" t="n">
        <x:v>6</x:v>
      </x:c>
      <x:c r="K154" s="16" t="n">
        <x:f>IF(AND(ISNUMBER(I154),ISNUMBER(J154)),AVERAGE(I154:J154),"")</x:f>
        <x:v>5.5</x:v>
      </x:c>
      <x:c r="L154" s="14" t="str">
        <x:v>$5–20</x:v>
      </x:c>
      <x:c r="M154" s="14" t="str">
        <x:v>Yes</x:v>
      </x:c>
      <x:c r="N154" s="14" t="str">
        <x:v>No</x:v>
      </x:c>
      <x:c r="O154" s="14" t="str">
        <x:v>Yes</x:v>
      </x:c>
      <x:c r="P154" s="14" t="str">
        <x:v>Clean/NM benchmark unless noted</x:v>
      </x:c>
      <x:c r="Q154" s="16" t="n">
        <x:v>5</x:v>
      </x:c>
      <x:c r="R154" s="16" t="n">
        <x:v>6</x:v>
      </x:c>
      <x:c r="S154" s="16" t="n">
        <x:f>IF(AND(ISNUMBER(Q154),ISNUMBER(R154)),AVERAGE(Q154:R154),K154)</x:f>
        <x:v>5.5</x:v>
      </x:c>
      <x:c r="T154" s="14" t="str"/>
      <x:c r="U154" s="18" t="n">
        <x:v>633</x:v>
      </x:c>
      <x:c r="V154" s="14" t="str">
        <x:v>Uploaded Pokémon chat JSON / prior card-by-card research</x:v>
      </x:c>
      <x:c r="W154" s="14" t="str"/>
    </x:row>
    <x:row r="155">
      <x:c r="A155" s="18" t="n">
        <x:v>154</x:v>
      </x:c>
      <x:c r="B155" s="14" t="str">
        <x:v>Dragon / Dragon Vault</x:v>
      </x:c>
      <x:c r="C155" s="14" t="str">
        <x:v>Dragonair</x:v>
      </x:c>
      <x:c r="D155" s="14" t="str">
        <x:v>3/20</x:v>
      </x:c>
      <x:c r="E155" s="14" t="str">
        <x:v>Dragon Vault</x:v>
      </x:c>
      <x:c r="F155" s="18" t="n">
        <x:v>2012</x:v>
      </x:c>
      <x:c r="G155" s="14" t="str">
        <x:v>Holo</x:v>
      </x:c>
      <x:c r="H155" s="14" t="str">
        <x:v>4 of 4</x:v>
      </x:c>
      <x:c r="I155" s="16" t="n">
        <x:v>5</x:v>
      </x:c>
      <x:c r="J155" s="16" t="n">
        <x:v>6</x:v>
      </x:c>
      <x:c r="K155" s="16" t="n">
        <x:f>IF(AND(ISNUMBER(I155),ISNUMBER(J155)),AVERAGE(I155:J155),"")</x:f>
        <x:v>5.5</x:v>
      </x:c>
      <x:c r="L155" s="14" t="str">
        <x:v>$5–20</x:v>
      </x:c>
      <x:c r="M155" s="14" t="str">
        <x:v>Yes</x:v>
      </x:c>
      <x:c r="N155" s="14" t="str">
        <x:v>No</x:v>
      </x:c>
      <x:c r="O155" s="14" t="str">
        <x:v>Yes</x:v>
      </x:c>
      <x:c r="P155" s="14" t="str">
        <x:v>Clean/NM benchmark unless noted</x:v>
      </x:c>
      <x:c r="Q155" s="16" t="n">
        <x:v>5</x:v>
      </x:c>
      <x:c r="R155" s="16" t="n">
        <x:v>6</x:v>
      </x:c>
      <x:c r="S155" s="16" t="n">
        <x:f>IF(AND(ISNUMBER(Q155),ISNUMBER(R155)),AVERAGE(Q155:R155),K155)</x:f>
        <x:v>5.5</x:v>
      </x:c>
      <x:c r="T155" s="14" t="str"/>
      <x:c r="U155" s="18" t="n">
        <x:v>633</x:v>
      </x:c>
      <x:c r="V155" s="14" t="str">
        <x:v>Uploaded Pokémon chat JSON / prior card-by-card research</x:v>
      </x:c>
      <x:c r="W155" s="14" t="str"/>
    </x:row>
    <x:row r="156">
      <x:c r="A156" s="18" t="n">
        <x:v>155</x:v>
      </x:c>
      <x:c r="B156" s="14" t="str">
        <x:v>Dragon / Dragon Vault</x:v>
      </x:c>
      <x:c r="C156" s="14" t="str">
        <x:v>Bagon</x:v>
      </x:c>
      <x:c r="D156" s="14" t="str">
        <x:v>6/20</x:v>
      </x:c>
      <x:c r="E156" s="14" t="str">
        <x:v>Dragon Vault</x:v>
      </x:c>
      <x:c r="F156" s="18" t="n">
        <x:v>2012</x:v>
      </x:c>
      <x:c r="G156" s="14" t="str">
        <x:v>Holo</x:v>
      </x:c>
      <x:c r="H156" s="14" t="str">
        <x:v>1 of 6</x:v>
      </x:c>
      <x:c r="I156" s="16" t="n">
        <x:v>2.15</x:v>
      </x:c>
      <x:c r="J156" s="16" t="n">
        <x:v>2.15</x:v>
      </x:c>
      <x:c r="K156" s="16" t="n">
        <x:f>IF(AND(ISNUMBER(I156),ISNUMBER(J156)),AVERAGE(I156:J156),"")</x:f>
        <x:v>2.15</x:v>
      </x:c>
      <x:c r="L156" s="14" t="str">
        <x:v>$1–5</x:v>
      </x:c>
      <x:c r="M156" s="14" t="str">
        <x:v>Yes</x:v>
      </x:c>
      <x:c r="N156" s="14" t="str">
        <x:v>No</x:v>
      </x:c>
      <x:c r="O156" s="14" t="str">
        <x:v>Yes</x:v>
      </x:c>
      <x:c r="P156" s="14" t="str">
        <x:v>Clean/NM benchmark unless noted</x:v>
      </x:c>
      <x:c r="Q156" s="16" t="n">
        <x:v>2.15</x:v>
      </x:c>
      <x:c r="R156" s="16" t="n">
        <x:v>2.15</x:v>
      </x:c>
      <x:c r="S156" s="16" t="n">
        <x:f>IF(AND(ISNUMBER(Q156),ISNUMBER(R156)),AVERAGE(Q156:R156),K156)</x:f>
        <x:v>2.15</x:v>
      </x:c>
      <x:c r="T156" s="14" t="str"/>
      <x:c r="U156" s="18" t="n">
        <x:v>621</x:v>
      </x:c>
      <x:c r="V156" s="14" t="str">
        <x:v>Uploaded Pokémon chat JSON / prior card-by-card research</x:v>
      </x:c>
      <x:c r="W156" s="14" t="str"/>
    </x:row>
    <x:row r="157">
      <x:c r="A157" s="18" t="n">
        <x:v>156</x:v>
      </x:c>
      <x:c r="B157" s="14" t="str">
        <x:v>Dragon / Dragon Vault</x:v>
      </x:c>
      <x:c r="C157" s="14" t="str">
        <x:v>Bagon</x:v>
      </x:c>
      <x:c r="D157" s="14" t="str">
        <x:v>6/20</x:v>
      </x:c>
      <x:c r="E157" s="14" t="str">
        <x:v>Dragon Vault</x:v>
      </x:c>
      <x:c r="F157" s="18" t="n">
        <x:v>2012</x:v>
      </x:c>
      <x:c r="G157" s="14" t="str">
        <x:v>Holo</x:v>
      </x:c>
      <x:c r="H157" s="14" t="str">
        <x:v>2 of 6</x:v>
      </x:c>
      <x:c r="I157" s="16" t="n">
        <x:v>2.15</x:v>
      </x:c>
      <x:c r="J157" s="16" t="n">
        <x:v>2.15</x:v>
      </x:c>
      <x:c r="K157" s="16" t="n">
        <x:f>IF(AND(ISNUMBER(I157),ISNUMBER(J157)),AVERAGE(I157:J157),"")</x:f>
        <x:v>2.15</x:v>
      </x:c>
      <x:c r="L157" s="14" t="str">
        <x:v>$1–5</x:v>
      </x:c>
      <x:c r="M157" s="14" t="str">
        <x:v>Yes</x:v>
      </x:c>
      <x:c r="N157" s="14" t="str">
        <x:v>No</x:v>
      </x:c>
      <x:c r="O157" s="14" t="str">
        <x:v>Yes</x:v>
      </x:c>
      <x:c r="P157" s="14" t="str">
        <x:v>Clean/NM benchmark unless noted</x:v>
      </x:c>
      <x:c r="Q157" s="16" t="n">
        <x:v>2.15</x:v>
      </x:c>
      <x:c r="R157" s="16" t="n">
        <x:v>2.15</x:v>
      </x:c>
      <x:c r="S157" s="16" t="n">
        <x:f>IF(AND(ISNUMBER(Q157),ISNUMBER(R157)),AVERAGE(Q157:R157),K157)</x:f>
        <x:v>2.15</x:v>
      </x:c>
      <x:c r="T157" s="14" t="str"/>
      <x:c r="U157" s="18" t="n">
        <x:v>621</x:v>
      </x:c>
      <x:c r="V157" s="14" t="str">
        <x:v>Uploaded Pokémon chat JSON / prior card-by-card research</x:v>
      </x:c>
      <x:c r="W157" s="14" t="str"/>
    </x:row>
    <x:row r="158">
      <x:c r="A158" s="18" t="n">
        <x:v>157</x:v>
      </x:c>
      <x:c r="B158" s="14" t="str">
        <x:v>Dragon / Dragon Vault</x:v>
      </x:c>
      <x:c r="C158" s="14" t="str">
        <x:v>Bagon</x:v>
      </x:c>
      <x:c r="D158" s="14" t="str">
        <x:v>6/20</x:v>
      </x:c>
      <x:c r="E158" s="14" t="str">
        <x:v>Dragon Vault</x:v>
      </x:c>
      <x:c r="F158" s="18" t="n">
        <x:v>2012</x:v>
      </x:c>
      <x:c r="G158" s="14" t="str">
        <x:v>Holo</x:v>
      </x:c>
      <x:c r="H158" s="14" t="str">
        <x:v>3 of 6</x:v>
      </x:c>
      <x:c r="I158" s="16" t="n">
        <x:v>2.15</x:v>
      </x:c>
      <x:c r="J158" s="16" t="n">
        <x:v>2.15</x:v>
      </x:c>
      <x:c r="K158" s="16" t="n">
        <x:f>IF(AND(ISNUMBER(I158),ISNUMBER(J158)),AVERAGE(I158:J158),"")</x:f>
        <x:v>2.15</x:v>
      </x:c>
      <x:c r="L158" s="14" t="str">
        <x:v>$1–5</x:v>
      </x:c>
      <x:c r="M158" s="14" t="str">
        <x:v>Yes</x:v>
      </x:c>
      <x:c r="N158" s="14" t="str">
        <x:v>No</x:v>
      </x:c>
      <x:c r="O158" s="14" t="str">
        <x:v>Yes</x:v>
      </x:c>
      <x:c r="P158" s="14" t="str">
        <x:v>Clean/NM benchmark unless noted</x:v>
      </x:c>
      <x:c r="Q158" s="16" t="n">
        <x:v>2.15</x:v>
      </x:c>
      <x:c r="R158" s="16" t="n">
        <x:v>2.15</x:v>
      </x:c>
      <x:c r="S158" s="16" t="n">
        <x:f>IF(AND(ISNUMBER(Q158),ISNUMBER(R158)),AVERAGE(Q158:R158),K158)</x:f>
        <x:v>2.15</x:v>
      </x:c>
      <x:c r="T158" s="14" t="str"/>
      <x:c r="U158" s="18" t="n">
        <x:v>621</x:v>
      </x:c>
      <x:c r="V158" s="14" t="str">
        <x:v>Uploaded Pokémon chat JSON / prior card-by-card research</x:v>
      </x:c>
      <x:c r="W158" s="14" t="str"/>
    </x:row>
    <x:row r="159">
      <x:c r="A159" s="18" t="n">
        <x:v>158</x:v>
      </x:c>
      <x:c r="B159" s="14" t="str">
        <x:v>Dragon / Dragon Vault</x:v>
      </x:c>
      <x:c r="C159" s="14" t="str">
        <x:v>Bagon</x:v>
      </x:c>
      <x:c r="D159" s="14" t="str">
        <x:v>6/20</x:v>
      </x:c>
      <x:c r="E159" s="14" t="str">
        <x:v>Dragon Vault</x:v>
      </x:c>
      <x:c r="F159" s="18" t="n">
        <x:v>2012</x:v>
      </x:c>
      <x:c r="G159" s="14" t="str">
        <x:v>Holo</x:v>
      </x:c>
      <x:c r="H159" s="14" t="str">
        <x:v>4 of 6</x:v>
      </x:c>
      <x:c r="I159" s="16" t="n">
        <x:v>2.15</x:v>
      </x:c>
      <x:c r="J159" s="16" t="n">
        <x:v>2.15</x:v>
      </x:c>
      <x:c r="K159" s="16" t="n">
        <x:f>IF(AND(ISNUMBER(I159),ISNUMBER(J159)),AVERAGE(I159:J159),"")</x:f>
        <x:v>2.15</x:v>
      </x:c>
      <x:c r="L159" s="14" t="str">
        <x:v>$1–5</x:v>
      </x:c>
      <x:c r="M159" s="14" t="str">
        <x:v>Yes</x:v>
      </x:c>
      <x:c r="N159" s="14" t="str">
        <x:v>No</x:v>
      </x:c>
      <x:c r="O159" s="14" t="str">
        <x:v>Yes</x:v>
      </x:c>
      <x:c r="P159" s="14" t="str">
        <x:v>Clean/NM benchmark unless noted</x:v>
      </x:c>
      <x:c r="Q159" s="16" t="n">
        <x:v>2.15</x:v>
      </x:c>
      <x:c r="R159" s="16" t="n">
        <x:v>2.15</x:v>
      </x:c>
      <x:c r="S159" s="16" t="n">
        <x:f>IF(AND(ISNUMBER(Q159),ISNUMBER(R159)),AVERAGE(Q159:R159),K159)</x:f>
        <x:v>2.15</x:v>
      </x:c>
      <x:c r="T159" s="14" t="str"/>
      <x:c r="U159" s="18" t="n">
        <x:v>621</x:v>
      </x:c>
      <x:c r="V159" s="14" t="str">
        <x:v>Uploaded Pokémon chat JSON / prior card-by-card research</x:v>
      </x:c>
      <x:c r="W159" s="14" t="str"/>
    </x:row>
    <x:row r="160">
      <x:c r="A160" s="18" t="n">
        <x:v>159</x:v>
      </x:c>
      <x:c r="B160" s="14" t="str">
        <x:v>Dragon / Dragon Vault</x:v>
      </x:c>
      <x:c r="C160" s="14" t="str">
        <x:v>Bagon</x:v>
      </x:c>
      <x:c r="D160" s="14" t="str">
        <x:v>6/20</x:v>
      </x:c>
      <x:c r="E160" s="14" t="str">
        <x:v>Dragon Vault</x:v>
      </x:c>
      <x:c r="F160" s="18" t="n">
        <x:v>2012</x:v>
      </x:c>
      <x:c r="G160" s="14" t="str">
        <x:v>Holo</x:v>
      </x:c>
      <x:c r="H160" s="14" t="str">
        <x:v>5 of 6</x:v>
      </x:c>
      <x:c r="I160" s="16" t="n">
        <x:v>2.15</x:v>
      </x:c>
      <x:c r="J160" s="16" t="n">
        <x:v>2.15</x:v>
      </x:c>
      <x:c r="K160" s="16" t="n">
        <x:f>IF(AND(ISNUMBER(I160),ISNUMBER(J160)),AVERAGE(I160:J160),"")</x:f>
        <x:v>2.15</x:v>
      </x:c>
      <x:c r="L160" s="14" t="str">
        <x:v>$1–5</x:v>
      </x:c>
      <x:c r="M160" s="14" t="str">
        <x:v>Yes</x:v>
      </x:c>
      <x:c r="N160" s="14" t="str">
        <x:v>No</x:v>
      </x:c>
      <x:c r="O160" s="14" t="str">
        <x:v>Yes</x:v>
      </x:c>
      <x:c r="P160" s="14" t="str">
        <x:v>Clean/NM benchmark unless noted</x:v>
      </x:c>
      <x:c r="Q160" s="16" t="n">
        <x:v>2.15</x:v>
      </x:c>
      <x:c r="R160" s="16" t="n">
        <x:v>2.15</x:v>
      </x:c>
      <x:c r="S160" s="16" t="n">
        <x:f>IF(AND(ISNUMBER(Q160),ISNUMBER(R160)),AVERAGE(Q160:R160),K160)</x:f>
        <x:v>2.15</x:v>
      </x:c>
      <x:c r="T160" s="14" t="str"/>
      <x:c r="U160" s="18" t="n">
        <x:v>621</x:v>
      </x:c>
      <x:c r="V160" s="14" t="str">
        <x:v>Uploaded Pokémon chat JSON / prior card-by-card research</x:v>
      </x:c>
      <x:c r="W160" s="14" t="str"/>
    </x:row>
    <x:row r="161">
      <x:c r="A161" s="18" t="n">
        <x:v>160</x:v>
      </x:c>
      <x:c r="B161" s="14" t="str">
        <x:v>Dragon / Dragon Vault</x:v>
      </x:c>
      <x:c r="C161" s="14" t="str">
        <x:v>Bagon</x:v>
      </x:c>
      <x:c r="D161" s="14" t="str">
        <x:v>6/20</x:v>
      </x:c>
      <x:c r="E161" s="14" t="str">
        <x:v>Dragon Vault</x:v>
      </x:c>
      <x:c r="F161" s="18" t="n">
        <x:v>2012</x:v>
      </x:c>
      <x:c r="G161" s="14" t="str">
        <x:v>Holo</x:v>
      </x:c>
      <x:c r="H161" s="14" t="str">
        <x:v>6 of 6</x:v>
      </x:c>
      <x:c r="I161" s="16" t="n">
        <x:v>2.15</x:v>
      </x:c>
      <x:c r="J161" s="16" t="n">
        <x:v>2.15</x:v>
      </x:c>
      <x:c r="K161" s="16" t="n">
        <x:f>IF(AND(ISNUMBER(I161),ISNUMBER(J161)),AVERAGE(I161:J161),"")</x:f>
        <x:v>2.15</x:v>
      </x:c>
      <x:c r="L161" s="14" t="str">
        <x:v>$1–5</x:v>
      </x:c>
      <x:c r="M161" s="14" t="str">
        <x:v>Yes</x:v>
      </x:c>
      <x:c r="N161" s="14" t="str">
        <x:v>No</x:v>
      </x:c>
      <x:c r="O161" s="14" t="str">
        <x:v>Yes</x:v>
      </x:c>
      <x:c r="P161" s="14" t="str">
        <x:v>Clean/NM benchmark unless noted</x:v>
      </x:c>
      <x:c r="Q161" s="16" t="n">
        <x:v>2.15</x:v>
      </x:c>
      <x:c r="R161" s="16" t="n">
        <x:v>2.15</x:v>
      </x:c>
      <x:c r="S161" s="16" t="n">
        <x:f>IF(AND(ISNUMBER(Q161),ISNUMBER(R161)),AVERAGE(Q161:R161),K161)</x:f>
        <x:v>2.15</x:v>
      </x:c>
      <x:c r="T161" s="14" t="str"/>
      <x:c r="U161" s="18" t="n">
        <x:v>621</x:v>
      </x:c>
      <x:c r="V161" s="14" t="str">
        <x:v>Uploaded Pokémon chat JSON / prior card-by-card research</x:v>
      </x:c>
      <x:c r="W161" s="14" t="str"/>
    </x:row>
    <x:row r="162">
      <x:c r="A162" s="18" t="n">
        <x:v>161</x:v>
      </x:c>
      <x:c r="B162" s="14" t="str">
        <x:v>Dragon / Dragon Vault</x:v>
      </x:c>
      <x:c r="C162" s="14" t="str">
        <x:v>Shelgon</x:v>
      </x:c>
      <x:c r="D162" s="14" t="str">
        <x:v>7/20</x:v>
      </x:c>
      <x:c r="E162" s="14" t="str">
        <x:v>Dragon Vault</x:v>
      </x:c>
      <x:c r="F162" s="18" t="n">
        <x:v>2012</x:v>
      </x:c>
      <x:c r="G162" s="14" t="str">
        <x:v>Holo</x:v>
      </x:c>
      <x:c r="H162" s="14" t="str">
        <x:v>1 of 3</x:v>
      </x:c>
      <x:c r="I162" s="16" t="n">
        <x:v>1.8</x:v>
      </x:c>
      <x:c r="J162" s="16" t="n">
        <x:v>1.81</x:v>
      </x:c>
      <x:c r="K162" s="16" t="n">
        <x:f>IF(AND(ISNUMBER(I162),ISNUMBER(J162)),AVERAGE(I162:J162),"")</x:f>
        <x:v>1.8050000000000002</x:v>
      </x:c>
      <x:c r="L162" s="14" t="str">
        <x:v>$1–5</x:v>
      </x:c>
      <x:c r="M162" s="14" t="str">
        <x:v>Yes</x:v>
      </x:c>
      <x:c r="N162" s="14" t="str">
        <x:v>No</x:v>
      </x:c>
      <x:c r="O162" s="14" t="str">
        <x:v>Yes</x:v>
      </x:c>
      <x:c r="P162" s="14" t="str">
        <x:v>Clean/NM benchmark unless noted</x:v>
      </x:c>
      <x:c r="Q162" s="16" t="n">
        <x:v>1.8</x:v>
      </x:c>
      <x:c r="R162" s="16" t="n">
        <x:v>1.81</x:v>
      </x:c>
      <x:c r="S162" s="16" t="n">
        <x:f>IF(AND(ISNUMBER(Q162),ISNUMBER(R162)),AVERAGE(Q162:R162),K162)</x:f>
        <x:v>1.8050000000000002</x:v>
      </x:c>
      <x:c r="T162" s="14" t="str"/>
      <x:c r="U162" s="18" t="n">
        <x:v>627</x:v>
      </x:c>
      <x:c r="V162" s="14" t="str">
        <x:v>Uploaded Pokémon chat JSON / prior card-by-card research</x:v>
      </x:c>
      <x:c r="W162" s="14" t="str"/>
    </x:row>
    <x:row r="163">
      <x:c r="A163" s="18" t="n">
        <x:v>162</x:v>
      </x:c>
      <x:c r="B163" s="14" t="str">
        <x:v>Dragon / Dragon Vault</x:v>
      </x:c>
      <x:c r="C163" s="14" t="str">
        <x:v>Shelgon</x:v>
      </x:c>
      <x:c r="D163" s="14" t="str">
        <x:v>7/20</x:v>
      </x:c>
      <x:c r="E163" s="14" t="str">
        <x:v>Dragon Vault</x:v>
      </x:c>
      <x:c r="F163" s="18" t="n">
        <x:v>2012</x:v>
      </x:c>
      <x:c r="G163" s="14" t="str">
        <x:v>Holo</x:v>
      </x:c>
      <x:c r="H163" s="14" t="str">
        <x:v>2 of 3</x:v>
      </x:c>
      <x:c r="I163" s="16" t="n">
        <x:v>1.8</x:v>
      </x:c>
      <x:c r="J163" s="16" t="n">
        <x:v>1.81</x:v>
      </x:c>
      <x:c r="K163" s="16" t="n">
        <x:f>IF(AND(ISNUMBER(I163),ISNUMBER(J163)),AVERAGE(I163:J163),"")</x:f>
        <x:v>1.8050000000000002</x:v>
      </x:c>
      <x:c r="L163" s="14" t="str">
        <x:v>$1–5</x:v>
      </x:c>
      <x:c r="M163" s="14" t="str">
        <x:v>Yes</x:v>
      </x:c>
      <x:c r="N163" s="14" t="str">
        <x:v>No</x:v>
      </x:c>
      <x:c r="O163" s="14" t="str">
        <x:v>Yes</x:v>
      </x:c>
      <x:c r="P163" s="14" t="str">
        <x:v>Clean/NM benchmark unless noted</x:v>
      </x:c>
      <x:c r="Q163" s="16" t="n">
        <x:v>1.8</x:v>
      </x:c>
      <x:c r="R163" s="16" t="n">
        <x:v>1.81</x:v>
      </x:c>
      <x:c r="S163" s="16" t="n">
        <x:f>IF(AND(ISNUMBER(Q163),ISNUMBER(R163)),AVERAGE(Q163:R163),K163)</x:f>
        <x:v>1.8050000000000002</x:v>
      </x:c>
      <x:c r="T163" s="14" t="str"/>
      <x:c r="U163" s="18" t="n">
        <x:v>627</x:v>
      </x:c>
      <x:c r="V163" s="14" t="str">
        <x:v>Uploaded Pokémon chat JSON / prior card-by-card research</x:v>
      </x:c>
      <x:c r="W163" s="14" t="str"/>
    </x:row>
    <x:row r="164">
      <x:c r="A164" s="18" t="n">
        <x:v>163</x:v>
      </x:c>
      <x:c r="B164" s="14" t="str">
        <x:v>Dragon / Dragon Vault</x:v>
      </x:c>
      <x:c r="C164" s="14" t="str">
        <x:v>Shelgon</x:v>
      </x:c>
      <x:c r="D164" s="14" t="str">
        <x:v>7/20</x:v>
      </x:c>
      <x:c r="E164" s="14" t="str">
        <x:v>Dragon Vault</x:v>
      </x:c>
      <x:c r="F164" s="18" t="n">
        <x:v>2012</x:v>
      </x:c>
      <x:c r="G164" s="14" t="str">
        <x:v>Holo</x:v>
      </x:c>
      <x:c r="H164" s="14" t="str">
        <x:v>3 of 3</x:v>
      </x:c>
      <x:c r="I164" s="16" t="n">
        <x:v>1.8</x:v>
      </x:c>
      <x:c r="J164" s="16" t="n">
        <x:v>1.81</x:v>
      </x:c>
      <x:c r="K164" s="16" t="n">
        <x:f>IF(AND(ISNUMBER(I164),ISNUMBER(J164)),AVERAGE(I164:J164),"")</x:f>
        <x:v>1.8050000000000002</x:v>
      </x:c>
      <x:c r="L164" s="14" t="str">
        <x:v>$1–5</x:v>
      </x:c>
      <x:c r="M164" s="14" t="str">
        <x:v>Yes</x:v>
      </x:c>
      <x:c r="N164" s="14" t="str">
        <x:v>No</x:v>
      </x:c>
      <x:c r="O164" s="14" t="str">
        <x:v>Yes</x:v>
      </x:c>
      <x:c r="P164" s="14" t="str">
        <x:v>Clean/NM benchmark unless noted</x:v>
      </x:c>
      <x:c r="Q164" s="16" t="n">
        <x:v>1.8</x:v>
      </x:c>
      <x:c r="R164" s="16" t="n">
        <x:v>1.81</x:v>
      </x:c>
      <x:c r="S164" s="16" t="n">
        <x:f>IF(AND(ISNUMBER(Q164),ISNUMBER(R164)),AVERAGE(Q164:R164),K164)</x:f>
        <x:v>1.8050000000000002</x:v>
      </x:c>
      <x:c r="T164" s="14" t="str"/>
      <x:c r="U164" s="18" t="n">
        <x:v>627</x:v>
      </x:c>
      <x:c r="V164" s="14" t="str">
        <x:v>Uploaded Pokémon chat JSON / prior card-by-card research</x:v>
      </x:c>
      <x:c r="W164" s="14" t="str"/>
    </x:row>
    <x:row r="165">
      <x:c r="A165" s="18" t="n">
        <x:v>164</x:v>
      </x:c>
      <x:c r="B165" s="14" t="str">
        <x:v>Dragon / Dragon Vault</x:v>
      </x:c>
      <x:c r="C165" s="14" t="str">
        <x:v>Dratini</x:v>
      </x:c>
      <x:c r="D165" s="14" t="str">
        <x:v>2/20</x:v>
      </x:c>
      <x:c r="E165" s="14" t="str">
        <x:v>Dragon Vault</x:v>
      </x:c>
      <x:c r="F165" s="18" t="n">
        <x:v>2012</x:v>
      </x:c>
      <x:c r="G165" s="14" t="str">
        <x:v>Holo</x:v>
      </x:c>
      <x:c r="H165" s="14" t="str">
        <x:v>1 of 6</x:v>
      </x:c>
      <x:c r="I165" s="16" t="n">
        <x:v>14</x:v>
      </x:c>
      <x:c r="J165" s="16" t="n">
        <x:v>15</x:v>
      </x:c>
      <x:c r="K165" s="16" t="n">
        <x:f>IF(AND(ISNUMBER(I165),ISNUMBER(J165)),AVERAGE(I165:J165),"")</x:f>
        <x:v>14.5</x:v>
      </x:c>
      <x:c r="L165" s="14" t="str">
        <x:v>$5–20</x:v>
      </x:c>
      <x:c r="M165" s="14" t="str">
        <x:v>Yes</x:v>
      </x:c>
      <x:c r="N165" s="14" t="str">
        <x:v>Yes</x:v>
      </x:c>
      <x:c r="O165" s="14" t="str">
        <x:v>Yes</x:v>
      </x:c>
      <x:c r="P165" s="14" t="str">
        <x:v>Manual pre-grade: PSA 9 most likely</x:v>
      </x:c>
      <x:c r="Q165" s="16" t="n">
        <x:v>14</x:v>
      </x:c>
      <x:c r="R165" s="16" t="n">
        <x:v>15</x:v>
      </x:c>
      <x:c r="S165" s="16" t="n">
        <x:f>IF(AND(ISNUMBER(Q165),ISNUMBER(R165)),AVERAGE(Q165:R165),K165)</x:f>
        <x:v>14.5</x:v>
      </x:c>
      <x:c r="T165" s="14" t="str">
        <x:v>Manual grading session 2026-08-17 — Dratini session #1. Centering 9 (57/43 L-R, 54/46 T-B); corners 9; edges 8–9; surface 9–10. Overall odds: PSA 8 ~35%, PSA 9 ~64%, PSA 10 ~1%. Conditional grade / cheap tier.</x:v>
      </x:c>
      <x:c r="U165" s="18" t="n">
        <x:v>640</x:v>
      </x:c>
      <x:c r="V165" s="14" t="str">
        <x:v>Uploaded Pokémon chat JSON / prior card-by-card research</x:v>
      </x:c>
      <x:c r="W165" s="14" t="str"/>
    </x:row>
    <x:row r="166">
      <x:c r="A166" s="18" t="n">
        <x:v>165</x:v>
      </x:c>
      <x:c r="B166" s="14" t="str">
        <x:v>Dragon / Dragon Vault</x:v>
      </x:c>
      <x:c r="C166" s="14" t="str">
        <x:v>Dratini</x:v>
      </x:c>
      <x:c r="D166" s="14" t="str">
        <x:v>2/20</x:v>
      </x:c>
      <x:c r="E166" s="14" t="str">
        <x:v>Dragon Vault</x:v>
      </x:c>
      <x:c r="F166" s="18" t="n">
        <x:v>2012</x:v>
      </x:c>
      <x:c r="G166" s="14" t="str">
        <x:v>Holo</x:v>
      </x:c>
      <x:c r="H166" s="14" t="str">
        <x:v>2 of 6</x:v>
      </x:c>
      <x:c r="I166" s="16" t="n">
        <x:v>14</x:v>
      </x:c>
      <x:c r="J166" s="16" t="n">
        <x:v>15</x:v>
      </x:c>
      <x:c r="K166" s="16" t="n">
        <x:f>IF(AND(ISNUMBER(I166),ISNUMBER(J166)),AVERAGE(I166:J166),"")</x:f>
        <x:v>14.5</x:v>
      </x:c>
      <x:c r="L166" s="14" t="str">
        <x:v>$5–20</x:v>
      </x:c>
      <x:c r="M166" s="14" t="str">
        <x:v>Yes</x:v>
      </x:c>
      <x:c r="N166" s="14" t="str">
        <x:v>Yes</x:v>
      </x:c>
      <x:c r="O166" s="14" t="str">
        <x:v>Yes</x:v>
      </x:c>
      <x:c r="P166" s="14" t="str">
        <x:v>Manual pre-grade: PSA 8 most likely</x:v>
      </x:c>
      <x:c r="Q166" s="16" t="n">
        <x:v>14</x:v>
      </x:c>
      <x:c r="R166" s="16" t="n">
        <x:v>15</x:v>
      </x:c>
      <x:c r="S166" s="16" t="n">
        <x:f>IF(AND(ISNUMBER(Q166),ISNUMBER(R166)),AVERAGE(Q166:R166),K166)</x:f>
        <x:v>14.5</x:v>
      </x:c>
      <x:c r="T166" s="14" t="str">
        <x:v>Manual grading session 2026-08-17 — Dratini session #2. Visible reverse bottom-right corner chip/whitening. Centering 9–10 (not app-measured); corners 8; edges 8–9; surface 9–10. Overall odds: PSA 7 ~5%, PSA 8 ~52%, PSA 9 ~41%, PSA 10 ~2%. Hold raw / borderline.</x:v>
      </x:c>
      <x:c r="U166" s="18" t="n">
        <x:v>640</x:v>
      </x:c>
      <x:c r="V166" s="14" t="str">
        <x:v>Uploaded Pokémon chat JSON / prior card-by-card research</x:v>
      </x:c>
      <x:c r="W166" s="14" t="str"/>
    </x:row>
    <x:row r="167">
      <x:c r="A167" s="18" t="n">
        <x:v>166</x:v>
      </x:c>
      <x:c r="B167" s="14" t="str">
        <x:v>Dragon / Dragon Vault</x:v>
      </x:c>
      <x:c r="C167" s="14" t="str">
        <x:v>Dratini</x:v>
      </x:c>
      <x:c r="D167" s="14" t="str">
        <x:v>2/20</x:v>
      </x:c>
      <x:c r="E167" s="14" t="str">
        <x:v>Dragon Vault</x:v>
      </x:c>
      <x:c r="F167" s="18" t="n">
        <x:v>2012</x:v>
      </x:c>
      <x:c r="G167" s="14" t="str">
        <x:v>Holo</x:v>
      </x:c>
      <x:c r="H167" s="14" t="str">
        <x:v>3 of 6</x:v>
      </x:c>
      <x:c r="I167" s="16" t="n">
        <x:v>14</x:v>
      </x:c>
      <x:c r="J167" s="16" t="n">
        <x:v>15</x:v>
      </x:c>
      <x:c r="K167" s="16" t="n">
        <x:f>IF(AND(ISNUMBER(I167),ISNUMBER(J167)),AVERAGE(I167:J167),"")</x:f>
        <x:v>14.5</x:v>
      </x:c>
      <x:c r="L167" s="14" t="str">
        <x:v>$5–20</x:v>
      </x:c>
      <x:c r="M167" s="14" t="str">
        <x:v>Yes</x:v>
      </x:c>
      <x:c r="N167" s="14" t="str">
        <x:v>Yes</x:v>
      </x:c>
      <x:c r="O167" s="14" t="str">
        <x:v>Yes</x:v>
      </x:c>
      <x:c r="P167" s="14" t="str">
        <x:v>Manual pre-grade: PSA 9 most likely</x:v>
      </x:c>
      <x:c r="Q167" s="16" t="n">
        <x:v>14</x:v>
      </x:c>
      <x:c r="R167" s="16" t="n">
        <x:v>15</x:v>
      </x:c>
      <x:c r="S167" s="16" t="n">
        <x:f>IF(AND(ISNUMBER(Q167),ISNUMBER(R167)),AVERAGE(Q167:R167),K167)</x:f>
        <x:v>14.5</x:v>
      </x:c>
      <x:c r="T167" s="14" t="str">
        <x:v>Manual grading session 2026-08-17 — Dratini session #3. Centering app 50/50 L-R, 40/60 T-B =&gt; centering 9; corners 9–10; edges 9–10; surface 9–10. Overall odds: PSA 8 ~18%, PSA 9 ~77%, PSA 10 ~5%. Grade candidate at cheap tier.</x:v>
      </x:c>
      <x:c r="U167" s="18" t="n">
        <x:v>640</x:v>
      </x:c>
      <x:c r="V167" s="14" t="str">
        <x:v>Uploaded Pokémon chat JSON / prior card-by-card research</x:v>
      </x:c>
      <x:c r="W167" s="14" t="str"/>
    </x:row>
    <x:row r="168">
      <x:c r="A168" s="18" t="n">
        <x:v>167</x:v>
      </x:c>
      <x:c r="B168" s="14" t="str">
        <x:v>Dragon / Dragon Vault</x:v>
      </x:c>
      <x:c r="C168" s="14" t="str">
        <x:v>Dratini</x:v>
      </x:c>
      <x:c r="D168" s="14" t="str">
        <x:v>2/20</x:v>
      </x:c>
      <x:c r="E168" s="14" t="str">
        <x:v>Dragon Vault</x:v>
      </x:c>
      <x:c r="F168" s="18" t="n">
        <x:v>2012</x:v>
      </x:c>
      <x:c r="G168" s="14" t="str">
        <x:v>Holo</x:v>
      </x:c>
      <x:c r="H168" s="14" t="str">
        <x:v>4 of 6</x:v>
      </x:c>
      <x:c r="I168" s="16" t="n">
        <x:v>14</x:v>
      </x:c>
      <x:c r="J168" s="16" t="n">
        <x:v>15</x:v>
      </x:c>
      <x:c r="K168" s="16" t="n">
        <x:f>IF(AND(ISNUMBER(I168),ISNUMBER(J168)),AVERAGE(I168:J168),"")</x:f>
        <x:v>14.5</x:v>
      </x:c>
      <x:c r="L168" s="14" t="str">
        <x:v>$5–20</x:v>
      </x:c>
      <x:c r="M168" s="14" t="str">
        <x:v>Yes</x:v>
      </x:c>
      <x:c r="N168" s="14" t="str">
        <x:v>Yes</x:v>
      </x:c>
      <x:c r="O168" s="14" t="str">
        <x:v>Yes</x:v>
      </x:c>
      <x:c r="P168" s="14" t="str">
        <x:v>Manual pre-grade: PSA 9 most likely</x:v>
      </x:c>
      <x:c r="Q168" s="16" t="n">
        <x:v>14</x:v>
      </x:c>
      <x:c r="R168" s="16" t="n">
        <x:v>15</x:v>
      </x:c>
      <x:c r="S168" s="16" t="n">
        <x:f>IF(AND(ISNUMBER(Q168),ISNUMBER(R168)),AVERAGE(Q168:R168),K168)</x:f>
        <x:v>14.5</x:v>
      </x:c>
      <x:c r="T168" s="14" t="str">
        <x:v>Manual grading session 2026-08-17 — Dratini session #4. Centering app 49/51 L-R, 45/55 T-B =&gt; centering 10. Small nicks at both reverse top corners =&gt; corners 8–9; edges 9; surface 9–10. Overall odds: PSA 8 ~25%, PSA 9 ~73%, PSA 10 ~2%. Strongest Dratini in session.</x:v>
      </x:c>
      <x:c r="U168" s="18" t="n">
        <x:v>640</x:v>
      </x:c>
      <x:c r="V168" s="14" t="str">
        <x:v>Uploaded Pokémon chat JSON / prior card-by-card research</x:v>
      </x:c>
      <x:c r="W168" s="14" t="str"/>
    </x:row>
    <x:row r="169">
      <x:c r="A169" s="18" t="n">
        <x:v>168</x:v>
      </x:c>
      <x:c r="B169" s="14" t="str">
        <x:v>Dragon / Dragon Vault</x:v>
      </x:c>
      <x:c r="C169" s="14" t="str">
        <x:v>Dratini</x:v>
      </x:c>
      <x:c r="D169" s="14" t="str">
        <x:v>2/20</x:v>
      </x:c>
      <x:c r="E169" s="14" t="str">
        <x:v>Dragon Vault</x:v>
      </x:c>
      <x:c r="F169" s="18" t="n">
        <x:v>2012</x:v>
      </x:c>
      <x:c r="G169" s="14" t="str">
        <x:v>Holo</x:v>
      </x:c>
      <x:c r="H169" s="14" t="str">
        <x:v>5 of 6</x:v>
      </x:c>
      <x:c r="I169" s="16" t="n">
        <x:v>14</x:v>
      </x:c>
      <x:c r="J169" s="16" t="n">
        <x:v>15</x:v>
      </x:c>
      <x:c r="K169" s="16" t="n">
        <x:f>IF(AND(ISNUMBER(I169),ISNUMBER(J169)),AVERAGE(I169:J169),"")</x:f>
        <x:v>14.5</x:v>
      </x:c>
      <x:c r="L169" s="14" t="str">
        <x:v>$5–20</x:v>
      </x:c>
      <x:c r="M169" s="14" t="str">
        <x:v>Yes</x:v>
      </x:c>
      <x:c r="N169" s="14" t="str">
        <x:v>Yes</x:v>
      </x:c>
      <x:c r="O169" s="14" t="str">
        <x:v>Yes</x:v>
      </x:c>
      <x:c r="P169" s="14" t="str">
        <x:v>Do not grade: front surface scrape</x:v>
      </x:c>
      <x:c r="Q169" s="16" t="n">
        <x:v>14</x:v>
      </x:c>
      <x:c r="R169" s="16" t="n">
        <x:v>15</x:v>
      </x:c>
      <x:c r="S169" s="16" t="n">
        <x:f>IF(AND(ISNUMBER(Q169),ISNUMBER(R169)),AVERAGE(Q169:R169),K169)</x:f>
        <x:v>14.5</x:v>
      </x:c>
      <x:c r="T169" s="14" t="str">
        <x:v>Manual grading session 2026-08-17 — Dratini session #5. Visible scrape across the front surface was a submission stopper; full criteria/odds were not completed. Do not grade. Collection copy 6 of 6 remains uninspected.</x:v>
      </x:c>
      <x:c r="U169" s="18" t="n">
        <x:v>640</x:v>
      </x:c>
      <x:c r="V169" s="14" t="str">
        <x:v>Uploaded Pokémon chat JSON / prior card-by-card research</x:v>
      </x:c>
      <x:c r="W169" s="14" t="str"/>
    </x:row>
    <x:row r="170">
      <x:c r="A170" s="18" t="n">
        <x:v>169</x:v>
      </x:c>
      <x:c r="B170" s="14" t="str">
        <x:v>Dragon / Dragon Vault</x:v>
      </x:c>
      <x:c r="C170" s="14" t="str">
        <x:v>Dratini</x:v>
      </x:c>
      <x:c r="D170" s="14" t="str">
        <x:v>2/20</x:v>
      </x:c>
      <x:c r="E170" s="14" t="str">
        <x:v>Dragon Vault</x:v>
      </x:c>
      <x:c r="F170" s="18" t="n">
        <x:v>2012</x:v>
      </x:c>
      <x:c r="G170" s="14" t="str">
        <x:v>Holo</x:v>
      </x:c>
      <x:c r="H170" s="14" t="str">
        <x:v>6 of 6</x:v>
      </x:c>
      <x:c r="I170" s="16" t="n">
        <x:v>14</x:v>
      </x:c>
      <x:c r="J170" s="16" t="n">
        <x:v>15</x:v>
      </x:c>
      <x:c r="K170" s="16" t="n">
        <x:f>IF(AND(ISNUMBER(I170),ISNUMBER(J170)),AVERAGE(I170:J170),"")</x:f>
        <x:v>14.5</x:v>
      </x:c>
      <x:c r="L170" s="14" t="str">
        <x:v>$5–20</x:v>
      </x:c>
      <x:c r="M170" s="14" t="str">
        <x:v>Yes</x:v>
      </x:c>
      <x:c r="N170" s="14" t="str">
        <x:v>Yes</x:v>
      </x:c>
      <x:c r="O170" s="14" t="str">
        <x:v>Yes</x:v>
      </x:c>
      <x:c r="P170" s="14" t="str">
        <x:v>Clean/NM benchmark unless noted</x:v>
      </x:c>
      <x:c r="Q170" s="16" t="n">
        <x:v>14</x:v>
      </x:c>
      <x:c r="R170" s="16" t="n">
        <x:v>15</x:v>
      </x:c>
      <x:c r="S170" s="16" t="n">
        <x:f>IF(AND(ISNUMBER(Q170),ISNUMBER(R170)),AVERAGE(Q170:R170),K170)</x:f>
        <x:v>14.5</x:v>
      </x:c>
      <x:c r="T170" s="14" t="str"/>
      <x:c r="U170" s="18" t="n">
        <x:v>640</x:v>
      </x:c>
      <x:c r="V170" s="14" t="str">
        <x:v>Uploaded Pokémon chat JSON / prior card-by-card research</x:v>
      </x:c>
      <x:c r="W170" s="14" t="str"/>
    </x:row>
    <x:row r="171">
      <x:c r="A171" s="18" t="n">
        <x:v>170</x:v>
      </x:c>
      <x:c r="B171" s="14" t="str">
        <x:v>Dragon / Dragon Vault</x:v>
      </x:c>
      <x:c r="C171" s="14" t="str">
        <x:v>Dratini</x:v>
      </x:c>
      <x:c r="D171" s="14" t="str">
        <x:v>1/20</x:v>
      </x:c>
      <x:c r="E171" s="14" t="str">
        <x:v>Dragon Vault</x:v>
      </x:c>
      <x:c r="F171" s="18" t="n">
        <x:v>2012</x:v>
      </x:c>
      <x:c r="G171" s="14" t="str">
        <x:v>Holo</x:v>
      </x:c>
      <x:c r="H171" s="14" t="str">
        <x:v>1 of 5</x:v>
      </x:c>
      <x:c r="I171" s="16" t="n">
        <x:v>4.25</x:v>
      </x:c>
      <x:c r="J171" s="16" t="n">
        <x:v>4.5</x:v>
      </x:c>
      <x:c r="K171" s="16" t="n">
        <x:f>IF(AND(ISNUMBER(I171),ISNUMBER(J171)),AVERAGE(I171:J171),"")</x:f>
        <x:v>4.375</x:v>
      </x:c>
      <x:c r="L171" s="14" t="str">
        <x:v>$1–5</x:v>
      </x:c>
      <x:c r="M171" s="14" t="str">
        <x:v>Yes</x:v>
      </x:c>
      <x:c r="N171" s="14" t="str">
        <x:v>No</x:v>
      </x:c>
      <x:c r="O171" s="14" t="str">
        <x:v>Yes</x:v>
      </x:c>
      <x:c r="P171" s="14" t="str">
        <x:v>Clean/NM benchmark unless noted</x:v>
      </x:c>
      <x:c r="Q171" s="16" t="n">
        <x:v>4.25</x:v>
      </x:c>
      <x:c r="R171" s="16" t="n">
        <x:v>4.5</x:v>
      </x:c>
      <x:c r="S171" s="16" t="n">
        <x:f>IF(AND(ISNUMBER(Q171),ISNUMBER(R171)),AVERAGE(Q171:R171),K171)</x:f>
        <x:v>4.375</x:v>
      </x:c>
      <x:c r="T171" s="14" t="str"/>
      <x:c r="U171" s="18" t="n">
        <x:v>646</x:v>
      </x:c>
      <x:c r="V171" s="14" t="str">
        <x:v>Uploaded Pokémon chat JSON / prior card-by-card research</x:v>
      </x:c>
      <x:c r="W171" s="14" t="str"/>
    </x:row>
    <x:row r="172">
      <x:c r="A172" s="18" t="n">
        <x:v>171</x:v>
      </x:c>
      <x:c r="B172" s="14" t="str">
        <x:v>Dragon / Dragon Vault</x:v>
      </x:c>
      <x:c r="C172" s="14" t="str">
        <x:v>Dratini</x:v>
      </x:c>
      <x:c r="D172" s="14" t="str">
        <x:v>1/20</x:v>
      </x:c>
      <x:c r="E172" s="14" t="str">
        <x:v>Dragon Vault</x:v>
      </x:c>
      <x:c r="F172" s="18" t="n">
        <x:v>2012</x:v>
      </x:c>
      <x:c r="G172" s="14" t="str">
        <x:v>Holo</x:v>
      </x:c>
      <x:c r="H172" s="14" t="str">
        <x:v>2 of 5</x:v>
      </x:c>
      <x:c r="I172" s="16" t="n">
        <x:v>4.25</x:v>
      </x:c>
      <x:c r="J172" s="16" t="n">
        <x:v>4.5</x:v>
      </x:c>
      <x:c r="K172" s="16" t="n">
        <x:f>IF(AND(ISNUMBER(I172),ISNUMBER(J172)),AVERAGE(I172:J172),"")</x:f>
        <x:v>4.375</x:v>
      </x:c>
      <x:c r="L172" s="14" t="str">
        <x:v>$1–5</x:v>
      </x:c>
      <x:c r="M172" s="14" t="str">
        <x:v>Yes</x:v>
      </x:c>
      <x:c r="N172" s="14" t="str">
        <x:v>No</x:v>
      </x:c>
      <x:c r="O172" s="14" t="str">
        <x:v>Yes</x:v>
      </x:c>
      <x:c r="P172" s="14" t="str">
        <x:v>Clean/NM benchmark unless noted</x:v>
      </x:c>
      <x:c r="Q172" s="16" t="n">
        <x:v>4.25</x:v>
      </x:c>
      <x:c r="R172" s="16" t="n">
        <x:v>4.5</x:v>
      </x:c>
      <x:c r="S172" s="16" t="n">
        <x:f>IF(AND(ISNUMBER(Q172),ISNUMBER(R172)),AVERAGE(Q172:R172),K172)</x:f>
        <x:v>4.375</x:v>
      </x:c>
      <x:c r="T172" s="14" t="str"/>
      <x:c r="U172" s="18" t="n">
        <x:v>646</x:v>
      </x:c>
      <x:c r="V172" s="14" t="str">
        <x:v>Uploaded Pokémon chat JSON / prior card-by-card research</x:v>
      </x:c>
      <x:c r="W172" s="14" t="str"/>
    </x:row>
    <x:row r="173">
      <x:c r="A173" s="18" t="n">
        <x:v>172</x:v>
      </x:c>
      <x:c r="B173" s="14" t="str">
        <x:v>Dragon / Dragon Vault</x:v>
      </x:c>
      <x:c r="C173" s="14" t="str">
        <x:v>Dratini</x:v>
      </x:c>
      <x:c r="D173" s="14" t="str">
        <x:v>1/20</x:v>
      </x:c>
      <x:c r="E173" s="14" t="str">
        <x:v>Dragon Vault</x:v>
      </x:c>
      <x:c r="F173" s="18" t="n">
        <x:v>2012</x:v>
      </x:c>
      <x:c r="G173" s="14" t="str">
        <x:v>Holo</x:v>
      </x:c>
      <x:c r="H173" s="14" t="str">
        <x:v>3 of 5</x:v>
      </x:c>
      <x:c r="I173" s="16" t="n">
        <x:v>4.25</x:v>
      </x:c>
      <x:c r="J173" s="16" t="n">
        <x:v>4.5</x:v>
      </x:c>
      <x:c r="K173" s="16" t="n">
        <x:f>IF(AND(ISNUMBER(I173),ISNUMBER(J173)),AVERAGE(I173:J173),"")</x:f>
        <x:v>4.375</x:v>
      </x:c>
      <x:c r="L173" s="14" t="str">
        <x:v>$1–5</x:v>
      </x:c>
      <x:c r="M173" s="14" t="str">
        <x:v>Yes</x:v>
      </x:c>
      <x:c r="N173" s="14" t="str">
        <x:v>No</x:v>
      </x:c>
      <x:c r="O173" s="14" t="str">
        <x:v>Yes</x:v>
      </x:c>
      <x:c r="P173" s="14" t="str">
        <x:v>Clean/NM benchmark unless noted</x:v>
      </x:c>
      <x:c r="Q173" s="16" t="n">
        <x:v>4.25</x:v>
      </x:c>
      <x:c r="R173" s="16" t="n">
        <x:v>4.5</x:v>
      </x:c>
      <x:c r="S173" s="16" t="n">
        <x:f>IF(AND(ISNUMBER(Q173),ISNUMBER(R173)),AVERAGE(Q173:R173),K173)</x:f>
        <x:v>4.375</x:v>
      </x:c>
      <x:c r="T173" s="14" t="str"/>
      <x:c r="U173" s="18" t="n">
        <x:v>646</x:v>
      </x:c>
      <x:c r="V173" s="14" t="str">
        <x:v>Uploaded Pokémon chat JSON / prior card-by-card research</x:v>
      </x:c>
      <x:c r="W173" s="14" t="str"/>
    </x:row>
    <x:row r="174">
      <x:c r="A174" s="18" t="n">
        <x:v>173</x:v>
      </x:c>
      <x:c r="B174" s="14" t="str">
        <x:v>Dragon / Dragon Vault</x:v>
      </x:c>
      <x:c r="C174" s="14" t="str">
        <x:v>Dratini</x:v>
      </x:c>
      <x:c r="D174" s="14" t="str">
        <x:v>1/20</x:v>
      </x:c>
      <x:c r="E174" s="14" t="str">
        <x:v>Dragon Vault</x:v>
      </x:c>
      <x:c r="F174" s="18" t="n">
        <x:v>2012</x:v>
      </x:c>
      <x:c r="G174" s="14" t="str">
        <x:v>Holo</x:v>
      </x:c>
      <x:c r="H174" s="14" t="str">
        <x:v>4 of 5</x:v>
      </x:c>
      <x:c r="I174" s="16" t="n">
        <x:v>4.25</x:v>
      </x:c>
      <x:c r="J174" s="16" t="n">
        <x:v>4.5</x:v>
      </x:c>
      <x:c r="K174" s="16" t="n">
        <x:f>IF(AND(ISNUMBER(I174),ISNUMBER(J174)),AVERAGE(I174:J174),"")</x:f>
        <x:v>4.375</x:v>
      </x:c>
      <x:c r="L174" s="14" t="str">
        <x:v>$1–5</x:v>
      </x:c>
      <x:c r="M174" s="14" t="str">
        <x:v>Yes</x:v>
      </x:c>
      <x:c r="N174" s="14" t="str">
        <x:v>No</x:v>
      </x:c>
      <x:c r="O174" s="14" t="str">
        <x:v>Yes</x:v>
      </x:c>
      <x:c r="P174" s="14" t="str">
        <x:v>Clean/NM benchmark unless noted</x:v>
      </x:c>
      <x:c r="Q174" s="16" t="n">
        <x:v>4.25</x:v>
      </x:c>
      <x:c r="R174" s="16" t="n">
        <x:v>4.5</x:v>
      </x:c>
      <x:c r="S174" s="16" t="n">
        <x:f>IF(AND(ISNUMBER(Q174),ISNUMBER(R174)),AVERAGE(Q174:R174),K174)</x:f>
        <x:v>4.375</x:v>
      </x:c>
      <x:c r="T174" s="14" t="str"/>
      <x:c r="U174" s="18" t="n">
        <x:v>646</x:v>
      </x:c>
      <x:c r="V174" s="14" t="str">
        <x:v>Uploaded Pokémon chat JSON / prior card-by-card research</x:v>
      </x:c>
      <x:c r="W174" s="14" t="str"/>
    </x:row>
    <x:row r="175">
      <x:c r="A175" s="18" t="n">
        <x:v>174</x:v>
      </x:c>
      <x:c r="B175" s="14" t="str">
        <x:v>Dragon / Dragon Vault</x:v>
      </x:c>
      <x:c r="C175" s="14" t="str">
        <x:v>Dratini</x:v>
      </x:c>
      <x:c r="D175" s="14" t="str">
        <x:v>1/20</x:v>
      </x:c>
      <x:c r="E175" s="14" t="str">
        <x:v>Dragon Vault</x:v>
      </x:c>
      <x:c r="F175" s="18" t="n">
        <x:v>2012</x:v>
      </x:c>
      <x:c r="G175" s="14" t="str">
        <x:v>Holo</x:v>
      </x:c>
      <x:c r="H175" s="14" t="str">
        <x:v>5 of 5</x:v>
      </x:c>
      <x:c r="I175" s="16" t="n">
        <x:v>4.25</x:v>
      </x:c>
      <x:c r="J175" s="16" t="n">
        <x:v>4.5</x:v>
      </x:c>
      <x:c r="K175" s="16" t="n">
        <x:f>IF(AND(ISNUMBER(I175),ISNUMBER(J175)),AVERAGE(I175:J175),"")</x:f>
        <x:v>4.375</x:v>
      </x:c>
      <x:c r="L175" s="14" t="str">
        <x:v>$1–5</x:v>
      </x:c>
      <x:c r="M175" s="14" t="str">
        <x:v>Yes</x:v>
      </x:c>
      <x:c r="N175" s="14" t="str">
        <x:v>No</x:v>
      </x:c>
      <x:c r="O175" s="14" t="str">
        <x:v>Yes</x:v>
      </x:c>
      <x:c r="P175" s="14" t="str">
        <x:v>Clean/NM benchmark unless noted</x:v>
      </x:c>
      <x:c r="Q175" s="16" t="n">
        <x:v>4.25</x:v>
      </x:c>
      <x:c r="R175" s="16" t="n">
        <x:v>4.5</x:v>
      </x:c>
      <x:c r="S175" s="16" t="n">
        <x:f>IF(AND(ISNUMBER(Q175),ISNUMBER(R175)),AVERAGE(Q175:R175),K175)</x:f>
        <x:v>4.375</x:v>
      </x:c>
      <x:c r="T175" s="14" t="str"/>
      <x:c r="U175" s="18" t="n">
        <x:v>646</x:v>
      </x:c>
      <x:c r="V175" s="14" t="str">
        <x:v>Uploaded Pokémon chat JSON / prior card-by-card research</x:v>
      </x:c>
      <x:c r="W175" s="14" t="str"/>
    </x:row>
    <x:row r="176">
      <x:c r="A176" s="18" t="n">
        <x:v>175</x:v>
      </x:c>
      <x:c r="B176" s="14" t="str">
        <x:v>Dragon / Dragon Vault</x:v>
      </x:c>
      <x:c r="C176" s="14" t="str">
        <x:v>Bagon</x:v>
      </x:c>
      <x:c r="D176" s="14" t="str">
        <x:v>62/101</x:v>
      </x:c>
      <x:c r="E176" s="14" t="str">
        <x:v>Plasma Blast</x:v>
      </x:c>
      <x:c r="F176" s="18" t="n">
        <x:v>2013</x:v>
      </x:c>
      <x:c r="G176" s="14" t="str">
        <x:v>Reverse Holo</x:v>
      </x:c>
      <x:c r="H176" s="14" t="str">
        <x:v>1 of 2</x:v>
      </x:c>
      <x:c r="I176" s="16" t="n">
        <x:v>0.8</x:v>
      </x:c>
      <x:c r="J176" s="16" t="n">
        <x:v>1</x:v>
      </x:c>
      <x:c r="K176" s="16" t="n">
        <x:f>IF(AND(ISNUMBER(I176),ISNUMBER(J176)),AVERAGE(I176:J176),"")</x:f>
        <x:v>0.9</x:v>
      </x:c>
      <x:c r="L176" s="14" t="str">
        <x:v>&lt;$1</x:v>
      </x:c>
      <x:c r="M176" s="14" t="str">
        <x:v>Yes</x:v>
      </x:c>
      <x:c r="N176" s="14" t="str">
        <x:v>No</x:v>
      </x:c>
      <x:c r="O176" s="14" t="str">
        <x:v>No</x:v>
      </x:c>
      <x:c r="P176" s="14" t="str">
        <x:v>Clean/NM benchmark unless noted</x:v>
      </x:c>
      <x:c r="Q176" s="16" t="n">
        <x:v>0.8</x:v>
      </x:c>
      <x:c r="R176" s="16" t="n">
        <x:v>1</x:v>
      </x:c>
      <x:c r="S176" s="16" t="n">
        <x:f>IF(AND(ISNUMBER(Q176),ISNUMBER(R176)),AVERAGE(Q176:R176),K176)</x:f>
        <x:v>0.9</x:v>
      </x:c>
      <x:c r="T176" s="14" t="str"/>
      <x:c r="U176" s="18" t="n">
        <x:v>652</x:v>
      </x:c>
      <x:c r="V176" s="14" t="str">
        <x:v>Uploaded Pokémon chat JSON / prior card-by-card research</x:v>
      </x:c>
      <x:c r="W176" s="14" t="str"/>
    </x:row>
    <x:row r="177">
      <x:c r="A177" s="18" t="n">
        <x:v>176</x:v>
      </x:c>
      <x:c r="B177" s="14" t="str">
        <x:v>Dragon / Dragon Vault</x:v>
      </x:c>
      <x:c r="C177" s="14" t="str">
        <x:v>Bagon</x:v>
      </x:c>
      <x:c r="D177" s="14" t="str">
        <x:v>62/101</x:v>
      </x:c>
      <x:c r="E177" s="14" t="str">
        <x:v>Plasma Blast</x:v>
      </x:c>
      <x:c r="F177" s="18" t="n">
        <x:v>2013</x:v>
      </x:c>
      <x:c r="G177" s="14" t="str">
        <x:v>Reverse Holo</x:v>
      </x:c>
      <x:c r="H177" s="14" t="str">
        <x:v>2 of 2</x:v>
      </x:c>
      <x:c r="I177" s="16" t="n">
        <x:v>0.8</x:v>
      </x:c>
      <x:c r="J177" s="16" t="n">
        <x:v>1</x:v>
      </x:c>
      <x:c r="K177" s="16" t="n">
        <x:f>IF(AND(ISNUMBER(I177),ISNUMBER(J177)),AVERAGE(I177:J177),"")</x:f>
        <x:v>0.9</x:v>
      </x:c>
      <x:c r="L177" s="14" t="str">
        <x:v>&lt;$1</x:v>
      </x:c>
      <x:c r="M177" s="14" t="str">
        <x:v>Yes</x:v>
      </x:c>
      <x:c r="N177" s="14" t="str">
        <x:v>No</x:v>
      </x:c>
      <x:c r="O177" s="14" t="str">
        <x:v>No</x:v>
      </x:c>
      <x:c r="P177" s="14" t="str">
        <x:v>Clean/NM benchmark unless noted</x:v>
      </x:c>
      <x:c r="Q177" s="16" t="n">
        <x:v>0.8</x:v>
      </x:c>
      <x:c r="R177" s="16" t="n">
        <x:v>1</x:v>
      </x:c>
      <x:c r="S177" s="16" t="n">
        <x:f>IF(AND(ISNUMBER(Q177),ISNUMBER(R177)),AVERAGE(Q177:R177),K177)</x:f>
        <x:v>0.9</x:v>
      </x:c>
      <x:c r="T177" s="14" t="str"/>
      <x:c r="U177" s="18" t="n">
        <x:v>652</x:v>
      </x:c>
      <x:c r="V177" s="14" t="str">
        <x:v>Uploaded Pokémon chat JSON / prior card-by-card research</x:v>
      </x:c>
      <x:c r="W177" s="14" t="str"/>
    </x:row>
    <x:row r="178">
      <x:c r="A178" s="18" t="n">
        <x:v>177</x:v>
      </x:c>
      <x:c r="B178" s="14" t="str">
        <x:v>Dragon / Dragon Vault</x:v>
      </x:c>
      <x:c r="C178" s="14" t="str">
        <x:v>Latias</x:v>
      </x:c>
      <x:c r="D178" s="14" t="str">
        <x:v>9/20</x:v>
      </x:c>
      <x:c r="E178" s="14" t="str">
        <x:v>Dragon Vault</x:v>
      </x:c>
      <x:c r="F178" s="18" t="n">
        <x:v>2012</x:v>
      </x:c>
      <x:c r="G178" s="14" t="str">
        <x:v>Holo</x:v>
      </x:c>
      <x:c r="H178" s="14" t="str">
        <x:v>1 of 3</x:v>
      </x:c>
      <x:c r="I178" s="16" t="n">
        <x:v>13</x:v>
      </x:c>
      <x:c r="J178" s="16" t="n">
        <x:v>19</x:v>
      </x:c>
      <x:c r="K178" s="16" t="n">
        <x:f>IF(AND(ISNUMBER(I178),ISNUMBER(J178)),AVERAGE(I178:J178),"")</x:f>
        <x:v>16</x:v>
      </x:c>
      <x:c r="L178" s="14" t="str">
        <x:v>$5–20</x:v>
      </x:c>
      <x:c r="M178" s="14" t="str">
        <x:v>Yes</x:v>
      </x:c>
      <x:c r="N178" s="14" t="str">
        <x:v>Yes</x:v>
      </x:c>
      <x:c r="O178" s="14" t="str">
        <x:v>Yes</x:v>
      </x:c>
      <x:c r="P178" s="14" t="str">
        <x:v>Clean/NM benchmark unless noted</x:v>
      </x:c>
      <x:c r="Q178" s="16" t="n">
        <x:v>13</x:v>
      </x:c>
      <x:c r="R178" s="16" t="n">
        <x:v>19</x:v>
      </x:c>
      <x:c r="S178" s="16" t="n">
        <x:f>IF(AND(ISNUMBER(Q178),ISNUMBER(R178)),AVERAGE(Q178:R178),K178)</x:f>
        <x:v>16</x:v>
      </x:c>
      <x:c r="T178" s="14" t="str"/>
      <x:c r="U178" s="18" t="n">
        <x:v>658</x:v>
      </x:c>
      <x:c r="V178" s="14" t="str">
        <x:v>Uploaded Pokémon chat JSON / prior card-by-card research</x:v>
      </x:c>
      <x:c r="W178" s="14" t="str"/>
    </x:row>
    <x:row r="179">
      <x:c r="A179" s="18" t="n">
        <x:v>178</x:v>
      </x:c>
      <x:c r="B179" s="14" t="str">
        <x:v>Dragon / Dragon Vault</x:v>
      </x:c>
      <x:c r="C179" s="14" t="str">
        <x:v>Latias</x:v>
      </x:c>
      <x:c r="D179" s="14" t="str">
        <x:v>9/20</x:v>
      </x:c>
      <x:c r="E179" s="14" t="str">
        <x:v>Dragon Vault</x:v>
      </x:c>
      <x:c r="F179" s="18" t="n">
        <x:v>2012</x:v>
      </x:c>
      <x:c r="G179" s="14" t="str">
        <x:v>Holo</x:v>
      </x:c>
      <x:c r="H179" s="14" t="str">
        <x:v>2 of 3</x:v>
      </x:c>
      <x:c r="I179" s="16" t="n">
        <x:v>13</x:v>
      </x:c>
      <x:c r="J179" s="16" t="n">
        <x:v>19</x:v>
      </x:c>
      <x:c r="K179" s="16" t="n">
        <x:f>IF(AND(ISNUMBER(I179),ISNUMBER(J179)),AVERAGE(I179:J179),"")</x:f>
        <x:v>16</x:v>
      </x:c>
      <x:c r="L179" s="14" t="str">
        <x:v>$5–20</x:v>
      </x:c>
      <x:c r="M179" s="14" t="str">
        <x:v>Yes</x:v>
      </x:c>
      <x:c r="N179" s="14" t="str">
        <x:v>Yes</x:v>
      </x:c>
      <x:c r="O179" s="14" t="str">
        <x:v>Yes</x:v>
      </x:c>
      <x:c r="P179" s="14" t="str">
        <x:v>Clean/NM benchmark unless noted</x:v>
      </x:c>
      <x:c r="Q179" s="16" t="n">
        <x:v>13</x:v>
      </x:c>
      <x:c r="R179" s="16" t="n">
        <x:v>19</x:v>
      </x:c>
      <x:c r="S179" s="16" t="n">
        <x:f>IF(AND(ISNUMBER(Q179),ISNUMBER(R179)),AVERAGE(Q179:R179),K179)</x:f>
        <x:v>16</x:v>
      </x:c>
      <x:c r="T179" s="14" t="str"/>
      <x:c r="U179" s="18" t="n">
        <x:v>658</x:v>
      </x:c>
      <x:c r="V179" s="14" t="str">
        <x:v>Uploaded Pokémon chat JSON / prior card-by-card research</x:v>
      </x:c>
      <x:c r="W179" s="14" t="str"/>
    </x:row>
    <x:row r="180">
      <x:c r="A180" s="18" t="n">
        <x:v>179</x:v>
      </x:c>
      <x:c r="B180" s="14" t="str">
        <x:v>Dragon / Dragon Vault</x:v>
      </x:c>
      <x:c r="C180" s="14" t="str">
        <x:v>Latios</x:v>
      </x:c>
      <x:c r="D180" s="14" t="str">
        <x:v>10/20</x:v>
      </x:c>
      <x:c r="E180" s="14" t="str">
        <x:v>Dragon Vault</x:v>
      </x:c>
      <x:c r="F180" s="18" t="n">
        <x:v>2012</x:v>
      </x:c>
      <x:c r="G180" s="14" t="str">
        <x:v>Holo</x:v>
      </x:c>
      <x:c r="H180" s="14" t="str">
        <x:v>1 of 2</x:v>
      </x:c>
      <x:c r="I180" s="16" t="n">
        <x:v>9</x:v>
      </x:c>
      <x:c r="J180" s="16" t="n">
        <x:v>11</x:v>
      </x:c>
      <x:c r="K180" s="16" t="n">
        <x:f>IF(AND(ISNUMBER(I180),ISNUMBER(J180)),AVERAGE(I180:J180),"")</x:f>
        <x:v>10</x:v>
      </x:c>
      <x:c r="L180" s="14" t="str">
        <x:v>$5–20</x:v>
      </x:c>
      <x:c r="M180" s="14" t="str">
        <x:v>Yes</x:v>
      </x:c>
      <x:c r="N180" s="14" t="str">
        <x:v>Yes</x:v>
      </x:c>
      <x:c r="O180" s="14" t="str">
        <x:v>Yes</x:v>
      </x:c>
      <x:c r="P180" s="14" t="str">
        <x:v>Clean/NM benchmark unless noted</x:v>
      </x:c>
      <x:c r="Q180" s="16" t="n">
        <x:v>9</x:v>
      </x:c>
      <x:c r="R180" s="16" t="n">
        <x:v>11</x:v>
      </x:c>
      <x:c r="S180" s="16" t="n">
        <x:f>IF(AND(ISNUMBER(Q180),ISNUMBER(R180)),AVERAGE(Q180:R180),K180)</x:f>
        <x:v>10</x:v>
      </x:c>
      <x:c r="T180" s="14" t="str">
        <x:v>Toploader recommended around user $10 cutoff.</x:v>
      </x:c>
      <x:c r="U180" s="18" t="n">
        <x:v>658</x:v>
      </x:c>
      <x:c r="V180" s="14" t="str">
        <x:v>Uploaded Pokémon chat JSON / prior card-by-card research</x:v>
      </x:c>
      <x:c r="W180" s="14" t="str"/>
    </x:row>
    <x:row r="181">
      <x:c r="A181" s="18" t="n">
        <x:v>180</x:v>
      </x:c>
      <x:c r="B181" s="14" t="str">
        <x:v>Dragon / Dragon Vault</x:v>
      </x:c>
      <x:c r="C181" s="14" t="str">
        <x:v>Latios</x:v>
      </x:c>
      <x:c r="D181" s="14" t="str">
        <x:v>10/20</x:v>
      </x:c>
      <x:c r="E181" s="14" t="str">
        <x:v>Dragon Vault</x:v>
      </x:c>
      <x:c r="F181" s="18" t="n">
        <x:v>2012</x:v>
      </x:c>
      <x:c r="G181" s="14" t="str">
        <x:v>Holo</x:v>
      </x:c>
      <x:c r="H181" s="14" t="str">
        <x:v>2 of 2</x:v>
      </x:c>
      <x:c r="I181" s="16" t="n">
        <x:v>9</x:v>
      </x:c>
      <x:c r="J181" s="16" t="n">
        <x:v>11</x:v>
      </x:c>
      <x:c r="K181" s="16" t="n">
        <x:f>IF(AND(ISNUMBER(I181),ISNUMBER(J181)),AVERAGE(I181:J181),"")</x:f>
        <x:v>10</x:v>
      </x:c>
      <x:c r="L181" s="14" t="str">
        <x:v>$5–20</x:v>
      </x:c>
      <x:c r="M181" s="14" t="str">
        <x:v>Yes</x:v>
      </x:c>
      <x:c r="N181" s="14" t="str">
        <x:v>Yes</x:v>
      </x:c>
      <x:c r="O181" s="14" t="str">
        <x:v>Yes</x:v>
      </x:c>
      <x:c r="P181" s="14" t="str">
        <x:v>Clean/NM benchmark unless noted</x:v>
      </x:c>
      <x:c r="Q181" s="16" t="n">
        <x:v>9</x:v>
      </x:c>
      <x:c r="R181" s="16" t="n">
        <x:v>11</x:v>
      </x:c>
      <x:c r="S181" s="16" t="n">
        <x:f>IF(AND(ISNUMBER(Q181),ISNUMBER(R181)),AVERAGE(Q181:R181),K181)</x:f>
        <x:v>10</x:v>
      </x:c>
      <x:c r="T181" s="14" t="str">
        <x:v>Toploader recommended around user $10 cutoff.</x:v>
      </x:c>
      <x:c r="U181" s="18" t="n">
        <x:v>658</x:v>
      </x:c>
      <x:c r="V181" s="14" t="str">
        <x:v>Uploaded Pokémon chat JSON / prior card-by-card research</x:v>
      </x:c>
      <x:c r="W181" s="14" t="str"/>
    </x:row>
    <x:row r="182">
      <x:c r="A182" s="18" t="n">
        <x:v>181</x:v>
      </x:c>
      <x:c r="B182" s="14" t="str">
        <x:v>Dragon / Dragon Vault</x:v>
      </x:c>
      <x:c r="C182" s="14" t="str">
        <x:v>Axew</x:v>
      </x:c>
      <x:c r="D182" s="14" t="str">
        <x:v>12/20</x:v>
      </x:c>
      <x:c r="E182" s="14" t="str">
        <x:v>Dragon Vault</x:v>
      </x:c>
      <x:c r="F182" s="18" t="n">
        <x:v>2012</x:v>
      </x:c>
      <x:c r="G182" s="14" t="str">
        <x:v>Holo</x:v>
      </x:c>
      <x:c r="H182" s="14" t="str">
        <x:v>1 of 3</x:v>
      </x:c>
      <x:c r="I182" s="16" t="n">
        <x:v>1.8</x:v>
      </x:c>
      <x:c r="J182" s="16" t="n">
        <x:v>1.9</x:v>
      </x:c>
      <x:c r="K182" s="16" t="n">
        <x:f>IF(AND(ISNUMBER(I182),ISNUMBER(J182)),AVERAGE(I182:J182),"")</x:f>
        <x:v>1.85</x:v>
      </x:c>
      <x:c r="L182" s="14" t="str">
        <x:v>$1–5</x:v>
      </x:c>
      <x:c r="M182" s="14" t="str">
        <x:v>Yes</x:v>
      </x:c>
      <x:c r="N182" s="14" t="str">
        <x:v>No</x:v>
      </x:c>
      <x:c r="O182" s="14" t="str">
        <x:v>Yes</x:v>
      </x:c>
      <x:c r="P182" s="14" t="str">
        <x:v>Clean/NM benchmark unless noted</x:v>
      </x:c>
      <x:c r="Q182" s="16" t="n">
        <x:v>1.8</x:v>
      </x:c>
      <x:c r="R182" s="16" t="n">
        <x:v>1.9</x:v>
      </x:c>
      <x:c r="S182" s="16" t="n">
        <x:f>IF(AND(ISNUMBER(Q182),ISNUMBER(R182)),AVERAGE(Q182:R182),K182)</x:f>
        <x:v>1.85</x:v>
      </x:c>
      <x:c r="T182" s="14" t="str"/>
      <x:c r="U182" s="18" t="n">
        <x:v>668</x:v>
      </x:c>
      <x:c r="V182" s="14" t="str">
        <x:v>Uploaded Pokémon chat JSON / prior card-by-card research</x:v>
      </x:c>
      <x:c r="W182" s="14" t="str"/>
    </x:row>
    <x:row r="183">
      <x:c r="A183" s="18" t="n">
        <x:v>182</x:v>
      </x:c>
      <x:c r="B183" s="14" t="str">
        <x:v>Dragon / Dragon Vault</x:v>
      </x:c>
      <x:c r="C183" s="14" t="str">
        <x:v>Axew</x:v>
      </x:c>
      <x:c r="D183" s="14" t="str">
        <x:v>12/20</x:v>
      </x:c>
      <x:c r="E183" s="14" t="str">
        <x:v>Dragon Vault</x:v>
      </x:c>
      <x:c r="F183" s="18" t="n">
        <x:v>2012</x:v>
      </x:c>
      <x:c r="G183" s="14" t="str">
        <x:v>Holo</x:v>
      </x:c>
      <x:c r="H183" s="14" t="str">
        <x:v>2 of 3</x:v>
      </x:c>
      <x:c r="I183" s="16" t="n">
        <x:v>1.8</x:v>
      </x:c>
      <x:c r="J183" s="16" t="n">
        <x:v>1.9</x:v>
      </x:c>
      <x:c r="K183" s="16" t="n">
        <x:f>IF(AND(ISNUMBER(I183),ISNUMBER(J183)),AVERAGE(I183:J183),"")</x:f>
        <x:v>1.85</x:v>
      </x:c>
      <x:c r="L183" s="14" t="str">
        <x:v>$1–5</x:v>
      </x:c>
      <x:c r="M183" s="14" t="str">
        <x:v>Yes</x:v>
      </x:c>
      <x:c r="N183" s="14" t="str">
        <x:v>No</x:v>
      </x:c>
      <x:c r="O183" s="14" t="str">
        <x:v>Yes</x:v>
      </x:c>
      <x:c r="P183" s="14" t="str">
        <x:v>Clean/NM benchmark unless noted</x:v>
      </x:c>
      <x:c r="Q183" s="16" t="n">
        <x:v>1.8</x:v>
      </x:c>
      <x:c r="R183" s="16" t="n">
        <x:v>1.9</x:v>
      </x:c>
      <x:c r="S183" s="16" t="n">
        <x:f>IF(AND(ISNUMBER(Q183),ISNUMBER(R183)),AVERAGE(Q183:R183),K183)</x:f>
        <x:v>1.85</x:v>
      </x:c>
      <x:c r="T183" s="14" t="str"/>
      <x:c r="U183" s="18" t="n">
        <x:v>668</x:v>
      </x:c>
      <x:c r="V183" s="14" t="str">
        <x:v>Uploaded Pokémon chat JSON / prior card-by-card research</x:v>
      </x:c>
      <x:c r="W183" s="14" t="str"/>
    </x:row>
    <x:row r="184">
      <x:c r="A184" s="18" t="n">
        <x:v>183</x:v>
      </x:c>
      <x:c r="B184" s="14" t="str">
        <x:v>Dragon / Dragon Vault</x:v>
      </x:c>
      <x:c r="C184" s="14" t="str">
        <x:v>Axew</x:v>
      </x:c>
      <x:c r="D184" s="14" t="str">
        <x:v>12/20</x:v>
      </x:c>
      <x:c r="E184" s="14" t="str">
        <x:v>Dragon Vault</x:v>
      </x:c>
      <x:c r="F184" s="18" t="n">
        <x:v>2012</x:v>
      </x:c>
      <x:c r="G184" s="14" t="str">
        <x:v>Holo</x:v>
      </x:c>
      <x:c r="H184" s="14" t="str">
        <x:v>3 of 3</x:v>
      </x:c>
      <x:c r="I184" s="16" t="n">
        <x:v>1.8</x:v>
      </x:c>
      <x:c r="J184" s="16" t="n">
        <x:v>1.9</x:v>
      </x:c>
      <x:c r="K184" s="16" t="n">
        <x:f>IF(AND(ISNUMBER(I184),ISNUMBER(J184)),AVERAGE(I184:J184),"")</x:f>
        <x:v>1.85</x:v>
      </x:c>
      <x:c r="L184" s="14" t="str">
        <x:v>$1–5</x:v>
      </x:c>
      <x:c r="M184" s="14" t="str">
        <x:v>Yes</x:v>
      </x:c>
      <x:c r="N184" s="14" t="str">
        <x:v>No</x:v>
      </x:c>
      <x:c r="O184" s="14" t="str">
        <x:v>Yes</x:v>
      </x:c>
      <x:c r="P184" s="14" t="str">
        <x:v>Clean/NM benchmark unless noted</x:v>
      </x:c>
      <x:c r="Q184" s="16" t="n">
        <x:v>1.8</x:v>
      </x:c>
      <x:c r="R184" s="16" t="n">
        <x:v>1.9</x:v>
      </x:c>
      <x:c r="S184" s="16" t="n">
        <x:f>IF(AND(ISNUMBER(Q184),ISNUMBER(R184)),AVERAGE(Q184:R184),K184)</x:f>
        <x:v>1.85</x:v>
      </x:c>
      <x:c r="T184" s="14" t="str"/>
      <x:c r="U184" s="18" t="n">
        <x:v>668</x:v>
      </x:c>
      <x:c r="V184" s="14" t="str">
        <x:v>Uploaded Pokémon chat JSON / prior card-by-card research</x:v>
      </x:c>
      <x:c r="W184" s="14" t="str"/>
    </x:row>
    <x:row r="185">
      <x:c r="A185" s="18" t="n">
        <x:v>184</x:v>
      </x:c>
      <x:c r="B185" s="14" t="str">
        <x:v>Dragon / Dragon Vault</x:v>
      </x:c>
      <x:c r="C185" s="14" t="str">
        <x:v>Axew</x:v>
      </x:c>
      <x:c r="D185" s="14" t="str">
        <x:v>13/20</x:v>
      </x:c>
      <x:c r="E185" s="14" t="str">
        <x:v>Dragon Vault</x:v>
      </x:c>
      <x:c r="F185" s="18" t="n">
        <x:v>2012</x:v>
      </x:c>
      <x:c r="G185" s="14" t="str">
        <x:v>Holo</x:v>
      </x:c>
      <x:c r="H185" s="14" t="str">
        <x:v>1 of 5</x:v>
      </x:c>
      <x:c r="I185" s="16" t="n">
        <x:v>2.1</x:v>
      </x:c>
      <x:c r="J185" s="16" t="n">
        <x:v>2.1</x:v>
      </x:c>
      <x:c r="K185" s="16" t="n">
        <x:f>IF(AND(ISNUMBER(I185),ISNUMBER(J185)),AVERAGE(I185:J185),"")</x:f>
        <x:v>2.1</x:v>
      </x:c>
      <x:c r="L185" s="14" t="str">
        <x:v>$1–5</x:v>
      </x:c>
      <x:c r="M185" s="14" t="str">
        <x:v>Yes</x:v>
      </x:c>
      <x:c r="N185" s="14" t="str">
        <x:v>No</x:v>
      </x:c>
      <x:c r="O185" s="14" t="str">
        <x:v>Yes</x:v>
      </x:c>
      <x:c r="P185" s="14" t="str">
        <x:v>Clean/NM benchmark unless noted</x:v>
      </x:c>
      <x:c r="Q185" s="16" t="n">
        <x:v>2.1</x:v>
      </x:c>
      <x:c r="R185" s="16" t="n">
        <x:v>2.1</x:v>
      </x:c>
      <x:c r="S185" s="16" t="n">
        <x:f>IF(AND(ISNUMBER(Q185),ISNUMBER(R185)),AVERAGE(Q185:R185),K185)</x:f>
        <x:v>2.1</x:v>
      </x:c>
      <x:c r="T185" s="14" t="str"/>
      <x:c r="U185" s="18" t="n">
        <x:v>668</x:v>
      </x:c>
      <x:c r="V185" s="14" t="str">
        <x:v>Uploaded Pokémon chat JSON / prior card-by-card research</x:v>
      </x:c>
      <x:c r="W185" s="14" t="str"/>
    </x:row>
    <x:row r="186">
      <x:c r="A186" s="18" t="n">
        <x:v>185</x:v>
      </x:c>
      <x:c r="B186" s="14" t="str">
        <x:v>Dragon / Dragon Vault</x:v>
      </x:c>
      <x:c r="C186" s="14" t="str">
        <x:v>Axew</x:v>
      </x:c>
      <x:c r="D186" s="14" t="str">
        <x:v>13/20</x:v>
      </x:c>
      <x:c r="E186" s="14" t="str">
        <x:v>Dragon Vault</x:v>
      </x:c>
      <x:c r="F186" s="18" t="n">
        <x:v>2012</x:v>
      </x:c>
      <x:c r="G186" s="14" t="str">
        <x:v>Holo</x:v>
      </x:c>
      <x:c r="H186" s="14" t="str">
        <x:v>2 of 5</x:v>
      </x:c>
      <x:c r="I186" s="16" t="n">
        <x:v>2.1</x:v>
      </x:c>
      <x:c r="J186" s="16" t="n">
        <x:v>2.1</x:v>
      </x:c>
      <x:c r="K186" s="16" t="n">
        <x:f>IF(AND(ISNUMBER(I186),ISNUMBER(J186)),AVERAGE(I186:J186),"")</x:f>
        <x:v>2.1</x:v>
      </x:c>
      <x:c r="L186" s="14" t="str">
        <x:v>$1–5</x:v>
      </x:c>
      <x:c r="M186" s="14" t="str">
        <x:v>Yes</x:v>
      </x:c>
      <x:c r="N186" s="14" t="str">
        <x:v>No</x:v>
      </x:c>
      <x:c r="O186" s="14" t="str">
        <x:v>Yes</x:v>
      </x:c>
      <x:c r="P186" s="14" t="str">
        <x:v>Clean/NM benchmark unless noted</x:v>
      </x:c>
      <x:c r="Q186" s="16" t="n">
        <x:v>2.1</x:v>
      </x:c>
      <x:c r="R186" s="16" t="n">
        <x:v>2.1</x:v>
      </x:c>
      <x:c r="S186" s="16" t="n">
        <x:f>IF(AND(ISNUMBER(Q186),ISNUMBER(R186)),AVERAGE(Q186:R186),K186)</x:f>
        <x:v>2.1</x:v>
      </x:c>
      <x:c r="T186" s="14" t="str"/>
      <x:c r="U186" s="18" t="n">
        <x:v>668</x:v>
      </x:c>
      <x:c r="V186" s="14" t="str">
        <x:v>Uploaded Pokémon chat JSON / prior card-by-card research</x:v>
      </x:c>
      <x:c r="W186" s="14" t="str"/>
    </x:row>
    <x:row r="187">
      <x:c r="A187" s="18" t="n">
        <x:v>186</x:v>
      </x:c>
      <x:c r="B187" s="14" t="str">
        <x:v>Dragon / Dragon Vault</x:v>
      </x:c>
      <x:c r="C187" s="14" t="str">
        <x:v>Axew</x:v>
      </x:c>
      <x:c r="D187" s="14" t="str">
        <x:v>13/20</x:v>
      </x:c>
      <x:c r="E187" s="14" t="str">
        <x:v>Dragon Vault</x:v>
      </x:c>
      <x:c r="F187" s="18" t="n">
        <x:v>2012</x:v>
      </x:c>
      <x:c r="G187" s="14" t="str">
        <x:v>Holo</x:v>
      </x:c>
      <x:c r="H187" s="14" t="str">
        <x:v>3 of 5</x:v>
      </x:c>
      <x:c r="I187" s="16" t="n">
        <x:v>2.1</x:v>
      </x:c>
      <x:c r="J187" s="16" t="n">
        <x:v>2.1</x:v>
      </x:c>
      <x:c r="K187" s="16" t="n">
        <x:f>IF(AND(ISNUMBER(I187),ISNUMBER(J187)),AVERAGE(I187:J187),"")</x:f>
        <x:v>2.1</x:v>
      </x:c>
      <x:c r="L187" s="14" t="str">
        <x:v>$1–5</x:v>
      </x:c>
      <x:c r="M187" s="14" t="str">
        <x:v>Yes</x:v>
      </x:c>
      <x:c r="N187" s="14" t="str">
        <x:v>No</x:v>
      </x:c>
      <x:c r="O187" s="14" t="str">
        <x:v>Yes</x:v>
      </x:c>
      <x:c r="P187" s="14" t="str">
        <x:v>Clean/NM benchmark unless noted</x:v>
      </x:c>
      <x:c r="Q187" s="16" t="n">
        <x:v>2.1</x:v>
      </x:c>
      <x:c r="R187" s="16" t="n">
        <x:v>2.1</x:v>
      </x:c>
      <x:c r="S187" s="16" t="n">
        <x:f>IF(AND(ISNUMBER(Q187),ISNUMBER(R187)),AVERAGE(Q187:R187),K187)</x:f>
        <x:v>2.1</x:v>
      </x:c>
      <x:c r="T187" s="14" t="str"/>
      <x:c r="U187" s="18" t="n">
        <x:v>668</x:v>
      </x:c>
      <x:c r="V187" s="14" t="str">
        <x:v>Uploaded Pokémon chat JSON / prior card-by-card research</x:v>
      </x:c>
      <x:c r="W187" s="14" t="str"/>
    </x:row>
    <x:row r="188">
      <x:c r="A188" s="18" t="n">
        <x:v>187</x:v>
      </x:c>
      <x:c r="B188" s="14" t="str">
        <x:v>Dragon / Dragon Vault</x:v>
      </x:c>
      <x:c r="C188" s="14" t="str">
        <x:v>Axew</x:v>
      </x:c>
      <x:c r="D188" s="14" t="str">
        <x:v>13/20</x:v>
      </x:c>
      <x:c r="E188" s="14" t="str">
        <x:v>Dragon Vault</x:v>
      </x:c>
      <x:c r="F188" s="18" t="n">
        <x:v>2012</x:v>
      </x:c>
      <x:c r="G188" s="14" t="str">
        <x:v>Holo</x:v>
      </x:c>
      <x:c r="H188" s="14" t="str">
        <x:v>4 of 5</x:v>
      </x:c>
      <x:c r="I188" s="16" t="n">
        <x:v>2.1</x:v>
      </x:c>
      <x:c r="J188" s="16" t="n">
        <x:v>2.1</x:v>
      </x:c>
      <x:c r="K188" s="16" t="n">
        <x:f>IF(AND(ISNUMBER(I188),ISNUMBER(J188)),AVERAGE(I188:J188),"")</x:f>
        <x:v>2.1</x:v>
      </x:c>
      <x:c r="L188" s="14" t="str">
        <x:v>$1–5</x:v>
      </x:c>
      <x:c r="M188" s="14" t="str">
        <x:v>Yes</x:v>
      </x:c>
      <x:c r="N188" s="14" t="str">
        <x:v>No</x:v>
      </x:c>
      <x:c r="O188" s="14" t="str">
        <x:v>Yes</x:v>
      </x:c>
      <x:c r="P188" s="14" t="str">
        <x:v>Clean/NM benchmark unless noted</x:v>
      </x:c>
      <x:c r="Q188" s="16" t="n">
        <x:v>2.1</x:v>
      </x:c>
      <x:c r="R188" s="16" t="n">
        <x:v>2.1</x:v>
      </x:c>
      <x:c r="S188" s="16" t="n">
        <x:f>IF(AND(ISNUMBER(Q188),ISNUMBER(R188)),AVERAGE(Q188:R188),K188)</x:f>
        <x:v>2.1</x:v>
      </x:c>
      <x:c r="T188" s="14" t="str"/>
      <x:c r="U188" s="18" t="n">
        <x:v>668</x:v>
      </x:c>
      <x:c r="V188" s="14" t="str">
        <x:v>Uploaded Pokémon chat JSON / prior card-by-card research</x:v>
      </x:c>
      <x:c r="W188" s="14" t="str"/>
    </x:row>
    <x:row r="189">
      <x:c r="A189" s="18" t="n">
        <x:v>188</x:v>
      </x:c>
      <x:c r="B189" s="14" t="str">
        <x:v>Dragon / Dragon Vault</x:v>
      </x:c>
      <x:c r="C189" s="14" t="str">
        <x:v>Axew</x:v>
      </x:c>
      <x:c r="D189" s="14" t="str">
        <x:v>13/20</x:v>
      </x:c>
      <x:c r="E189" s="14" t="str">
        <x:v>Dragon Vault</x:v>
      </x:c>
      <x:c r="F189" s="18" t="n">
        <x:v>2012</x:v>
      </x:c>
      <x:c r="G189" s="14" t="str">
        <x:v>Holo</x:v>
      </x:c>
      <x:c r="H189" s="14" t="str">
        <x:v>5 of 5</x:v>
      </x:c>
      <x:c r="I189" s="16" t="n">
        <x:v>2.1</x:v>
      </x:c>
      <x:c r="J189" s="16" t="n">
        <x:v>2.1</x:v>
      </x:c>
      <x:c r="K189" s="16" t="n">
        <x:f>IF(AND(ISNUMBER(I189),ISNUMBER(J189)),AVERAGE(I189:J189),"")</x:f>
        <x:v>2.1</x:v>
      </x:c>
      <x:c r="L189" s="14" t="str">
        <x:v>$1–5</x:v>
      </x:c>
      <x:c r="M189" s="14" t="str">
        <x:v>Yes</x:v>
      </x:c>
      <x:c r="N189" s="14" t="str">
        <x:v>No</x:v>
      </x:c>
      <x:c r="O189" s="14" t="str">
        <x:v>Yes</x:v>
      </x:c>
      <x:c r="P189" s="14" t="str">
        <x:v>Clean/NM benchmark unless noted</x:v>
      </x:c>
      <x:c r="Q189" s="16" t="n">
        <x:v>2.1</x:v>
      </x:c>
      <x:c r="R189" s="16" t="n">
        <x:v>2.1</x:v>
      </x:c>
      <x:c r="S189" s="16" t="n">
        <x:f>IF(AND(ISNUMBER(Q189),ISNUMBER(R189)),AVERAGE(Q189:R189),K189)</x:f>
        <x:v>2.1</x:v>
      </x:c>
      <x:c r="T189" s="14" t="str"/>
      <x:c r="U189" s="18" t="n">
        <x:v>668</x:v>
      </x:c>
      <x:c r="V189" s="14" t="str">
        <x:v>Uploaded Pokémon chat JSON / prior card-by-card research</x:v>
      </x:c>
      <x:c r="W189" s="14" t="str"/>
    </x:row>
    <x:row r="190">
      <x:c r="A190" s="18" t="n">
        <x:v>189</x:v>
      </x:c>
      <x:c r="B190" s="14" t="str">
        <x:v>Dragon / Dragon Vault</x:v>
      </x:c>
      <x:c r="C190" s="14" t="str">
        <x:v>Fraxure</x:v>
      </x:c>
      <x:c r="D190" s="14" t="str">
        <x:v>14/20</x:v>
      </x:c>
      <x:c r="E190" s="14" t="str">
        <x:v>Dragon Vault</x:v>
      </x:c>
      <x:c r="F190" s="18" t="n">
        <x:v>2012</x:v>
      </x:c>
      <x:c r="G190" s="14" t="str">
        <x:v>Holo</x:v>
      </x:c>
      <x:c r="H190" s="14" t="str">
        <x:v>1 of 3</x:v>
      </x:c>
      <x:c r="I190" s="16" t="n">
        <x:v>1.75</x:v>
      </x:c>
      <x:c r="J190" s="16" t="n">
        <x:v>2</x:v>
      </x:c>
      <x:c r="K190" s="16" t="n">
        <x:f>IF(AND(ISNUMBER(I190),ISNUMBER(J190)),AVERAGE(I190:J190),"")</x:f>
        <x:v>1.875</x:v>
      </x:c>
      <x:c r="L190" s="14" t="str">
        <x:v>$1–5</x:v>
      </x:c>
      <x:c r="M190" s="14" t="str">
        <x:v>Yes</x:v>
      </x:c>
      <x:c r="N190" s="14" t="str">
        <x:v>No</x:v>
      </x:c>
      <x:c r="O190" s="14" t="str">
        <x:v>Yes</x:v>
      </x:c>
      <x:c r="P190" s="14" t="str">
        <x:v>Clean/NM benchmark unless noted</x:v>
      </x:c>
      <x:c r="Q190" s="16" t="n">
        <x:v>1.75</x:v>
      </x:c>
      <x:c r="R190" s="16" t="n">
        <x:v>2</x:v>
      </x:c>
      <x:c r="S190" s="16" t="n">
        <x:f>IF(AND(ISNUMBER(Q190),ISNUMBER(R190)),AVERAGE(Q190:R190),K190)</x:f>
        <x:v>1.875</x:v>
      </x:c>
      <x:c r="T190" s="14" t="str"/>
      <x:c r="U190" s="18" t="n">
        <x:v>674</x:v>
      </x:c>
      <x:c r="V190" s="14" t="str">
        <x:v>Uploaded Pokémon chat JSON / prior card-by-card research</x:v>
      </x:c>
      <x:c r="W190" s="14" t="str"/>
    </x:row>
    <x:row r="191">
      <x:c r="A191" s="18" t="n">
        <x:v>190</x:v>
      </x:c>
      <x:c r="B191" s="14" t="str">
        <x:v>Dragon / Dragon Vault</x:v>
      </x:c>
      <x:c r="C191" s="14" t="str">
        <x:v>Fraxure</x:v>
      </x:c>
      <x:c r="D191" s="14" t="str">
        <x:v>14/20</x:v>
      </x:c>
      <x:c r="E191" s="14" t="str">
        <x:v>Dragon Vault</x:v>
      </x:c>
      <x:c r="F191" s="18" t="n">
        <x:v>2012</x:v>
      </x:c>
      <x:c r="G191" s="14" t="str">
        <x:v>Holo</x:v>
      </x:c>
      <x:c r="H191" s="14" t="str">
        <x:v>2 of 3</x:v>
      </x:c>
      <x:c r="I191" s="16" t="n">
        <x:v>1.75</x:v>
      </x:c>
      <x:c r="J191" s="16" t="n">
        <x:v>2</x:v>
      </x:c>
      <x:c r="K191" s="16" t="n">
        <x:f>IF(AND(ISNUMBER(I191),ISNUMBER(J191)),AVERAGE(I191:J191),"")</x:f>
        <x:v>1.875</x:v>
      </x:c>
      <x:c r="L191" s="14" t="str">
        <x:v>$1–5</x:v>
      </x:c>
      <x:c r="M191" s="14" t="str">
        <x:v>Yes</x:v>
      </x:c>
      <x:c r="N191" s="14" t="str">
        <x:v>No</x:v>
      </x:c>
      <x:c r="O191" s="14" t="str">
        <x:v>Yes</x:v>
      </x:c>
      <x:c r="P191" s="14" t="str">
        <x:v>Clean/NM benchmark unless noted</x:v>
      </x:c>
      <x:c r="Q191" s="16" t="n">
        <x:v>1.75</x:v>
      </x:c>
      <x:c r="R191" s="16" t="n">
        <x:v>2</x:v>
      </x:c>
      <x:c r="S191" s="16" t="n">
        <x:f>IF(AND(ISNUMBER(Q191),ISNUMBER(R191)),AVERAGE(Q191:R191),K191)</x:f>
        <x:v>1.875</x:v>
      </x:c>
      <x:c r="T191" s="14" t="str"/>
      <x:c r="U191" s="18" t="n">
        <x:v>674</x:v>
      </x:c>
      <x:c r="V191" s="14" t="str">
        <x:v>Uploaded Pokémon chat JSON / prior card-by-card research</x:v>
      </x:c>
      <x:c r="W191" s="14" t="str"/>
    </x:row>
    <x:row r="192">
      <x:c r="A192" s="18" t="n">
        <x:v>191</x:v>
      </x:c>
      <x:c r="B192" s="14" t="str">
        <x:v>Dragon / Dragon Vault</x:v>
      </x:c>
      <x:c r="C192" s="14" t="str">
        <x:v>Fraxure</x:v>
      </x:c>
      <x:c r="D192" s="14" t="str">
        <x:v>14/20</x:v>
      </x:c>
      <x:c r="E192" s="14" t="str">
        <x:v>Dragon Vault</x:v>
      </x:c>
      <x:c r="F192" s="18" t="n">
        <x:v>2012</x:v>
      </x:c>
      <x:c r="G192" s="14" t="str">
        <x:v>Holo</x:v>
      </x:c>
      <x:c r="H192" s="14" t="str">
        <x:v>3 of 3</x:v>
      </x:c>
      <x:c r="I192" s="16" t="n">
        <x:v>1.75</x:v>
      </x:c>
      <x:c r="J192" s="16" t="n">
        <x:v>2</x:v>
      </x:c>
      <x:c r="K192" s="16" t="n">
        <x:f>IF(AND(ISNUMBER(I192),ISNUMBER(J192)),AVERAGE(I192:J192),"")</x:f>
        <x:v>1.875</x:v>
      </x:c>
      <x:c r="L192" s="14" t="str">
        <x:v>$1–5</x:v>
      </x:c>
      <x:c r="M192" s="14" t="str">
        <x:v>Yes</x:v>
      </x:c>
      <x:c r="N192" s="14" t="str">
        <x:v>No</x:v>
      </x:c>
      <x:c r="O192" s="14" t="str">
        <x:v>Yes</x:v>
      </x:c>
      <x:c r="P192" s="14" t="str">
        <x:v>Clean/NM benchmark unless noted</x:v>
      </x:c>
      <x:c r="Q192" s="16" t="n">
        <x:v>1.75</x:v>
      </x:c>
      <x:c r="R192" s="16" t="n">
        <x:v>2</x:v>
      </x:c>
      <x:c r="S192" s="16" t="n">
        <x:f>IF(AND(ISNUMBER(Q192),ISNUMBER(R192)),AVERAGE(Q192:R192),K192)</x:f>
        <x:v>1.875</x:v>
      </x:c>
      <x:c r="T192" s="14" t="str"/>
      <x:c r="U192" s="18" t="n">
        <x:v>674</x:v>
      </x:c>
      <x:c r="V192" s="14" t="str">
        <x:v>Uploaded Pokémon chat JSON / prior card-by-card research</x:v>
      </x:c>
      <x:c r="W192" s="14" t="str"/>
    </x:row>
    <x:row r="193">
      <x:c r="A193" s="18" t="n">
        <x:v>192</x:v>
      </x:c>
      <x:c r="B193" s="14" t="str">
        <x:v>Dragon / Dragon Vault</x:v>
      </x:c>
      <x:c r="C193" s="14" t="str">
        <x:v>Fraxure</x:v>
      </x:c>
      <x:c r="D193" s="14" t="str">
        <x:v>15/20</x:v>
      </x:c>
      <x:c r="E193" s="14" t="str">
        <x:v>Dragon Vault</x:v>
      </x:c>
      <x:c r="F193" s="18" t="n">
        <x:v>2012</x:v>
      </x:c>
      <x:c r="G193" s="14" t="str">
        <x:v>Holo</x:v>
      </x:c>
      <x:c r="H193" s="14" t="str">
        <x:v>1 of 4</x:v>
      </x:c>
      <x:c r="I193" s="16" t="n">
        <x:v>1.5</x:v>
      </x:c>
      <x:c r="J193" s="16" t="n">
        <x:v>2</x:v>
      </x:c>
      <x:c r="K193" s="16" t="n">
        <x:f>IF(AND(ISNUMBER(I193),ISNUMBER(J193)),AVERAGE(I193:J193),"")</x:f>
        <x:v>1.75</x:v>
      </x:c>
      <x:c r="L193" s="14" t="str">
        <x:v>$1–5</x:v>
      </x:c>
      <x:c r="M193" s="14" t="str">
        <x:v>Yes</x:v>
      </x:c>
      <x:c r="N193" s="14" t="str">
        <x:v>No</x:v>
      </x:c>
      <x:c r="O193" s="14" t="str">
        <x:v>Yes</x:v>
      </x:c>
      <x:c r="P193" s="14" t="str">
        <x:v>Clean/NM benchmark unless noted</x:v>
      </x:c>
      <x:c r="Q193" s="16" t="n">
        <x:v>1.5</x:v>
      </x:c>
      <x:c r="R193" s="16" t="n">
        <x:v>2</x:v>
      </x:c>
      <x:c r="S193" s="16" t="n">
        <x:f>IF(AND(ISNUMBER(Q193),ISNUMBER(R193)),AVERAGE(Q193:R193),K193)</x:f>
        <x:v>1.75</x:v>
      </x:c>
      <x:c r="T193" s="14" t="str"/>
      <x:c r="U193" s="18" t="n">
        <x:v>674</x:v>
      </x:c>
      <x:c r="V193" s="14" t="str">
        <x:v>Uploaded Pokémon chat JSON / prior card-by-card research</x:v>
      </x:c>
      <x:c r="W193" s="14" t="str"/>
    </x:row>
    <x:row r="194">
      <x:c r="A194" s="18" t="n">
        <x:v>193</x:v>
      </x:c>
      <x:c r="B194" s="14" t="str">
        <x:v>Dragon / Dragon Vault</x:v>
      </x:c>
      <x:c r="C194" s="14" t="str">
        <x:v>Fraxure</x:v>
      </x:c>
      <x:c r="D194" s="14" t="str">
        <x:v>15/20</x:v>
      </x:c>
      <x:c r="E194" s="14" t="str">
        <x:v>Dragon Vault</x:v>
      </x:c>
      <x:c r="F194" s="18" t="n">
        <x:v>2012</x:v>
      </x:c>
      <x:c r="G194" s="14" t="str">
        <x:v>Holo</x:v>
      </x:c>
      <x:c r="H194" s="14" t="str">
        <x:v>2 of 4</x:v>
      </x:c>
      <x:c r="I194" s="16" t="n">
        <x:v>1.5</x:v>
      </x:c>
      <x:c r="J194" s="16" t="n">
        <x:v>2</x:v>
      </x:c>
      <x:c r="K194" s="16" t="n">
        <x:f>IF(AND(ISNUMBER(I194),ISNUMBER(J194)),AVERAGE(I194:J194),"")</x:f>
        <x:v>1.75</x:v>
      </x:c>
      <x:c r="L194" s="14" t="str">
        <x:v>$1–5</x:v>
      </x:c>
      <x:c r="M194" s="14" t="str">
        <x:v>Yes</x:v>
      </x:c>
      <x:c r="N194" s="14" t="str">
        <x:v>No</x:v>
      </x:c>
      <x:c r="O194" s="14" t="str">
        <x:v>Yes</x:v>
      </x:c>
      <x:c r="P194" s="14" t="str">
        <x:v>Clean/NM benchmark unless noted</x:v>
      </x:c>
      <x:c r="Q194" s="16" t="n">
        <x:v>1.5</x:v>
      </x:c>
      <x:c r="R194" s="16" t="n">
        <x:v>2</x:v>
      </x:c>
      <x:c r="S194" s="16" t="n">
        <x:f>IF(AND(ISNUMBER(Q194),ISNUMBER(R194)),AVERAGE(Q194:R194),K194)</x:f>
        <x:v>1.75</x:v>
      </x:c>
      <x:c r="T194" s="14" t="str"/>
      <x:c r="U194" s="18" t="n">
        <x:v>674</x:v>
      </x:c>
      <x:c r="V194" s="14" t="str">
        <x:v>Uploaded Pokémon chat JSON / prior card-by-card research</x:v>
      </x:c>
      <x:c r="W194" s="14" t="str"/>
    </x:row>
    <x:row r="195">
      <x:c r="A195" s="18" t="n">
        <x:v>194</x:v>
      </x:c>
      <x:c r="B195" s="14" t="str">
        <x:v>Dragon / Dragon Vault</x:v>
      </x:c>
      <x:c r="C195" s="14" t="str">
        <x:v>Fraxure</x:v>
      </x:c>
      <x:c r="D195" s="14" t="str">
        <x:v>15/20</x:v>
      </x:c>
      <x:c r="E195" s="14" t="str">
        <x:v>Dragon Vault</x:v>
      </x:c>
      <x:c r="F195" s="18" t="n">
        <x:v>2012</x:v>
      </x:c>
      <x:c r="G195" s="14" t="str">
        <x:v>Holo</x:v>
      </x:c>
      <x:c r="H195" s="14" t="str">
        <x:v>3 of 4</x:v>
      </x:c>
      <x:c r="I195" s="16" t="n">
        <x:v>1.5</x:v>
      </x:c>
      <x:c r="J195" s="16" t="n">
        <x:v>2</x:v>
      </x:c>
      <x:c r="K195" s="16" t="n">
        <x:f>IF(AND(ISNUMBER(I195),ISNUMBER(J195)),AVERAGE(I195:J195),"")</x:f>
        <x:v>1.75</x:v>
      </x:c>
      <x:c r="L195" s="14" t="str">
        <x:v>$1–5</x:v>
      </x:c>
      <x:c r="M195" s="14" t="str">
        <x:v>Yes</x:v>
      </x:c>
      <x:c r="N195" s="14" t="str">
        <x:v>No</x:v>
      </x:c>
      <x:c r="O195" s="14" t="str">
        <x:v>Yes</x:v>
      </x:c>
      <x:c r="P195" s="14" t="str">
        <x:v>Clean/NM benchmark unless noted</x:v>
      </x:c>
      <x:c r="Q195" s="16" t="n">
        <x:v>1.5</x:v>
      </x:c>
      <x:c r="R195" s="16" t="n">
        <x:v>2</x:v>
      </x:c>
      <x:c r="S195" s="16" t="n">
        <x:f>IF(AND(ISNUMBER(Q195),ISNUMBER(R195)),AVERAGE(Q195:R195),K195)</x:f>
        <x:v>1.75</x:v>
      </x:c>
      <x:c r="T195" s="14" t="str"/>
      <x:c r="U195" s="18" t="n">
        <x:v>674</x:v>
      </x:c>
      <x:c r="V195" s="14" t="str">
        <x:v>Uploaded Pokémon chat JSON / prior card-by-card research</x:v>
      </x:c>
      <x:c r="W195" s="14" t="str"/>
    </x:row>
    <x:row r="196">
      <x:c r="A196" s="18" t="n">
        <x:v>195</x:v>
      </x:c>
      <x:c r="B196" s="14" t="str">
        <x:v>Dragon / Dragon Vault</x:v>
      </x:c>
      <x:c r="C196" s="14" t="str">
        <x:v>Fraxure</x:v>
      </x:c>
      <x:c r="D196" s="14" t="str">
        <x:v>15/20</x:v>
      </x:c>
      <x:c r="E196" s="14" t="str">
        <x:v>Dragon Vault</x:v>
      </x:c>
      <x:c r="F196" s="18" t="n">
        <x:v>2012</x:v>
      </x:c>
      <x:c r="G196" s="14" t="str">
        <x:v>Holo</x:v>
      </x:c>
      <x:c r="H196" s="14" t="str">
        <x:v>4 of 4</x:v>
      </x:c>
      <x:c r="I196" s="16" t="n">
        <x:v>1.5</x:v>
      </x:c>
      <x:c r="J196" s="16" t="n">
        <x:v>2</x:v>
      </x:c>
      <x:c r="K196" s="16" t="n">
        <x:f>IF(AND(ISNUMBER(I196),ISNUMBER(J196)),AVERAGE(I196:J196),"")</x:f>
        <x:v>1.75</x:v>
      </x:c>
      <x:c r="L196" s="14" t="str">
        <x:v>$1–5</x:v>
      </x:c>
      <x:c r="M196" s="14" t="str">
        <x:v>Yes</x:v>
      </x:c>
      <x:c r="N196" s="14" t="str">
        <x:v>No</x:v>
      </x:c>
      <x:c r="O196" s="14" t="str">
        <x:v>Yes</x:v>
      </x:c>
      <x:c r="P196" s="14" t="str">
        <x:v>Clean/NM benchmark unless noted</x:v>
      </x:c>
      <x:c r="Q196" s="16" t="n">
        <x:v>1.5</x:v>
      </x:c>
      <x:c r="R196" s="16" t="n">
        <x:v>2</x:v>
      </x:c>
      <x:c r="S196" s="16" t="n">
        <x:f>IF(AND(ISNUMBER(Q196),ISNUMBER(R196)),AVERAGE(Q196:R196),K196)</x:f>
        <x:v>1.75</x:v>
      </x:c>
      <x:c r="T196" s="14" t="str"/>
      <x:c r="U196" s="18" t="n">
        <x:v>674</x:v>
      </x:c>
      <x:c r="V196" s="14" t="str">
        <x:v>Uploaded Pokémon chat JSON / prior card-by-card research</x:v>
      </x:c>
      <x:c r="W196" s="14" t="str"/>
    </x:row>
    <x:row r="197">
      <x:c r="A197" s="18" t="n">
        <x:v>196</x:v>
      </x:c>
      <x:c r="B197" s="14" t="str">
        <x:v>Dragon / Dragon Vault</x:v>
      </x:c>
      <x:c r="C197" s="14" t="str">
        <x:v>Vibrava</x:v>
      </x:c>
      <x:c r="D197" s="14" t="str">
        <x:v>98/149</x:v>
      </x:c>
      <x:c r="E197" s="14" t="str">
        <x:v>Boundaries Crossed</x:v>
      </x:c>
      <x:c r="F197" s="18" t="n">
        <x:v>2012</x:v>
      </x:c>
      <x:c r="G197" s="14" t="str">
        <x:v>Reverse Holo</x:v>
      </x:c>
      <x:c r="H197" s="14" t="str">
        <x:v>1 of 2</x:v>
      </x:c>
      <x:c r="I197" s="16" t="n">
        <x:v>2.6</x:v>
      </x:c>
      <x:c r="J197" s="16" t="n">
        <x:v>2.62</x:v>
      </x:c>
      <x:c r="K197" s="16" t="n">
        <x:f>IF(AND(ISNUMBER(I197),ISNUMBER(J197)),AVERAGE(I197:J197),"")</x:f>
        <x:v>2.6100000000000003</x:v>
      </x:c>
      <x:c r="L197" s="14" t="str">
        <x:v>$1–5</x:v>
      </x:c>
      <x:c r="M197" s="14" t="str">
        <x:v>Yes</x:v>
      </x:c>
      <x:c r="N197" s="14" t="str">
        <x:v>No</x:v>
      </x:c>
      <x:c r="O197" s="14" t="str">
        <x:v>Yes</x:v>
      </x:c>
      <x:c r="P197" s="14" t="str">
        <x:v>Clean/NM benchmark unless noted</x:v>
      </x:c>
      <x:c r="Q197" s="16" t="n">
        <x:v>2.6</x:v>
      </x:c>
      <x:c r="R197" s="16" t="n">
        <x:v>2.62</x:v>
      </x:c>
      <x:c r="S197" s="16" t="n">
        <x:f>IF(AND(ISNUMBER(Q197),ISNUMBER(R197)),AVERAGE(Q197:R197),K197)</x:f>
        <x:v>2.6100000000000003</x:v>
      </x:c>
      <x:c r="T197" s="14" t="str">
        <x:v>Second physical copy sent later at index 716.</x:v>
      </x:c>
      <x:c r="U197" s="18" t="n">
        <x:v>680</x:v>
      </x:c>
      <x:c r="V197" s="14" t="str">
        <x:v>Uploaded Pokémon chat JSON / prior card-by-card research</x:v>
      </x:c>
      <x:c r="W197" s="14" t="str"/>
    </x:row>
    <x:row r="198">
      <x:c r="A198" s="18" t="n">
        <x:v>197</x:v>
      </x:c>
      <x:c r="B198" s="14" t="str">
        <x:v>Dragon / Dragon Vault</x:v>
      </x:c>
      <x:c r="C198" s="14" t="str">
        <x:v>Vibrava</x:v>
      </x:c>
      <x:c r="D198" s="14" t="str">
        <x:v>98/149</x:v>
      </x:c>
      <x:c r="E198" s="14" t="str">
        <x:v>Boundaries Crossed</x:v>
      </x:c>
      <x:c r="F198" s="18" t="n">
        <x:v>2012</x:v>
      </x:c>
      <x:c r="G198" s="14" t="str">
        <x:v>Reverse Holo</x:v>
      </x:c>
      <x:c r="H198" s="14" t="str">
        <x:v>2 of 2</x:v>
      </x:c>
      <x:c r="I198" s="16" t="n">
        <x:v>2.6</x:v>
      </x:c>
      <x:c r="J198" s="16" t="n">
        <x:v>2.62</x:v>
      </x:c>
      <x:c r="K198" s="16" t="n">
        <x:f>IF(AND(ISNUMBER(I198),ISNUMBER(J198)),AVERAGE(I198:J198),"")</x:f>
        <x:v>2.6100000000000003</x:v>
      </x:c>
      <x:c r="L198" s="14" t="str">
        <x:v>$1–5</x:v>
      </x:c>
      <x:c r="M198" s="14" t="str">
        <x:v>Yes</x:v>
      </x:c>
      <x:c r="N198" s="14" t="str">
        <x:v>No</x:v>
      </x:c>
      <x:c r="O198" s="14" t="str">
        <x:v>Yes</x:v>
      </x:c>
      <x:c r="P198" s="14" t="str">
        <x:v>Clean/NM benchmark unless noted</x:v>
      </x:c>
      <x:c r="Q198" s="16" t="n">
        <x:v>2.6</x:v>
      </x:c>
      <x:c r="R198" s="16" t="n">
        <x:v>2.62</x:v>
      </x:c>
      <x:c r="S198" s="16" t="n">
        <x:f>IF(AND(ISNUMBER(Q198),ISNUMBER(R198)),AVERAGE(Q198:R198),K198)</x:f>
        <x:v>2.6100000000000003</x:v>
      </x:c>
      <x:c r="T198" s="14" t="str">
        <x:v>Second physical copy sent later at index 716.</x:v>
      </x:c>
      <x:c r="U198" s="18" t="n">
        <x:v>680</x:v>
      </x:c>
      <x:c r="V198" s="14" t="str">
        <x:v>Uploaded Pokémon chat JSON / prior card-by-card research</x:v>
      </x:c>
      <x:c r="W198" s="14" t="str"/>
    </x:row>
    <x:row r="199">
      <x:c r="A199" s="18" t="n">
        <x:v>198</x:v>
      </x:c>
      <x:c r="B199" s="14" t="str">
        <x:v>Dragon / Dragon Vault</x:v>
      </x:c>
      <x:c r="C199" s="14" t="str">
        <x:v>Gabite</x:v>
      </x:c>
      <x:c r="D199" s="14" t="str">
        <x:v>89/124</x:v>
      </x:c>
      <x:c r="E199" s="14" t="str">
        <x:v>Dragons Exalted</x:v>
      </x:c>
      <x:c r="F199" s="18" t="n">
        <x:v>2012</x:v>
      </x:c>
      <x:c r="G199" s="14" t="str">
        <x:v>Reverse Holo</x:v>
      </x:c>
      <x:c r="H199" s="14" t="str">
        <x:v>1 of 1</x:v>
      </x:c>
      <x:c r="I199" s="16" t="n">
        <x:v>19.5</x:v>
      </x:c>
      <x:c r="J199" s="16" t="n">
        <x:v>20</x:v>
      </x:c>
      <x:c r="K199" s="16" t="n">
        <x:f>IF(AND(ISNUMBER(I199),ISNUMBER(J199)),AVERAGE(I199:J199),"")</x:f>
        <x:v>19.75</x:v>
      </x:c>
      <x:c r="L199" s="14" t="str">
        <x:v>$5–20</x:v>
      </x:c>
      <x:c r="M199" s="14" t="str">
        <x:v>Yes</x:v>
      </x:c>
      <x:c r="N199" s="14" t="str">
        <x:v>Yes</x:v>
      </x:c>
      <x:c r="O199" s="14" t="str">
        <x:v>Yes</x:v>
      </x:c>
      <x:c r="P199" s="14" t="str">
        <x:v>Clean/NM benchmark unless noted</x:v>
      </x:c>
      <x:c r="Q199" s="16" t="n">
        <x:v>19.5</x:v>
      </x:c>
      <x:c r="R199" s="16" t="n">
        <x:v>20</x:v>
      </x:c>
      <x:c r="S199" s="16" t="n">
        <x:f>IF(AND(ISNUMBER(Q199),ISNUMBER(R199)),AVERAGE(Q199:R199),K199)</x:f>
        <x:v>19.75</x:v>
      </x:c>
      <x:c r="T199" s="14" t="str"/>
      <x:c r="U199" s="18" t="n">
        <x:v>680</x:v>
      </x:c>
      <x:c r="V199" s="14" t="str">
        <x:v>Uploaded Pokémon chat JSON / prior card-by-card research</x:v>
      </x:c>
      <x:c r="W199" s="14" t="str"/>
    </x:row>
    <x:row r="200">
      <x:c r="A200" s="18" t="n">
        <x:v>199</x:v>
      </x:c>
      <x:c r="B200" s="14" t="str">
        <x:v>Dragon / Dragon Vault</x:v>
      </x:c>
      <x:c r="C200" s="14" t="str">
        <x:v>Gabite</x:v>
      </x:c>
      <x:c r="D200" s="14" t="str">
        <x:v>95/113</x:v>
      </x:c>
      <x:c r="E200" s="14" t="str">
        <x:v>Legendary Treasures</x:v>
      </x:c>
      <x:c r="F200" s="18" t="n">
        <x:v>2013</x:v>
      </x:c>
      <x:c r="G200" s="14" t="str">
        <x:v>Regular</x:v>
      </x:c>
      <x:c r="H200" s="14" t="str">
        <x:v>1 of 2</x:v>
      </x:c>
      <x:c r="I200" s="16" t="n">
        <x:v>0.55</x:v>
      </x:c>
      <x:c r="J200" s="16" t="n">
        <x:v>0.95</x:v>
      </x:c>
      <x:c r="K200" s="16" t="n">
        <x:f>IF(AND(ISNUMBER(I200),ISNUMBER(J200)),AVERAGE(I200:J200),"")</x:f>
        <x:v>0.75</x:v>
      </x:c>
      <x:c r="L200" s="14" t="str">
        <x:v>&lt;$1</x:v>
      </x:c>
      <x:c r="M200" s="14" t="str">
        <x:v>No</x:v>
      </x:c>
      <x:c r="N200" s="14" t="str">
        <x:v>No</x:v>
      </x:c>
      <x:c r="O200" s="14" t="str">
        <x:v>No</x:v>
      </x:c>
      <x:c r="P200" s="14" t="str">
        <x:v>Clean/NM benchmark unless noted</x:v>
      </x:c>
      <x:c r="Q200" s="16" t="n">
        <x:v>0.55</x:v>
      </x:c>
      <x:c r="R200" s="16" t="n">
        <x:v>0.95</x:v>
      </x:c>
      <x:c r="S200" s="16" t="n">
        <x:f>IF(AND(ISNUMBER(Q200),ISNUMBER(R200)),AVERAGE(Q200:R200),K200)</x:f>
        <x:v>0.75</x:v>
      </x:c>
      <x:c r="T200" s="14" t="str"/>
      <x:c r="U200" s="18" t="n">
        <x:v>686</x:v>
      </x:c>
      <x:c r="V200" s="14" t="str">
        <x:v>Uploaded Pokémon chat JSON / prior card-by-card research</x:v>
      </x:c>
      <x:c r="W200" s="14" t="str"/>
    </x:row>
    <x:row r="201">
      <x:c r="A201" s="18" t="n">
        <x:v>200</x:v>
      </x:c>
      <x:c r="B201" s="14" t="str">
        <x:v>Dragon / Dragon Vault</x:v>
      </x:c>
      <x:c r="C201" s="14" t="str">
        <x:v>Gabite</x:v>
      </x:c>
      <x:c r="D201" s="14" t="str">
        <x:v>95/113</x:v>
      </x:c>
      <x:c r="E201" s="14" t="str">
        <x:v>Legendary Treasures</x:v>
      </x:c>
      <x:c r="F201" s="18" t="n">
        <x:v>2013</x:v>
      </x:c>
      <x:c r="G201" s="14" t="str">
        <x:v>Regular</x:v>
      </x:c>
      <x:c r="H201" s="14" t="str">
        <x:v>2 of 2</x:v>
      </x:c>
      <x:c r="I201" s="16" t="n">
        <x:v>0.55</x:v>
      </x:c>
      <x:c r="J201" s="16" t="n">
        <x:v>0.95</x:v>
      </x:c>
      <x:c r="K201" s="16" t="n">
        <x:f>IF(AND(ISNUMBER(I201),ISNUMBER(J201)),AVERAGE(I201:J201),"")</x:f>
        <x:v>0.75</x:v>
      </x:c>
      <x:c r="L201" s="14" t="str">
        <x:v>&lt;$1</x:v>
      </x:c>
      <x:c r="M201" s="14" t="str">
        <x:v>No</x:v>
      </x:c>
      <x:c r="N201" s="14" t="str">
        <x:v>No</x:v>
      </x:c>
      <x:c r="O201" s="14" t="str">
        <x:v>No</x:v>
      </x:c>
      <x:c r="P201" s="14" t="str">
        <x:v>Clean/NM benchmark unless noted</x:v>
      </x:c>
      <x:c r="Q201" s="16" t="n">
        <x:v>0.55</x:v>
      </x:c>
      <x:c r="R201" s="16" t="n">
        <x:v>0.95</x:v>
      </x:c>
      <x:c r="S201" s="16" t="n">
        <x:f>IF(AND(ISNUMBER(Q201),ISNUMBER(R201)),AVERAGE(Q201:R201),K201)</x:f>
        <x:v>0.75</x:v>
      </x:c>
      <x:c r="T201" s="14" t="str"/>
      <x:c r="U201" s="18" t="n">
        <x:v>686</x:v>
      </x:c>
      <x:c r="V201" s="14" t="str">
        <x:v>Uploaded Pokémon chat JSON / prior card-by-card research</x:v>
      </x:c>
      <x:c r="W201" s="14" t="str"/>
    </x:row>
    <x:row r="202">
      <x:c r="A202" s="18" t="n">
        <x:v>201</x:v>
      </x:c>
      <x:c r="B202" s="14" t="str">
        <x:v>Dragon / Dragon Vault</x:v>
      </x:c>
      <x:c r="C202" s="14" t="str">
        <x:v>Flygon</x:v>
      </x:c>
      <x:c r="D202" s="14" t="str">
        <x:v>99/149</x:v>
      </x:c>
      <x:c r="E202" s="14" t="str">
        <x:v>Boundaries Crossed</x:v>
      </x:c>
      <x:c r="F202" s="18" t="n">
        <x:v>2012</x:v>
      </x:c>
      <x:c r="G202" s="14" t="str">
        <x:v>Holo Rare</x:v>
      </x:c>
      <x:c r="H202" s="14" t="str">
        <x:v>1 of 3</x:v>
      </x:c>
      <x:c r="I202" s="16" t="n">
        <x:v>13</x:v>
      </x:c>
      <x:c r="J202" s="16" t="n">
        <x:v>14</x:v>
      </x:c>
      <x:c r="K202" s="16" t="n">
        <x:f>IF(AND(ISNUMBER(I202),ISNUMBER(J202)),AVERAGE(I202:J202),"")</x:f>
        <x:v>13.5</x:v>
      </x:c>
      <x:c r="L202" s="14" t="str">
        <x:v>$5–20</x:v>
      </x:c>
      <x:c r="M202" s="14" t="str">
        <x:v>Yes</x:v>
      </x:c>
      <x:c r="N202" s="14" t="str">
        <x:v>Yes</x:v>
      </x:c>
      <x:c r="O202" s="14" t="str">
        <x:v>Yes</x:v>
      </x:c>
      <x:c r="P202" s="14" t="str">
        <x:v>Clean/NM benchmark unless noted</x:v>
      </x:c>
      <x:c r="Q202" s="16" t="n">
        <x:v>13</x:v>
      </x:c>
      <x:c r="R202" s="16" t="n">
        <x:v>14</x:v>
      </x:c>
      <x:c r="S202" s="16" t="n">
        <x:f>IF(AND(ISNUMBER(Q202),ISNUMBER(R202)),AVERAGE(Q202:R202),K202)</x:f>
        <x:v>13.5</x:v>
      </x:c>
      <x:c r="T202" s="14" t="str"/>
      <x:c r="U202" s="18" t="n">
        <x:v>692</x:v>
      </x:c>
      <x:c r="V202" s="14" t="str">
        <x:v>Uploaded Pokémon chat JSON / prior card-by-card research</x:v>
      </x:c>
      <x:c r="W202" s="14" t="str"/>
    </x:row>
    <x:row r="203">
      <x:c r="A203" s="18" t="n">
        <x:v>202</x:v>
      </x:c>
      <x:c r="B203" s="14" t="str">
        <x:v>Dragon / Dragon Vault</x:v>
      </x:c>
      <x:c r="C203" s="14" t="str">
        <x:v>Flygon</x:v>
      </x:c>
      <x:c r="D203" s="14" t="str">
        <x:v>99/149</x:v>
      </x:c>
      <x:c r="E203" s="14" t="str">
        <x:v>Boundaries Crossed</x:v>
      </x:c>
      <x:c r="F203" s="18" t="n">
        <x:v>2012</x:v>
      </x:c>
      <x:c r="G203" s="14" t="str">
        <x:v>Holo Rare</x:v>
      </x:c>
      <x:c r="H203" s="14" t="str">
        <x:v>2 of 3</x:v>
      </x:c>
      <x:c r="I203" s="16" t="n">
        <x:v>13</x:v>
      </x:c>
      <x:c r="J203" s="16" t="n">
        <x:v>14</x:v>
      </x:c>
      <x:c r="K203" s="16" t="n">
        <x:f>IF(AND(ISNUMBER(I203),ISNUMBER(J203)),AVERAGE(I203:J203),"")</x:f>
        <x:v>13.5</x:v>
      </x:c>
      <x:c r="L203" s="14" t="str">
        <x:v>$5–20</x:v>
      </x:c>
      <x:c r="M203" s="14" t="str">
        <x:v>Yes</x:v>
      </x:c>
      <x:c r="N203" s="14" t="str">
        <x:v>Yes</x:v>
      </x:c>
      <x:c r="O203" s="14" t="str">
        <x:v>Yes</x:v>
      </x:c>
      <x:c r="P203" s="14" t="str">
        <x:v>Clean/NM benchmark unless noted</x:v>
      </x:c>
      <x:c r="Q203" s="16" t="n">
        <x:v>13</x:v>
      </x:c>
      <x:c r="R203" s="16" t="n">
        <x:v>14</x:v>
      </x:c>
      <x:c r="S203" s="16" t="n">
        <x:f>IF(AND(ISNUMBER(Q203),ISNUMBER(R203)),AVERAGE(Q203:R203),K203)</x:f>
        <x:v>13.5</x:v>
      </x:c>
      <x:c r="T203" s="14" t="str"/>
      <x:c r="U203" s="18" t="n">
        <x:v>692</x:v>
      </x:c>
      <x:c r="V203" s="14" t="str">
        <x:v>Uploaded Pokémon chat JSON / prior card-by-card research</x:v>
      </x:c>
      <x:c r="W203" s="14" t="str"/>
    </x:row>
    <x:row r="204">
      <x:c r="A204" s="18" t="n">
        <x:v>203</x:v>
      </x:c>
      <x:c r="B204" s="14" t="str">
        <x:v>Dragon / Dragon Vault</x:v>
      </x:c>
      <x:c r="C204" s="14" t="str">
        <x:v>White Kyurem</x:v>
      </x:c>
      <x:c r="D204" s="14" t="str">
        <x:v>102/149</x:v>
      </x:c>
      <x:c r="E204" s="14" t="str">
        <x:v>Boundaries Crossed</x:v>
      </x:c>
      <x:c r="F204" s="18" t="n">
        <x:v>2012</x:v>
      </x:c>
      <x:c r="G204" s="14" t="str">
        <x:v>Holo</x:v>
      </x:c>
      <x:c r="H204" s="14" t="str">
        <x:v>1 of 1</x:v>
      </x:c>
      <x:c r="I204" s="16" t="n">
        <x:v>1.5</x:v>
      </x:c>
      <x:c r="J204" s="16" t="n">
        <x:v>2</x:v>
      </x:c>
      <x:c r="K204" s="16" t="n">
        <x:f>IF(AND(ISNUMBER(I204),ISNUMBER(J204)),AVERAGE(I204:J204),"")</x:f>
        <x:v>1.75</x:v>
      </x:c>
      <x:c r="L204" s="14" t="str">
        <x:v>$1–5</x:v>
      </x:c>
      <x:c r="M204" s="14" t="str">
        <x:v>Yes</x:v>
      </x:c>
      <x:c r="N204" s="14" t="str">
        <x:v>No</x:v>
      </x:c>
      <x:c r="O204" s="14" t="str">
        <x:v>Yes</x:v>
      </x:c>
      <x:c r="P204" s="14" t="str">
        <x:v>Clean/NM benchmark unless noted</x:v>
      </x:c>
      <x:c r="Q204" s="16" t="n">
        <x:v>1.5</x:v>
      </x:c>
      <x:c r="R204" s="16" t="n">
        <x:v>2</x:v>
      </x:c>
      <x:c r="S204" s="16" t="n">
        <x:f>IF(AND(ISNUMBER(Q204),ISNUMBER(R204)),AVERAGE(Q204:R204),K204)</x:f>
        <x:v>1.75</x:v>
      </x:c>
      <x:c r="T204" s="14" t="str">
        <x:v>Originally assumed regular; corrected to holo at index 754 without adding a card.</x:v>
      </x:c>
      <x:c r="U204" s="18" t="n">
        <x:v>698</x:v>
      </x:c>
      <x:c r="V204" s="14" t="str">
        <x:v>Uploaded Pokémon chat JSON / prior card-by-card research</x:v>
      </x:c>
      <x:c r="W204" s="14" t="str"/>
    </x:row>
    <x:row r="205">
      <x:c r="A205" s="18" t="n">
        <x:v>204</x:v>
      </x:c>
      <x:c r="B205" s="14" t="str">
        <x:v>Dragon / Dragon Vault</x:v>
      </x:c>
      <x:c r="C205" s="14" t="str">
        <x:v>Black Kyurem</x:v>
      </x:c>
      <x:c r="D205" s="14" t="str">
        <x:v>100/149</x:v>
      </x:c>
      <x:c r="E205" s="14" t="str">
        <x:v>Boundaries Crossed</x:v>
      </x:c>
      <x:c r="F205" s="18" t="n">
        <x:v>2012</x:v>
      </x:c>
      <x:c r="G205" s="14" t="str">
        <x:v>Regular</x:v>
      </x:c>
      <x:c r="H205" s="14" t="str">
        <x:v>1 of 1</x:v>
      </x:c>
      <x:c r="I205" s="16" t="n">
        <x:v>1</x:v>
      </x:c>
      <x:c r="J205" s="16" t="n">
        <x:v>1.5</x:v>
      </x:c>
      <x:c r="K205" s="16" t="n">
        <x:f>IF(AND(ISNUMBER(I205),ISNUMBER(J205)),AVERAGE(I205:J205),"")</x:f>
        <x:v>1.25</x:v>
      </x:c>
      <x:c r="L205" s="14" t="str">
        <x:v>$1–5</x:v>
      </x:c>
      <x:c r="M205" s="14" t="str">
        <x:v>Yes</x:v>
      </x:c>
      <x:c r="N205" s="14" t="str">
        <x:v>No</x:v>
      </x:c>
      <x:c r="O205" s="14" t="str">
        <x:v>Yes</x:v>
      </x:c>
      <x:c r="P205" s="14" t="str">
        <x:v>Clean/NM benchmark unless noted</x:v>
      </x:c>
      <x:c r="Q205" s="16" t="n">
        <x:v>1</x:v>
      </x:c>
      <x:c r="R205" s="16" t="n">
        <x:v>1.5</x:v>
      </x:c>
      <x:c r="S205" s="16" t="n">
        <x:f>IF(AND(ISNUMBER(Q205),ISNUMBER(R205)),AVERAGE(Q205:R205),K205)</x:f>
        <x:v>1.25</x:v>
      </x:c>
      <x:c r="T205" s="14" t="str"/>
      <x:c r="U205" s="18" t="n">
        <x:v>704</x:v>
      </x:c>
      <x:c r="V205" s="14" t="str">
        <x:v>Uploaded Pokémon chat JSON / prior card-by-card research</x:v>
      </x:c>
      <x:c r="W205" s="14" t="str"/>
    </x:row>
    <x:row r="206">
      <x:c r="A206" s="18" t="n">
        <x:v>205</x:v>
      </x:c>
      <x:c r="B206" s="14" t="str">
        <x:v>Dragon / Dragon Vault</x:v>
      </x:c>
      <x:c r="C206" s="14" t="str">
        <x:v>Hydreigon</x:v>
      </x:c>
      <x:c r="D206" s="14" t="str">
        <x:v>98/124</x:v>
      </x:c>
      <x:c r="E206" s="14" t="str">
        <x:v>Dragons Exalted</x:v>
      </x:c>
      <x:c r="F206" s="18" t="n">
        <x:v>2012</x:v>
      </x:c>
      <x:c r="G206" s="14" t="str">
        <x:v>Regular</x:v>
      </x:c>
      <x:c r="H206" s="14" t="str">
        <x:v>1 of 1</x:v>
      </x:c>
      <x:c r="I206" s="16" t="n">
        <x:v>0.8</x:v>
      </x:c>
      <x:c r="J206" s="16" t="n">
        <x:v>1</x:v>
      </x:c>
      <x:c r="K206" s="16" t="n">
        <x:f>IF(AND(ISNUMBER(I206),ISNUMBER(J206)),AVERAGE(I206:J206),"")</x:f>
        <x:v>0.9</x:v>
      </x:c>
      <x:c r="L206" s="14" t="str">
        <x:v>&lt;$1</x:v>
      </x:c>
      <x:c r="M206" s="14" t="str">
        <x:v>No</x:v>
      </x:c>
      <x:c r="N206" s="14" t="str">
        <x:v>No</x:v>
      </x:c>
      <x:c r="O206" s="14" t="str">
        <x:v>No</x:v>
      </x:c>
      <x:c r="P206" s="14" t="str">
        <x:v>Clean/NM benchmark unless noted</x:v>
      </x:c>
      <x:c r="Q206" s="16" t="n">
        <x:v>0.8</x:v>
      </x:c>
      <x:c r="R206" s="16" t="n">
        <x:v>1</x:v>
      </x:c>
      <x:c r="S206" s="16" t="n">
        <x:f>IF(AND(ISNUMBER(Q206),ISNUMBER(R206)),AVERAGE(Q206:R206),K206)</x:f>
        <x:v>0.9</x:v>
      </x:c>
      <x:c r="T206" s="14" t="str"/>
      <x:c r="U206" s="18" t="n">
        <x:v>710</x:v>
      </x:c>
      <x:c r="V206" s="14" t="str">
        <x:v>Uploaded Pokémon chat JSON / prior card-by-card research</x:v>
      </x:c>
      <x:c r="W206" s="14" t="str"/>
    </x:row>
    <x:row r="207">
      <x:c r="A207" s="18" t="n">
        <x:v>206</x:v>
      </x:c>
      <x:c r="B207" s="14" t="str">
        <x:v>Dragon / Dragon Vault</x:v>
      </x:c>
      <x:c r="C207" s="14" t="str">
        <x:v>Dragonair</x:v>
      </x:c>
      <x:c r="D207" s="14" t="str">
        <x:v>82/116</x:v>
      </x:c>
      <x:c r="E207" s="14" t="str">
        <x:v>Plasma Freeze</x:v>
      </x:c>
      <x:c r="F207" s="18" t="n">
        <x:v>2013</x:v>
      </x:c>
      <x:c r="G207" s="14" t="str">
        <x:v>Regular</x:v>
      </x:c>
      <x:c r="H207" s="14" t="str">
        <x:v>1 of 2</x:v>
      </x:c>
      <x:c r="I207" s="16" t="n">
        <x:v>2</x:v>
      </x:c>
      <x:c r="J207" s="16" t="n">
        <x:v>2.06</x:v>
      </x:c>
      <x:c r="K207" s="16" t="n">
        <x:f>IF(AND(ISNUMBER(I207),ISNUMBER(J207)),AVERAGE(I207:J207),"")</x:f>
        <x:v>2.0300000000000002</x:v>
      </x:c>
      <x:c r="L207" s="14" t="str">
        <x:v>$1–5</x:v>
      </x:c>
      <x:c r="M207" s="14" t="str">
        <x:v>Yes</x:v>
      </x:c>
      <x:c r="N207" s="14" t="str">
        <x:v>No</x:v>
      </x:c>
      <x:c r="O207" s="14" t="str">
        <x:v>Yes</x:v>
      </x:c>
      <x:c r="P207" s="14" t="str">
        <x:v>Clean/NM benchmark unless noted</x:v>
      </x:c>
      <x:c r="Q207" s="16" t="n">
        <x:v>2</x:v>
      </x:c>
      <x:c r="R207" s="16" t="n">
        <x:v>2.06</x:v>
      </x:c>
      <x:c r="S207" s="16" t="n">
        <x:f>IF(AND(ISNUMBER(Q207),ISNUMBER(R207)),AVERAGE(Q207:R207),K207)</x:f>
        <x:v>2.0300000000000002</x:v>
      </x:c>
      <x:c r="T207" s="14" t="str"/>
      <x:c r="U207" s="18" t="n">
        <x:v>710</x:v>
      </x:c>
      <x:c r="V207" s="14" t="str">
        <x:v>Uploaded Pokémon chat JSON / prior card-by-card research</x:v>
      </x:c>
      <x:c r="W207" s="14" t="str"/>
    </x:row>
    <x:row r="208">
      <x:c r="A208" s="18" t="n">
        <x:v>207</x:v>
      </x:c>
      <x:c r="B208" s="14" t="str">
        <x:v>Dragon / Dragon Vault</x:v>
      </x:c>
      <x:c r="C208" s="14" t="str">
        <x:v>Gabite</x:v>
      </x:c>
      <x:c r="D208" s="14" t="str">
        <x:v>88/124</x:v>
      </x:c>
      <x:c r="E208" s="14" t="str">
        <x:v>Dragons Exalted</x:v>
      </x:c>
      <x:c r="F208" s="18" t="n">
        <x:v>2012</x:v>
      </x:c>
      <x:c r="G208" s="14" t="str">
        <x:v>Reverse Holo</x:v>
      </x:c>
      <x:c r="H208" s="14" t="str">
        <x:v>1 of 1</x:v>
      </x:c>
      <x:c r="I208" s="16" t="n">
        <x:v>2.75</x:v>
      </x:c>
      <x:c r="J208" s="16" t="n">
        <x:v>3</x:v>
      </x:c>
      <x:c r="K208" s="16" t="n">
        <x:f>IF(AND(ISNUMBER(I208),ISNUMBER(J208)),AVERAGE(I208:J208),"")</x:f>
        <x:v>2.875</x:v>
      </x:c>
      <x:c r="L208" s="14" t="str">
        <x:v>$1–5</x:v>
      </x:c>
      <x:c r="M208" s="14" t="str">
        <x:v>Yes</x:v>
      </x:c>
      <x:c r="N208" s="14" t="str">
        <x:v>No</x:v>
      </x:c>
      <x:c r="O208" s="14" t="str">
        <x:v>Yes</x:v>
      </x:c>
      <x:c r="P208" s="14" t="str">
        <x:v>Clean/NM benchmark unless noted</x:v>
      </x:c>
      <x:c r="Q208" s="16" t="n">
        <x:v>2.75</x:v>
      </x:c>
      <x:c r="R208" s="16" t="n">
        <x:v>3</x:v>
      </x:c>
      <x:c r="S208" s="16" t="n">
        <x:f>IF(AND(ISNUMBER(Q208),ISNUMBER(R208)),AVERAGE(Q208:R208),K208)</x:f>
        <x:v>2.875</x:v>
      </x:c>
      <x:c r="T208" s="14" t="str"/>
      <x:c r="U208" s="18" t="n">
        <x:v>722</x:v>
      </x:c>
      <x:c r="V208" s="14" t="str">
        <x:v>Uploaded Pokémon chat JSON / prior card-by-card research</x:v>
      </x:c>
      <x:c r="W208" s="14" t="str"/>
    </x:row>
    <x:row r="209">
      <x:c r="A209" s="18" t="n">
        <x:v>208</x:v>
      </x:c>
      <x:c r="B209" s="14" t="str">
        <x:v>Dragon / Dragon Vault</x:v>
      </x:c>
      <x:c r="C209" s="14" t="str">
        <x:v>Zweilous</x:v>
      </x:c>
      <x:c r="D209" s="14" t="str">
        <x:v>95/124</x:v>
      </x:c>
      <x:c r="E209" s="14" t="str">
        <x:v>Dragons Exalted</x:v>
      </x:c>
      <x:c r="F209" s="18" t="n">
        <x:v>2012</x:v>
      </x:c>
      <x:c r="G209" s="14" t="str">
        <x:v>Reverse Holo</x:v>
      </x:c>
      <x:c r="H209" s="14" t="str">
        <x:v>1 of 1</x:v>
      </x:c>
      <x:c r="I209" s="16" t="n">
        <x:v>1.1</x:v>
      </x:c>
      <x:c r="J209" s="16" t="n">
        <x:v>1.1</x:v>
      </x:c>
      <x:c r="K209" s="16" t="n">
        <x:f>IF(AND(ISNUMBER(I209),ISNUMBER(J209)),AVERAGE(I209:J209),"")</x:f>
        <x:v>1.1</x:v>
      </x:c>
      <x:c r="L209" s="14" t="str">
        <x:v>$1–5</x:v>
      </x:c>
      <x:c r="M209" s="14" t="str">
        <x:v>Yes</x:v>
      </x:c>
      <x:c r="N209" s="14" t="str">
        <x:v>No</x:v>
      </x:c>
      <x:c r="O209" s="14" t="str">
        <x:v>Yes</x:v>
      </x:c>
      <x:c r="P209" s="14" t="str">
        <x:v>Clean/NM benchmark unless noted</x:v>
      </x:c>
      <x:c r="Q209" s="16" t="n">
        <x:v>1.1</x:v>
      </x:c>
      <x:c r="R209" s="16" t="n">
        <x:v>1.1</x:v>
      </x:c>
      <x:c r="S209" s="16" t="n">
        <x:f>IF(AND(ISNUMBER(Q209),ISNUMBER(R209)),AVERAGE(Q209:R209),K209)</x:f>
        <x:v>1.1</x:v>
      </x:c>
      <x:c r="T209" s="14" t="str"/>
      <x:c r="U209" s="18" t="n">
        <x:v>728</x:v>
      </x:c>
      <x:c r="V209" s="14" t="str">
        <x:v>Uploaded Pokémon chat JSON / prior card-by-card research</x:v>
      </x:c>
      <x:c r="W209" s="14" t="str"/>
    </x:row>
    <x:row r="210">
      <x:c r="A210" s="18" t="n">
        <x:v>209</x:v>
      </x:c>
      <x:c r="B210" s="14" t="str">
        <x:v>Post-Dragon / Mixed Pokémon</x:v>
      </x:c>
      <x:c r="C210" s="14" t="str">
        <x:v>Latios</x:v>
      </x:c>
      <x:c r="D210" s="14" t="str">
        <x:v>10/20</x:v>
      </x:c>
      <x:c r="E210" s="14" t="str">
        <x:v>Dragon Vault</x:v>
      </x:c>
      <x:c r="F210" s="18" t="n">
        <x:v>2012</x:v>
      </x:c>
      <x:c r="G210" s="14" t="str">
        <x:v>Holo</x:v>
      </x:c>
      <x:c r="H210" s="14" t="str">
        <x:v>1 of 1</x:v>
      </x:c>
      <x:c r="I210" s="16" t="n">
        <x:v>9</x:v>
      </x:c>
      <x:c r="J210" s="16" t="n">
        <x:v>11</x:v>
      </x:c>
      <x:c r="K210" s="16" t="n">
        <x:f>IF(AND(ISNUMBER(I210),ISNUMBER(J210)),AVERAGE(I210:J210),"")</x:f>
        <x:v>10</x:v>
      </x:c>
      <x:c r="L210" s="14" t="str">
        <x:v>$5–20</x:v>
      </x:c>
      <x:c r="M210" s="14" t="str">
        <x:v>Yes</x:v>
      </x:c>
      <x:c r="N210" s="14" t="str">
        <x:v>Yes</x:v>
      </x:c>
      <x:c r="O210" s="14" t="str">
        <x:v>Yes</x:v>
      </x:c>
      <x:c r="P210" s="14" t="str">
        <x:v>Clean/NM benchmark unless noted</x:v>
      </x:c>
      <x:c r="Q210" s="16" t="n">
        <x:v>9</x:v>
      </x:c>
      <x:c r="R210" s="16" t="n">
        <x:v>11</x:v>
      </x:c>
      <x:c r="S210" s="16" t="n">
        <x:f>IF(AND(ISNUMBER(Q210),ISNUMBER(R210)),AVERAGE(Q210:R210),K210)</x:f>
        <x:v>10</x:v>
      </x:c>
      <x:c r="T210" s="14" t="str">
        <x:v>Additional physical copy; makes 3 total overall.</x:v>
      </x:c>
      <x:c r="U210" s="18" t="n">
        <x:v>751</x:v>
      </x:c>
      <x:c r="V210" s="14" t="str">
        <x:v>Uploaded Pokémon chat JSON / prior card-by-card research</x:v>
      </x:c>
      <x:c r="W210" s="14" t="str"/>
    </x:row>
    <x:row r="211">
      <x:c r="A211" s="18" t="n">
        <x:v>210</x:v>
      </x:c>
      <x:c r="B211" s="14" t="str">
        <x:v>Post-Dragon / Mixed Pokémon</x:v>
      </x:c>
      <x:c r="C211" s="14" t="str">
        <x:v>Salamence</x:v>
      </x:c>
      <x:c r="D211" s="14" t="str">
        <x:v>8/20</x:v>
      </x:c>
      <x:c r="E211" s="14" t="str">
        <x:v>Dragon Vault</x:v>
      </x:c>
      <x:c r="F211" s="18" t="n">
        <x:v>2012</x:v>
      </x:c>
      <x:c r="G211" s="14" t="str">
        <x:v>Holo</x:v>
      </x:c>
      <x:c r="H211" s="14" t="str">
        <x:v>3 of 6</x:v>
      </x:c>
      <x:c r="I211" s="16" t="n">
        <x:v>5.5</x:v>
      </x:c>
      <x:c r="J211" s="16" t="n">
        <x:v>6</x:v>
      </x:c>
      <x:c r="K211" s="16" t="n">
        <x:f>IF(AND(ISNUMBER(I211),ISNUMBER(J211)),AVERAGE(I211:J211),"")</x:f>
        <x:v>5.75</x:v>
      </x:c>
      <x:c r="L211" s="14" t="str">
        <x:v>$5–20</x:v>
      </x:c>
      <x:c r="M211" s="14" t="str">
        <x:v>Yes</x:v>
      </x:c>
      <x:c r="N211" s="14" t="str">
        <x:v>No</x:v>
      </x:c>
      <x:c r="O211" s="14" t="str">
        <x:v>Yes</x:v>
      </x:c>
      <x:c r="P211" s="14" t="str">
        <x:v>Clean/NM benchmark unless noted</x:v>
      </x:c>
      <x:c r="Q211" s="16" t="n">
        <x:v>5.5</x:v>
      </x:c>
      <x:c r="R211" s="16" t="n">
        <x:v>6</x:v>
      </x:c>
      <x:c r="S211" s="16" t="n">
        <x:f>IF(AND(ISNUMBER(Q211),ISNUMBER(R211)),AVERAGE(Q211:R211),K211)</x:f>
        <x:v>5.75</x:v>
      </x:c>
      <x:c r="T211" s="14" t="str">
        <x:v>Additional physical copy; makes 3 total overall.</x:v>
      </x:c>
      <x:c r="U211" s="18" t="n">
        <x:v>751</x:v>
      </x:c>
      <x:c r="V211" s="14" t="str">
        <x:v>Uploaded Pokémon chat JSON / prior card-by-card research</x:v>
      </x:c>
      <x:c r="W211" s="14" t="str"/>
    </x:row>
    <x:row r="212">
      <x:c r="A212" s="18" t="n">
        <x:v>211</x:v>
      </x:c>
      <x:c r="B212" s="14" t="str">
        <x:v>Post-Dragon / Mixed Pokémon</x:v>
      </x:c>
      <x:c r="C212" s="14" t="str">
        <x:v>Raichu</x:v>
      </x:c>
      <x:c r="D212" s="14" t="str">
        <x:v>43/146</x:v>
      </x:c>
      <x:c r="E212" s="14" t="str">
        <x:v>XY Base Set</x:v>
      </x:c>
      <x:c r="F212" s="18" t="n">
        <x:v>2014</x:v>
      </x:c>
      <x:c r="G212" s="14" t="str">
        <x:v>Holo Rare</x:v>
      </x:c>
      <x:c r="H212" s="14" t="str">
        <x:v>1 of 1</x:v>
      </x:c>
      <x:c r="I212" s="16" t="n">
        <x:v>2.85</x:v>
      </x:c>
      <x:c r="J212" s="16" t="n">
        <x:v>3</x:v>
      </x:c>
      <x:c r="K212" s="16" t="n">
        <x:f>IF(AND(ISNUMBER(I212),ISNUMBER(J212)),AVERAGE(I212:J212),"")</x:f>
        <x:v>2.925</x:v>
      </x:c>
      <x:c r="L212" s="14" t="str">
        <x:v>$1–5</x:v>
      </x:c>
      <x:c r="M212" s="14" t="str">
        <x:v>Yes</x:v>
      </x:c>
      <x:c r="N212" s="14" t="str">
        <x:v>No</x:v>
      </x:c>
      <x:c r="O212" s="14" t="str">
        <x:v>Yes</x:v>
      </x:c>
      <x:c r="P212" s="14" t="str">
        <x:v>Clean/NM benchmark unless noted</x:v>
      </x:c>
      <x:c r="Q212" s="16" t="n">
        <x:v>2.85</x:v>
      </x:c>
      <x:c r="R212" s="16" t="n">
        <x:v>3</x:v>
      </x:c>
      <x:c r="S212" s="16" t="n">
        <x:f>IF(AND(ISNUMBER(Q212),ISNUMBER(R212)),AVERAGE(Q212:R212),K212)</x:f>
        <x:v>2.925</x:v>
      </x:c>
      <x:c r="T212" s="14" t="str"/>
      <x:c r="U212" s="18" t="n">
        <x:v>760</x:v>
      </x:c>
      <x:c r="V212" s="14" t="str">
        <x:v>Uploaded Pokémon chat JSON / prior card-by-card research</x:v>
      </x:c>
      <x:c r="W212" s="14" t="str"/>
    </x:row>
    <x:row r="213">
      <x:c r="A213" s="18" t="n">
        <x:v>212</x:v>
      </x:c>
      <x:c r="B213" s="14" t="str">
        <x:v>Post-Dragon / Mixed Pokémon</x:v>
      </x:c>
      <x:c r="C213" s="14" t="str">
        <x:v>Hydreigon</x:v>
      </x:c>
      <x:c r="D213" s="14" t="str">
        <x:v>79/101</x:v>
      </x:c>
      <x:c r="E213" s="14" t="str">
        <x:v>Noble Victories</x:v>
      </x:c>
      <x:c r="F213" s="18" t="n">
        <x:v>2011</x:v>
      </x:c>
      <x:c r="G213" s="14" t="str">
        <x:v>Holo Rare</x:v>
      </x:c>
      <x:c r="H213" s="14" t="str">
        <x:v>1 of 1</x:v>
      </x:c>
      <x:c r="I213" s="16" t="n">
        <x:v>7</x:v>
      </x:c>
      <x:c r="J213" s="16" t="n">
        <x:v>10</x:v>
      </x:c>
      <x:c r="K213" s="16" t="n">
        <x:f>IF(AND(ISNUMBER(I213),ISNUMBER(J213)),AVERAGE(I213:J213),"")</x:f>
        <x:v>8.5</x:v>
      </x:c>
      <x:c r="L213" s="14" t="str">
        <x:v>$5–20</x:v>
      </x:c>
      <x:c r="M213" s="14" t="str">
        <x:v>Yes</x:v>
      </x:c>
      <x:c r="N213" s="14" t="str">
        <x:v>Yes</x:v>
      </x:c>
      <x:c r="O213" s="14" t="str">
        <x:v>Yes</x:v>
      </x:c>
      <x:c r="P213" s="14" t="str">
        <x:v>Clean/NM benchmark unless noted</x:v>
      </x:c>
      <x:c r="Q213" s="16" t="n">
        <x:v>7</x:v>
      </x:c>
      <x:c r="R213" s="16" t="n">
        <x:v>10</x:v>
      </x:c>
      <x:c r="S213" s="16" t="n">
        <x:f>IF(AND(ISNUMBER(Q213),ISNUMBER(R213)),AVERAGE(Q213:R213),K213)</x:f>
        <x:v>8.5</x:v>
      </x:c>
      <x:c r="T213" s="14" t="str">
        <x:v>Old chat top-loaded due current market near/over $10.</x:v>
      </x:c>
      <x:c r="U213" s="18" t="n">
        <x:v>766</x:v>
      </x:c>
      <x:c r="V213" s="14" t="str">
        <x:v>Uploaded Pokémon chat JSON / prior card-by-card research</x:v>
      </x:c>
      <x:c r="W213" s="14" t="str"/>
    </x:row>
    <x:row r="214">
      <x:c r="A214" s="18" t="n">
        <x:v>213</x:v>
      </x:c>
      <x:c r="B214" s="14" t="str">
        <x:v>Post-Dragon / Mixed Pokémon</x:v>
      </x:c>
      <x:c r="C214" s="14" t="str">
        <x:v>Keldeo</x:v>
      </x:c>
      <x:c r="D214" s="14" t="str">
        <x:v>48/149</x:v>
      </x:c>
      <x:c r="E214" s="14" t="str">
        <x:v>Boundaries Crossed</x:v>
      </x:c>
      <x:c r="F214" s="18" t="n">
        <x:v>2012</x:v>
      </x:c>
      <x:c r="G214" s="14" t="str">
        <x:v>Regular</x:v>
      </x:c>
      <x:c r="H214" s="14" t="str">
        <x:v>1 of 2</x:v>
      </x:c>
      <x:c r="I214" s="16" t="n">
        <x:v>0.6</x:v>
      </x:c>
      <x:c r="J214" s="16" t="n">
        <x:v>0.63</x:v>
      </x:c>
      <x:c r="K214" s="16" t="n">
        <x:f>IF(AND(ISNUMBER(I214),ISNUMBER(J214)),AVERAGE(I214:J214),"")</x:f>
        <x:v>0.615</x:v>
      </x:c>
      <x:c r="L214" s="14" t="str">
        <x:v>&lt;$1</x:v>
      </x:c>
      <x:c r="M214" s="14" t="str">
        <x:v>No</x:v>
      </x:c>
      <x:c r="N214" s="14" t="str">
        <x:v>No</x:v>
      </x:c>
      <x:c r="O214" s="14" t="str">
        <x:v>No</x:v>
      </x:c>
      <x:c r="P214" s="14" t="str">
        <x:v>Clean/NM benchmark unless noted</x:v>
      </x:c>
      <x:c r="Q214" s="16" t="n">
        <x:v>0.6</x:v>
      </x:c>
      <x:c r="R214" s="16" t="n">
        <x:v>0.63</x:v>
      </x:c>
      <x:c r="S214" s="16" t="n">
        <x:f>IF(AND(ISNUMBER(Q214),ISNUMBER(R214)),AVERAGE(Q214:R214),K214)</x:f>
        <x:v>0.615</x:v>
      </x:c>
      <x:c r="T214" s="14" t="str"/>
      <x:c r="U214" s="18" t="n">
        <x:v>772</x:v>
      </x:c>
      <x:c r="V214" s="14" t="str">
        <x:v>Uploaded Pokémon chat JSON / prior card-by-card research</x:v>
      </x:c>
      <x:c r="W214" s="14" t="str"/>
    </x:row>
    <x:row r="215">
      <x:c r="A215" s="18" t="n">
        <x:v>214</x:v>
      </x:c>
      <x:c r="B215" s="14" t="str">
        <x:v>Post-Dragon / Mixed Pokémon</x:v>
      </x:c>
      <x:c r="C215" s="14" t="str">
        <x:v>Keldeo</x:v>
      </x:c>
      <x:c r="D215" s="14" t="str">
        <x:v>48/149</x:v>
      </x:c>
      <x:c r="E215" s="14" t="str">
        <x:v>Boundaries Crossed</x:v>
      </x:c>
      <x:c r="F215" s="18" t="n">
        <x:v>2012</x:v>
      </x:c>
      <x:c r="G215" s="14" t="str">
        <x:v>Regular</x:v>
      </x:c>
      <x:c r="H215" s="14" t="str">
        <x:v>2 of 2</x:v>
      </x:c>
      <x:c r="I215" s="16" t="n">
        <x:v>0.6</x:v>
      </x:c>
      <x:c r="J215" s="16" t="n">
        <x:v>0.63</x:v>
      </x:c>
      <x:c r="K215" s="16" t="n">
        <x:f>IF(AND(ISNUMBER(I215),ISNUMBER(J215)),AVERAGE(I215:J215),"")</x:f>
        <x:v>0.615</x:v>
      </x:c>
      <x:c r="L215" s="14" t="str">
        <x:v>&lt;$1</x:v>
      </x:c>
      <x:c r="M215" s="14" t="str">
        <x:v>No</x:v>
      </x:c>
      <x:c r="N215" s="14" t="str">
        <x:v>No</x:v>
      </x:c>
      <x:c r="O215" s="14" t="str">
        <x:v>No</x:v>
      </x:c>
      <x:c r="P215" s="14" t="str">
        <x:v>Clean/NM benchmark unless noted</x:v>
      </x:c>
      <x:c r="Q215" s="16" t="n">
        <x:v>0.6</x:v>
      </x:c>
      <x:c r="R215" s="16" t="n">
        <x:v>0.63</x:v>
      </x:c>
      <x:c r="S215" s="16" t="n">
        <x:f>IF(AND(ISNUMBER(Q215),ISNUMBER(R215)),AVERAGE(Q215:R215),K215)</x:f>
        <x:v>0.615</x:v>
      </x:c>
      <x:c r="T215" s="14" t="str"/>
      <x:c r="U215" s="18" t="n">
        <x:v>772</x:v>
      </x:c>
      <x:c r="V215" s="14" t="str">
        <x:v>Uploaded Pokémon chat JSON / prior card-by-card research</x:v>
      </x:c>
      <x:c r="W215" s="14" t="str"/>
    </x:row>
    <x:row r="216">
      <x:c r="A216" s="18" t="n">
        <x:v>215</x:v>
      </x:c>
      <x:c r="B216" s="14" t="str">
        <x:v>Post-Dragon / Mixed Pokémon</x:v>
      </x:c>
      <x:c r="C216" s="14" t="str">
        <x:v>Simipour</x:v>
      </x:c>
      <x:c r="D216" s="14" t="str">
        <x:v>29/99</x:v>
      </x:c>
      <x:c r="E216" s="14" t="str">
        <x:v>Next Destinies</x:v>
      </x:c>
      <x:c r="F216" s="18" t="n">
        <x:v>2012</x:v>
      </x:c>
      <x:c r="G216" s="14" t="str">
        <x:v>Regular</x:v>
      </x:c>
      <x:c r="H216" s="14" t="str">
        <x:v>1 of 1</x:v>
      </x:c>
      <x:c r="I216" s="16" t="n">
        <x:v>0.35</x:v>
      </x:c>
      <x:c r="J216" s="16" t="n">
        <x:v>0.4</x:v>
      </x:c>
      <x:c r="K216" s="16" t="n">
        <x:f>IF(AND(ISNUMBER(I216),ISNUMBER(J216)),AVERAGE(I216:J216),"")</x:f>
        <x:v>0.375</x:v>
      </x:c>
      <x:c r="L216" s="14" t="str">
        <x:v>&lt;$1</x:v>
      </x:c>
      <x:c r="M216" s="14" t="str">
        <x:v>No</x:v>
      </x:c>
      <x:c r="N216" s="14" t="str">
        <x:v>No</x:v>
      </x:c>
      <x:c r="O216" s="14" t="str">
        <x:v>No</x:v>
      </x:c>
      <x:c r="P216" s="14" t="str">
        <x:v>Clean/NM benchmark unless noted</x:v>
      </x:c>
      <x:c r="Q216" s="16" t="n">
        <x:v>0.35</x:v>
      </x:c>
      <x:c r="R216" s="16" t="n">
        <x:v>0.4</x:v>
      </x:c>
      <x:c r="S216" s="16" t="n">
        <x:f>IF(AND(ISNUMBER(Q216),ISNUMBER(R216)),AVERAGE(Q216:R216),K216)</x:f>
        <x:v>0.375</x:v>
      </x:c>
      <x:c r="T216" s="14" t="str"/>
      <x:c r="U216" s="18" t="n">
        <x:v>772</x:v>
      </x:c>
      <x:c r="V216" s="14" t="str">
        <x:v>Uploaded Pokémon chat JSON / prior card-by-card research</x:v>
      </x:c>
      <x:c r="W216" s="14" t="str"/>
    </x:row>
    <x:row r="217">
      <x:c r="A217" s="18" t="n">
        <x:v>216</x:v>
      </x:c>
      <x:c r="B217" s="14" t="str">
        <x:v>Post-Dragon / Mixed Pokémon</x:v>
      </x:c>
      <x:c r="C217" s="14" t="str">
        <x:v>Manectric</x:v>
      </x:c>
      <x:c r="D217" s="14" t="str">
        <x:v>43/124</x:v>
      </x:c>
      <x:c r="E217" s="14" t="str">
        <x:v>Dragons Exalted</x:v>
      </x:c>
      <x:c r="F217" s="18" t="n">
        <x:v>2012</x:v>
      </x:c>
      <x:c r="G217" s="14" t="str">
        <x:v>Regular</x:v>
      </x:c>
      <x:c r="H217" s="14" t="str">
        <x:v>1 of 1</x:v>
      </x:c>
      <x:c r="I217" s="16" t="n">
        <x:v>0.7</x:v>
      </x:c>
      <x:c r="J217" s="16" t="n">
        <x:v>0.8</x:v>
      </x:c>
      <x:c r="K217" s="16" t="n">
        <x:f>IF(AND(ISNUMBER(I217),ISNUMBER(J217)),AVERAGE(I217:J217),"")</x:f>
        <x:v>0.75</x:v>
      </x:c>
      <x:c r="L217" s="14" t="str">
        <x:v>&lt;$1</x:v>
      </x:c>
      <x:c r="M217" s="14" t="str">
        <x:v>No</x:v>
      </x:c>
      <x:c r="N217" s="14" t="str">
        <x:v>No</x:v>
      </x:c>
      <x:c r="O217" s="14" t="str">
        <x:v>No</x:v>
      </x:c>
      <x:c r="P217" s="14" t="str">
        <x:v>Clean/NM benchmark unless noted</x:v>
      </x:c>
      <x:c r="Q217" s="16" t="n">
        <x:v>0.7</x:v>
      </x:c>
      <x:c r="R217" s="16" t="n">
        <x:v>0.8</x:v>
      </x:c>
      <x:c r="S217" s="16" t="n">
        <x:f>IF(AND(ISNUMBER(Q217),ISNUMBER(R217)),AVERAGE(Q217:R217),K217)</x:f>
        <x:v>0.75</x:v>
      </x:c>
      <x:c r="T217" s="14" t="str"/>
      <x:c r="U217" s="18" t="n">
        <x:v>772</x:v>
      </x:c>
      <x:c r="V217" s="14" t="str">
        <x:v>Uploaded Pokémon chat JSON / prior card-by-card research</x:v>
      </x:c>
      <x:c r="W217" s="14" t="str"/>
    </x:row>
    <x:row r="218">
      <x:c r="A218" s="18" t="n">
        <x:v>217</x:v>
      </x:c>
      <x:c r="B218" s="14" t="str">
        <x:v>Post-Dragon / Mixed Pokémon</x:v>
      </x:c>
      <x:c r="C218" s="14" t="str">
        <x:v>Jellicent</x:v>
      </x:c>
      <x:c r="D218" s="14" t="str">
        <x:v>45/149</x:v>
      </x:c>
      <x:c r="E218" s="14" t="str">
        <x:v>Boundaries Crossed</x:v>
      </x:c>
      <x:c r="F218" s="18" t="n">
        <x:v>2012</x:v>
      </x:c>
      <x:c r="G218" s="14" t="str">
        <x:v>Regular</x:v>
      </x:c>
      <x:c r="H218" s="14" t="str">
        <x:v>1 of 1</x:v>
      </x:c>
      <x:c r="I218" s="16" t="n">
        <x:v>0.9</x:v>
      </x:c>
      <x:c r="J218" s="16" t="n">
        <x:v>1</x:v>
      </x:c>
      <x:c r="K218" s="16" t="n">
        <x:f>IF(AND(ISNUMBER(I218),ISNUMBER(J218)),AVERAGE(I218:J218),"")</x:f>
        <x:v>0.95</x:v>
      </x:c>
      <x:c r="L218" s="14" t="str">
        <x:v>&lt;$1</x:v>
      </x:c>
      <x:c r="M218" s="14" t="str">
        <x:v>No</x:v>
      </x:c>
      <x:c r="N218" s="14" t="str">
        <x:v>No</x:v>
      </x:c>
      <x:c r="O218" s="14" t="str">
        <x:v>No</x:v>
      </x:c>
      <x:c r="P218" s="14" t="str">
        <x:v>Clean/NM benchmark unless noted</x:v>
      </x:c>
      <x:c r="Q218" s="16" t="n">
        <x:v>0.9</x:v>
      </x:c>
      <x:c r="R218" s="16" t="n">
        <x:v>1</x:v>
      </x:c>
      <x:c r="S218" s="16" t="n">
        <x:f>IF(AND(ISNUMBER(Q218),ISNUMBER(R218)),AVERAGE(Q218:R218),K218)</x:f>
        <x:v>0.95</x:v>
      </x:c>
      <x:c r="T218" s="14" t="str"/>
      <x:c r="U218" s="18" t="n">
        <x:v>772</x:v>
      </x:c>
      <x:c r="V218" s="14" t="str">
        <x:v>Uploaded Pokémon chat JSON / prior card-by-card research</x:v>
      </x:c>
      <x:c r="W218" s="14" t="str"/>
    </x:row>
    <x:row r="219">
      <x:c r="A219" s="18" t="n">
        <x:v>218</x:v>
      </x:c>
      <x:c r="B219" s="14" t="str">
        <x:v>Post-Dragon / Mixed Pokémon</x:v>
      </x:c>
      <x:c r="C219" s="14" t="str">
        <x:v>Seismitoad</x:v>
      </x:c>
      <x:c r="D219" s="14" t="str">
        <x:v>24/101</x:v>
      </x:c>
      <x:c r="E219" s="14" t="str">
        <x:v>Noble Victories</x:v>
      </x:c>
      <x:c r="F219" s="18" t="n">
        <x:v>2011</x:v>
      </x:c>
      <x:c r="G219" s="14" t="str">
        <x:v>Regular</x:v>
      </x:c>
      <x:c r="H219" s="14" t="str">
        <x:v>1 of 1</x:v>
      </x:c>
      <x:c r="I219" s="16" t="n">
        <x:v>0.7</x:v>
      </x:c>
      <x:c r="J219" s="16" t="n">
        <x:v>1</x:v>
      </x:c>
      <x:c r="K219" s="16" t="n">
        <x:f>IF(AND(ISNUMBER(I219),ISNUMBER(J219)),AVERAGE(I219:J219),"")</x:f>
        <x:v>0.85</x:v>
      </x:c>
      <x:c r="L219" s="14" t="str">
        <x:v>&lt;$1</x:v>
      </x:c>
      <x:c r="M219" s="14" t="str">
        <x:v>No</x:v>
      </x:c>
      <x:c r="N219" s="14" t="str">
        <x:v>No</x:v>
      </x:c>
      <x:c r="O219" s="14" t="str">
        <x:v>No</x:v>
      </x:c>
      <x:c r="P219" s="14" t="str">
        <x:v>Clean/NM benchmark unless noted</x:v>
      </x:c>
      <x:c r="Q219" s="16" t="n">
        <x:v>0.7</x:v>
      </x:c>
      <x:c r="R219" s="16" t="n">
        <x:v>1</x:v>
      </x:c>
      <x:c r="S219" s="16" t="n">
        <x:f>IF(AND(ISNUMBER(Q219),ISNUMBER(R219)),AVERAGE(Q219:R219),K219)</x:f>
        <x:v>0.85</x:v>
      </x:c>
      <x:c r="T219" s="14" t="str"/>
      <x:c r="U219" s="18" t="n">
        <x:v>772</x:v>
      </x:c>
      <x:c r="V219" s="14" t="str">
        <x:v>Uploaded Pokémon chat JSON / prior card-by-card research</x:v>
      </x:c>
      <x:c r="W219" s="14" t="str"/>
    </x:row>
    <x:row r="220">
      <x:c r="A220" s="18" t="n">
        <x:v>219</x:v>
      </x:c>
      <x:c r="B220" s="14" t="str">
        <x:v>Post-Dragon / Mixed Pokémon</x:v>
      </x:c>
      <x:c r="C220" s="14" t="str">
        <x:v>Leavanny</x:v>
      </x:c>
      <x:c r="D220" s="14" t="str">
        <x:v>7/98</x:v>
      </x:c>
      <x:c r="E220" s="14" t="str">
        <x:v>Emerging Powers</x:v>
      </x:c>
      <x:c r="F220" s="18" t="n">
        <x:v>2011</x:v>
      </x:c>
      <x:c r="G220" s="14" t="str">
        <x:v>Regular</x:v>
      </x:c>
      <x:c r="H220" s="14" t="str">
        <x:v>1 of 1</x:v>
      </x:c>
      <x:c r="I220" s="16" t="n">
        <x:v>0.9</x:v>
      </x:c>
      <x:c r="J220" s="16" t="n">
        <x:v>0.9</x:v>
      </x:c>
      <x:c r="K220" s="16" t="n">
        <x:f>IF(AND(ISNUMBER(I220),ISNUMBER(J220)),AVERAGE(I220:J220),"")</x:f>
        <x:v>0.9</x:v>
      </x:c>
      <x:c r="L220" s="14" t="str">
        <x:v>&lt;$1</x:v>
      </x:c>
      <x:c r="M220" s="14" t="str">
        <x:v>No</x:v>
      </x:c>
      <x:c r="N220" s="14" t="str">
        <x:v>No</x:v>
      </x:c>
      <x:c r="O220" s="14" t="str">
        <x:v>No</x:v>
      </x:c>
      <x:c r="P220" s="14" t="str">
        <x:v>Clean/NM benchmark unless noted</x:v>
      </x:c>
      <x:c r="Q220" s="16" t="n">
        <x:v>0.9</x:v>
      </x:c>
      <x:c r="R220" s="16" t="n">
        <x:v>0.9</x:v>
      </x:c>
      <x:c r="S220" s="16" t="n">
        <x:f>IF(AND(ISNUMBER(Q220),ISNUMBER(R220)),AVERAGE(Q220:R220),K220)</x:f>
        <x:v>0.9</x:v>
      </x:c>
      <x:c r="T220" s="14" t="str"/>
      <x:c r="U220" s="18" t="n">
        <x:v>772</x:v>
      </x:c>
      <x:c r="V220" s="14" t="str">
        <x:v>Uploaded Pokémon chat JSON / prior card-by-card research</x:v>
      </x:c>
      <x:c r="W220" s="14" t="str"/>
    </x:row>
    <x:row r="221">
      <x:c r="A221" s="18" t="n">
        <x:v>220</x:v>
      </x:c>
      <x:c r="B221" s="14" t="str">
        <x:v>Post-Dragon / Mixed Pokémon</x:v>
      </x:c>
      <x:c r="C221" s="14" t="str">
        <x:v>Froslass</x:v>
      </x:c>
      <x:c r="D221" s="14" t="str">
        <x:v>23/101</x:v>
      </x:c>
      <x:c r="E221" s="14" t="str">
        <x:v>Plasma Blast</x:v>
      </x:c>
      <x:c r="F221" s="18" t="n">
        <x:v>2013</x:v>
      </x:c>
      <x:c r="G221" s="14" t="str">
        <x:v>Reverse Holo</x:v>
      </x:c>
      <x:c r="H221" s="14" t="str">
        <x:v>1 of 1</x:v>
      </x:c>
      <x:c r="I221" s="16" t="n">
        <x:v>1.94</x:v>
      </x:c>
      <x:c r="J221" s="16" t="n">
        <x:v>2</x:v>
      </x:c>
      <x:c r="K221" s="16" t="n">
        <x:f>IF(AND(ISNUMBER(I221),ISNUMBER(J221)),AVERAGE(I221:J221),"")</x:f>
        <x:v>1.97</x:v>
      </x:c>
      <x:c r="L221" s="14" t="str">
        <x:v>$1–5</x:v>
      </x:c>
      <x:c r="M221" s="14" t="str">
        <x:v>Yes</x:v>
      </x:c>
      <x:c r="N221" s="14" t="str">
        <x:v>No</x:v>
      </x:c>
      <x:c r="O221" s="14" t="str">
        <x:v>Yes</x:v>
      </x:c>
      <x:c r="P221" s="14" t="str">
        <x:v>Clean/NM benchmark unless noted</x:v>
      </x:c>
      <x:c r="Q221" s="16" t="n">
        <x:v>1.94</x:v>
      </x:c>
      <x:c r="R221" s="16" t="n">
        <x:v>2</x:v>
      </x:c>
      <x:c r="S221" s="16" t="n">
        <x:f>IF(AND(ISNUMBER(Q221),ISNUMBER(R221)),AVERAGE(Q221:R221),K221)</x:f>
        <x:v>1.97</x:v>
      </x:c>
      <x:c r="T221" s="14" t="str"/>
      <x:c r="U221" s="18" t="n">
        <x:v>779</x:v>
      </x:c>
      <x:c r="V221" s="14" t="str">
        <x:v>Uploaded Pokémon chat JSON / prior card-by-card research</x:v>
      </x:c>
      <x:c r="W221" s="14" t="str"/>
    </x:row>
    <x:row r="222">
      <x:c r="A222" s="18" t="n">
        <x:v>221</x:v>
      </x:c>
      <x:c r="B222" s="14" t="str">
        <x:v>Post-Dragon / Mixed Pokémon</x:v>
      </x:c>
      <x:c r="C222" s="14" t="str">
        <x:v>Golduck</x:v>
      </x:c>
      <x:c r="D222" s="14" t="str">
        <x:v>35/149</x:v>
      </x:c>
      <x:c r="E222" s="14" t="str">
        <x:v>Boundaries Crossed</x:v>
      </x:c>
      <x:c r="F222" s="18" t="n">
        <x:v>2012</x:v>
      </x:c>
      <x:c r="G222" s="14" t="str">
        <x:v>Reverse Holo</x:v>
      </x:c>
      <x:c r="H222" s="14" t="str">
        <x:v>1 of 1</x:v>
      </x:c>
      <x:c r="I222" s="16" t="n">
        <x:v>3</x:v>
      </x:c>
      <x:c r="J222" s="16" t="n">
        <x:v>3.22</x:v>
      </x:c>
      <x:c r="K222" s="16" t="n">
        <x:f>IF(AND(ISNUMBER(I222),ISNUMBER(J222)),AVERAGE(I222:J222),"")</x:f>
        <x:v>3.1100000000000003</x:v>
      </x:c>
      <x:c r="L222" s="14" t="str">
        <x:v>$1–5</x:v>
      </x:c>
      <x:c r="M222" s="14" t="str">
        <x:v>Yes</x:v>
      </x:c>
      <x:c r="N222" s="14" t="str">
        <x:v>No</x:v>
      </x:c>
      <x:c r="O222" s="14" t="str">
        <x:v>Yes</x:v>
      </x:c>
      <x:c r="P222" s="14" t="str">
        <x:v>Clean/NM benchmark unless noted</x:v>
      </x:c>
      <x:c r="Q222" s="16" t="n">
        <x:v>3</x:v>
      </x:c>
      <x:c r="R222" s="16" t="n">
        <x:v>3.22</x:v>
      </x:c>
      <x:c r="S222" s="16" t="n">
        <x:f>IF(AND(ISNUMBER(Q222),ISNUMBER(R222)),AVERAGE(Q222:R222),K222)</x:f>
        <x:v>3.1100000000000003</x:v>
      </x:c>
      <x:c r="T222" s="14" t="str"/>
      <x:c r="U222" s="18" t="n">
        <x:v>779</x:v>
      </x:c>
      <x:c r="V222" s="14" t="str">
        <x:v>Uploaded Pokémon chat JSON / prior card-by-card research</x:v>
      </x:c>
      <x:c r="W222" s="14" t="str"/>
    </x:row>
    <x:row r="223">
      <x:c r="A223" s="18" t="n">
        <x:v>222</x:v>
      </x:c>
      <x:c r="B223" s="14" t="str">
        <x:v>Post-Dragon / Mixed Pokémon</x:v>
      </x:c>
      <x:c r="C223" s="14" t="str">
        <x:v>Larvesta</x:v>
      </x:c>
      <x:c r="D223" s="14" t="str">
        <x:v>12/101</x:v>
      </x:c>
      <x:c r="E223" s="14" t="str">
        <x:v>Plasma Blast</x:v>
      </x:c>
      <x:c r="F223" s="18" t="n">
        <x:v>2013</x:v>
      </x:c>
      <x:c r="G223" s="14" t="str">
        <x:v>Reverse Holo</x:v>
      </x:c>
      <x:c r="H223" s="14" t="str">
        <x:v>1 of 1</x:v>
      </x:c>
      <x:c r="I223" s="16" t="n">
        <x:v>0.5</x:v>
      </x:c>
      <x:c r="J223" s="16" t="n">
        <x:v>1</x:v>
      </x:c>
      <x:c r="K223" s="16" t="n">
        <x:f>IF(AND(ISNUMBER(I223),ISNUMBER(J223)),AVERAGE(I223:J223),"")</x:f>
        <x:v>0.75</x:v>
      </x:c>
      <x:c r="L223" s="14" t="str">
        <x:v>&lt;$1</x:v>
      </x:c>
      <x:c r="M223" s="14" t="str">
        <x:v>Yes</x:v>
      </x:c>
      <x:c r="N223" s="14" t="str">
        <x:v>No</x:v>
      </x:c>
      <x:c r="O223" s="14" t="str">
        <x:v>No</x:v>
      </x:c>
      <x:c r="P223" s="14" t="str">
        <x:v>Clean/NM benchmark unless noted</x:v>
      </x:c>
      <x:c r="Q223" s="16" t="n">
        <x:v>0.5</x:v>
      </x:c>
      <x:c r="R223" s="16" t="n">
        <x:v>1</x:v>
      </x:c>
      <x:c r="S223" s="16" t="n">
        <x:f>IF(AND(ISNUMBER(Q223),ISNUMBER(R223)),AVERAGE(Q223:R223),K223)</x:f>
        <x:v>0.75</x:v>
      </x:c>
      <x:c r="T223" s="14" t="str"/>
      <x:c r="U223" s="18" t="n">
        <x:v>779</x:v>
      </x:c>
      <x:c r="V223" s="14" t="str">
        <x:v>Uploaded Pokémon chat JSON / prior card-by-card research</x:v>
      </x:c>
      <x:c r="W223" s="14" t="str"/>
    </x:row>
    <x:row r="224">
      <x:c r="A224" s="18" t="n">
        <x:v>223</x:v>
      </x:c>
      <x:c r="B224" s="14" t="str">
        <x:v>Post-Dragon / Mixed Pokémon</x:v>
      </x:c>
      <x:c r="C224" s="14" t="str">
        <x:v>Whirlipede</x:v>
      </x:c>
      <x:c r="D224" s="14" t="str">
        <x:v>52/146</x:v>
      </x:c>
      <x:c r="E224" s="14" t="str">
        <x:v>XY Base Set</x:v>
      </x:c>
      <x:c r="F224" s="18" t="n">
        <x:v>2014</x:v>
      </x:c>
      <x:c r="G224" s="14" t="str">
        <x:v>Reverse Holo</x:v>
      </x:c>
      <x:c r="H224" s="14" t="str">
        <x:v>1 of 1</x:v>
      </x:c>
      <x:c r="I224" s="16" t="n">
        <x:v>0.7</x:v>
      </x:c>
      <x:c r="J224" s="16" t="n">
        <x:v>0.7</x:v>
      </x:c>
      <x:c r="K224" s="16" t="n">
        <x:f>IF(AND(ISNUMBER(I224),ISNUMBER(J224)),AVERAGE(I224:J224),"")</x:f>
        <x:v>0.7</x:v>
      </x:c>
      <x:c r="L224" s="14" t="str">
        <x:v>&lt;$1</x:v>
      </x:c>
      <x:c r="M224" s="14" t="str">
        <x:v>Yes</x:v>
      </x:c>
      <x:c r="N224" s="14" t="str">
        <x:v>No</x:v>
      </x:c>
      <x:c r="O224" s="14" t="str">
        <x:v>No</x:v>
      </x:c>
      <x:c r="P224" s="14" t="str">
        <x:v>Clean/NM benchmark unless noted</x:v>
      </x:c>
      <x:c r="Q224" s="16" t="n">
        <x:v>0.7</x:v>
      </x:c>
      <x:c r="R224" s="16" t="n">
        <x:v>0.7</x:v>
      </x:c>
      <x:c r="S224" s="16" t="n">
        <x:f>IF(AND(ISNUMBER(Q224),ISNUMBER(R224)),AVERAGE(Q224:R224),K224)</x:f>
        <x:v>0.7</x:v>
      </x:c>
      <x:c r="T224" s="14" t="str"/>
      <x:c r="U224" s="18" t="n">
        <x:v>779</x:v>
      </x:c>
      <x:c r="V224" s="14" t="str">
        <x:v>Uploaded Pokémon chat JSON / prior card-by-card research</x:v>
      </x:c>
      <x:c r="W224" s="14" t="str"/>
    </x:row>
    <x:row r="225">
      <x:c r="A225" s="18" t="n">
        <x:v>224</x:v>
      </x:c>
      <x:c r="B225" s="14" t="str">
        <x:v>Post-Dragon / Mixed Pokémon</x:v>
      </x:c>
      <x:c r="C225" s="14" t="str">
        <x:v>Luxray BREAK</x:v>
      </x:c>
      <x:c r="D225" s="14" t="str">
        <x:v>47/122</x:v>
      </x:c>
      <x:c r="E225" s="14" t="str">
        <x:v>BREAKpoint</x:v>
      </x:c>
      <x:c r="F225" s="18" t="n">
        <x:v>2016</x:v>
      </x:c>
      <x:c r="G225" s="14" t="str">
        <x:v>BREAK</x:v>
      </x:c>
      <x:c r="H225" s="14" t="str">
        <x:v>1 of 1</x:v>
      </x:c>
      <x:c r="I225" s="16" t="n">
        <x:v>6.22</x:v>
      </x:c>
      <x:c r="J225" s="16" t="n">
        <x:v>6.96</x:v>
      </x:c>
      <x:c r="K225" s="16" t="n">
        <x:f>IF(AND(ISNUMBER(I225),ISNUMBER(J225)),AVERAGE(I225:J225),"")</x:f>
        <x:v>6.59</x:v>
      </x:c>
      <x:c r="L225" s="14" t="str">
        <x:v>$5–20</x:v>
      </x:c>
      <x:c r="M225" s="14" t="str">
        <x:v>Yes</x:v>
      </x:c>
      <x:c r="N225" s="14" t="str">
        <x:v>No</x:v>
      </x:c>
      <x:c r="O225" s="14" t="str">
        <x:v>Yes</x:v>
      </x:c>
      <x:c r="P225" s="14" t="str">
        <x:v>LP / borderline NM-LP</x:v>
      </x:c>
      <x:c r="Q225" s="16" t="n">
        <x:v>4</x:v>
      </x:c>
      <x:c r="R225" s="16" t="n">
        <x:v>6</x:v>
      </x:c>
      <x:c r="S225" s="16" t="n">
        <x:f>IF(AND(ISNUMBER(Q225),ISNUMBER(R225)),AVERAGE(Q225:R225),K225)</x:f>
        <x:v>5</x:v>
      </x:c>
      <x:c r="T225" s="14" t="str">
        <x:v>Few white spots on back.</x:v>
      </x:c>
      <x:c r="U225" s="18" t="n">
        <x:v>791</x:v>
      </x:c>
      <x:c r="V225" s="14" t="str">
        <x:v>Uploaded Pokémon chat JSON / prior card-by-card research</x:v>
      </x:c>
      <x:c r="W225" s="14" t="str"/>
    </x:row>
    <x:row r="226">
      <x:c r="A226" s="18" t="n">
        <x:v>225</x:v>
      </x:c>
      <x:c r="B226" s="14" t="str">
        <x:v>Post-Dragon / Mixed Pokémon</x:v>
      </x:c>
      <x:c r="C226" s="14" t="str">
        <x:v>Reversal Trigger (Team Plasma)</x:v>
      </x:c>
      <x:c r="D226" s="14" t="str">
        <x:v>86/101</x:v>
      </x:c>
      <x:c r="E226" s="14" t="str">
        <x:v>Plasma Blast</x:v>
      </x:c>
      <x:c r="F226" s="18" t="n">
        <x:v>2013</x:v>
      </x:c>
      <x:c r="G226" s="14" t="str">
        <x:v>Regular</x:v>
      </x:c>
      <x:c r="H226" s="14" t="str">
        <x:v>1 of 1</x:v>
      </x:c>
      <x:c r="I226" s="16" t="n">
        <x:v>0.2</x:v>
      </x:c>
      <x:c r="J226" s="16" t="n">
        <x:v>0.3</x:v>
      </x:c>
      <x:c r="K226" s="16" t="n">
        <x:f>IF(AND(ISNUMBER(I226),ISNUMBER(J226)),AVERAGE(I226:J226),"")</x:f>
        <x:v>0.25</x:v>
      </x:c>
      <x:c r="L226" s="14" t="str">
        <x:v>&lt;$1</x:v>
      </x:c>
      <x:c r="M226" s="14" t="str">
        <x:v>No</x:v>
      </x:c>
      <x:c r="N226" s="14" t="str">
        <x:v>No</x:v>
      </x:c>
      <x:c r="O226" s="14" t="str">
        <x:v>No</x:v>
      </x:c>
      <x:c r="P226" s="14" t="str">
        <x:v>Clean/NM benchmark unless noted</x:v>
      </x:c>
      <x:c r="Q226" s="16" t="n">
        <x:v>0.2</x:v>
      </x:c>
      <x:c r="R226" s="16" t="n">
        <x:v>0.3</x:v>
      </x:c>
      <x:c r="S226" s="16" t="n">
        <x:f>IF(AND(ISNUMBER(Q226),ISNUMBER(R226)),AVERAGE(Q226:R226),K226)</x:f>
        <x:v>0.25</x:v>
      </x:c>
      <x:c r="T226" s="14" t="str">
        <x:v>Additional physical copy.</x:v>
      </x:c>
      <x:c r="U226" s="18" t="n">
        <x:v>797</x:v>
      </x:c>
      <x:c r="V226" s="14" t="str">
        <x:v>Uploaded Pokémon chat JSON / prior card-by-card research</x:v>
      </x:c>
      <x:c r="W226" s="14" t="str"/>
    </x:row>
    <x:row r="227">
      <x:c r="A227" s="18" t="n">
        <x:v>226</x:v>
      </x:c>
      <x:c r="B227" s="14" t="str">
        <x:v>Post-Dragon / Mixed Pokémon</x:v>
      </x:c>
      <x:c r="C227" s="14" t="str">
        <x:v>Aerodactyl-EX</x:v>
      </x:c>
      <x:c r="D227" s="14" t="str">
        <x:v>XY97</x:v>
      </x:c>
      <x:c r="E227" s="14" t="str">
        <x:v>XY Black Star Promo</x:v>
      </x:c>
      <x:c r="F227" s="18" t="n">
        <x:v>2016</x:v>
      </x:c>
      <x:c r="G227" s="14" t="str">
        <x:v>EX Promo</x:v>
      </x:c>
      <x:c r="H227" s="14" t="str">
        <x:v>1 of 1</x:v>
      </x:c>
      <x:c r="I227" s="16" t="n">
        <x:v>5.25</x:v>
      </x:c>
      <x:c r="J227" s="16" t="n">
        <x:v>5.5</x:v>
      </x:c>
      <x:c r="K227" s="16" t="n">
        <x:f>IF(AND(ISNUMBER(I227),ISNUMBER(J227)),AVERAGE(I227:J227),"")</x:f>
        <x:v>5.375</x:v>
      </x:c>
      <x:c r="L227" s="14" t="str">
        <x:v>$5–20</x:v>
      </x:c>
      <x:c r="M227" s="14" t="str">
        <x:v>Yes</x:v>
      </x:c>
      <x:c r="N227" s="14" t="str">
        <x:v>No</x:v>
      </x:c>
      <x:c r="O227" s="14" t="str">
        <x:v>Yes</x:v>
      </x:c>
      <x:c r="P227" s="14" t="str">
        <x:v>Clean/NM benchmark unless noted</x:v>
      </x:c>
      <x:c r="Q227" s="16" t="n">
        <x:v>5.25</x:v>
      </x:c>
      <x:c r="R227" s="16" t="n">
        <x:v>5.5</x:v>
      </x:c>
      <x:c r="S227" s="16" t="n">
        <x:f>IF(AND(ISNUMBER(Q227),ISNUMBER(R227)),AVERAGE(Q227:R227),K227)</x:f>
        <x:v>5.375</x:v>
      </x:c>
      <x:c r="T227" s="14" t="str"/>
      <x:c r="U227" s="18" t="n">
        <x:v>803</x:v>
      </x:c>
      <x:c r="V227" s="14" t="str">
        <x:v>Uploaded Pokémon chat JSON / prior card-by-card research</x:v>
      </x:c>
      <x:c r="W227" s="14" t="str"/>
    </x:row>
    <x:row r="228">
      <x:c r="A228" s="18" t="n">
        <x:v>227</x:v>
      </x:c>
      <x:c r="B228" s="14" t="str">
        <x:v>Post-Dragon / Mixed Pokémon</x:v>
      </x:c>
      <x:c r="C228" s="14" t="str">
        <x:v>Octillery</x:v>
      </x:c>
      <x:c r="D228" s="14" t="str">
        <x:v>19/101</x:v>
      </x:c>
      <x:c r="E228" s="14" t="str">
        <x:v>Plasma Blast</x:v>
      </x:c>
      <x:c r="F228" s="18" t="n">
        <x:v>2013</x:v>
      </x:c>
      <x:c r="G228" s="14" t="str">
        <x:v>Team Plasma regular</x:v>
      </x:c>
      <x:c r="H228" s="14" t="str">
        <x:v>1 of 1</x:v>
      </x:c>
      <x:c r="I228" s="16" t="n">
        <x:v>0.34</x:v>
      </x:c>
      <x:c r="J228" s="16" t="n">
        <x:v>0.35</x:v>
      </x:c>
      <x:c r="K228" s="16" t="n">
        <x:f>IF(AND(ISNUMBER(I228),ISNUMBER(J228)),AVERAGE(I228:J228),"")</x:f>
        <x:v>0.345</x:v>
      </x:c>
      <x:c r="L228" s="14" t="str">
        <x:v>&lt;$1</x:v>
      </x:c>
      <x:c r="M228" s="14" t="str">
        <x:v>No</x:v>
      </x:c>
      <x:c r="N228" s="14" t="str">
        <x:v>No</x:v>
      </x:c>
      <x:c r="O228" s="14" t="str">
        <x:v>No</x:v>
      </x:c>
      <x:c r="P228" s="14" t="str">
        <x:v>Clean/NM benchmark unless noted</x:v>
      </x:c>
      <x:c r="Q228" s="16" t="n">
        <x:v>0.34</x:v>
      </x:c>
      <x:c r="R228" s="16" t="n">
        <x:v>0.35</x:v>
      </x:c>
      <x:c r="S228" s="16" t="n">
        <x:f>IF(AND(ISNUMBER(Q228),ISNUMBER(R228)),AVERAGE(Q228:R228),K228)</x:f>
        <x:v>0.345</x:v>
      </x:c>
      <x:c r="T228" s="14" t="str"/>
      <x:c r="U228" s="18" t="n">
        <x:v>809</x:v>
      </x:c>
      <x:c r="V228" s="14" t="str">
        <x:v>Uploaded Pokémon chat JSON / prior card-by-card research</x:v>
      </x:c>
      <x:c r="W228" s="14" t="str"/>
    </x:row>
    <x:row r="229">
      <x:c r="A229" s="18" t="n">
        <x:v>228</x:v>
      </x:c>
      <x:c r="B229" s="14" t="str">
        <x:v>Post-Dragon / Mixed Pokémon</x:v>
      </x:c>
      <x:c r="C229" s="14" t="str">
        <x:v>Jolteon</x:v>
      </x:c>
      <x:c r="D229" s="14" t="str">
        <x:v>34/116</x:v>
      </x:c>
      <x:c r="E229" s="14" t="str">
        <x:v>Plasma Freeze</x:v>
      </x:c>
      <x:c r="F229" s="18" t="n">
        <x:v>2013</x:v>
      </x:c>
      <x:c r="G229" s="14" t="str">
        <x:v>Team Plasma regular</x:v>
      </x:c>
      <x:c r="H229" s="14" t="str">
        <x:v>1 of 1</x:v>
      </x:c>
      <x:c r="I229" s="16" t="n">
        <x:v>4.4</x:v>
      </x:c>
      <x:c r="J229" s="16" t="n">
        <x:v>4.43</x:v>
      </x:c>
      <x:c r="K229" s="16" t="n">
        <x:f>IF(AND(ISNUMBER(I229),ISNUMBER(J229)),AVERAGE(I229:J229),"")</x:f>
        <x:v>4.415</x:v>
      </x:c>
      <x:c r="L229" s="14" t="str">
        <x:v>$1–5</x:v>
      </x:c>
      <x:c r="M229" s="14" t="str">
        <x:v>Yes</x:v>
      </x:c>
      <x:c r="N229" s="14" t="str">
        <x:v>No</x:v>
      </x:c>
      <x:c r="O229" s="14" t="str">
        <x:v>Yes</x:v>
      </x:c>
      <x:c r="P229" s="14" t="str">
        <x:v>Clean/NM benchmark unless noted</x:v>
      </x:c>
      <x:c r="Q229" s="16" t="n">
        <x:v>4.4</x:v>
      </x:c>
      <x:c r="R229" s="16" t="n">
        <x:v>4.43</x:v>
      </x:c>
      <x:c r="S229" s="16" t="n">
        <x:f>IF(AND(ISNUMBER(Q229),ISNUMBER(R229)),AVERAGE(Q229:R229),K229)</x:f>
        <x:v>4.415</x:v>
      </x:c>
      <x:c r="T229" s="14" t="str"/>
      <x:c r="U229" s="18" t="n">
        <x:v>809</x:v>
      </x:c>
      <x:c r="V229" s="14" t="str">
        <x:v>Uploaded Pokémon chat JSON / prior card-by-card research</x:v>
      </x:c>
      <x:c r="W229" s="14" t="str"/>
    </x:row>
    <x:row r="230">
      <x:c r="A230" s="18" t="n">
        <x:v>229</x:v>
      </x:c>
      <x:c r="B230" s="14" t="str">
        <x:v>Post-Dragon / Mixed Pokémon</x:v>
      </x:c>
      <x:c r="C230" s="14" t="str">
        <x:v>Beartic</x:v>
      </x:c>
      <x:c r="D230" s="14" t="str">
        <x:v>37/99</x:v>
      </x:c>
      <x:c r="E230" s="14" t="str">
        <x:v>Next Destinies</x:v>
      </x:c>
      <x:c r="F230" s="18" t="n">
        <x:v>2012</x:v>
      </x:c>
      <x:c r="G230" s="14" t="str">
        <x:v>Reverse Holo</x:v>
      </x:c>
      <x:c r="H230" s="14" t="str">
        <x:v>1 of 2</x:v>
      </x:c>
      <x:c r="I230" s="16" t="n">
        <x:v>1.75</x:v>
      </x:c>
      <x:c r="J230" s="16" t="n">
        <x:v>2.75</x:v>
      </x:c>
      <x:c r="K230" s="16" t="n">
        <x:v>2.25</x:v>
      </x:c>
      <x:c r="L230" s="14" t="str">
        <x:v>$1–5</x:v>
      </x:c>
      <x:c r="M230" s="14" t="str">
        <x:v>Yes</x:v>
      </x:c>
      <x:c r="N230" s="14" t="str">
        <x:v>No</x:v>
      </x:c>
      <x:c r="O230" s="14" t="str">
        <x:v>Yes</x:v>
      </x:c>
      <x:c r="P230" s="14" t="str">
        <x:v>Clean/NM benchmark unless noted</x:v>
      </x:c>
      <x:c r="Q230" s="16" t="n">
        <x:v>1.75</x:v>
      </x:c>
      <x:c r="R230" s="16" t="n">
        <x:v>2.75</x:v>
      </x:c>
      <x:c r="S230" s="16" t="n">
        <x:v>2.25</x:v>
      </x:c>
      <x:c r="T230" s="14" t="str"/>
      <x:c r="U230" s="18" t="n">
        <x:v>809</x:v>
      </x:c>
      <x:c r="V230" s="14" t="str">
        <x:v>Uploaded Pokémon chat JSON / prior card-by-card research</x:v>
      </x:c>
      <x:c r="W230" s="14" t="str"/>
    </x:row>
    <x:row r="231">
      <x:c r="A231" s="18" t="n">
        <x:v>230</x:v>
      </x:c>
      <x:c r="B231" s="14" t="str">
        <x:v>Post-Dragon / Mixed Pokémon</x:v>
      </x:c>
      <x:c r="C231" s="14" t="str">
        <x:v>Qwilfish</x:v>
      </x:c>
      <x:c r="D231" s="14" t="str">
        <x:v>21/106</x:v>
      </x:c>
      <x:c r="E231" s="14" t="str">
        <x:v>XY Flashfire</x:v>
      </x:c>
      <x:c r="F231" s="18" t="n">
        <x:v>2014</x:v>
      </x:c>
      <x:c r="G231" s="14" t="str">
        <x:v>Reverse Holo</x:v>
      </x:c>
      <x:c r="H231" s="14" t="str">
        <x:v>1 of 1</x:v>
      </x:c>
      <x:c r="I231" s="16" t="n">
        <x:v>0.8</x:v>
      </x:c>
      <x:c r="J231" s="16" t="n">
        <x:v>1</x:v>
      </x:c>
      <x:c r="K231" s="16" t="n">
        <x:f>IF(AND(ISNUMBER(I231),ISNUMBER(J231)),AVERAGE(I231:J231),"")</x:f>
        <x:v>0.9</x:v>
      </x:c>
      <x:c r="L231" s="14" t="str">
        <x:v>&lt;$1</x:v>
      </x:c>
      <x:c r="M231" s="14" t="str">
        <x:v>Yes</x:v>
      </x:c>
      <x:c r="N231" s="14" t="str">
        <x:v>No</x:v>
      </x:c>
      <x:c r="O231" s="14" t="str">
        <x:v>No</x:v>
      </x:c>
      <x:c r="P231" s="14" t="str">
        <x:v>Clean/NM benchmark unless noted</x:v>
      </x:c>
      <x:c r="Q231" s="16" t="n">
        <x:v>0.8</x:v>
      </x:c>
      <x:c r="R231" s="16" t="n">
        <x:v>1</x:v>
      </x:c>
      <x:c r="S231" s="16" t="n">
        <x:f>IF(AND(ISNUMBER(Q231),ISNUMBER(R231)),AVERAGE(Q231:R231),K231)</x:f>
        <x:v>0.9</x:v>
      </x:c>
      <x:c r="T231" s="14" t="str"/>
      <x:c r="U231" s="18" t="n">
        <x:v>816</x:v>
      </x:c>
      <x:c r="V231" s="14" t="str">
        <x:v>Uploaded Pokémon chat JSON / prior card-by-card research</x:v>
      </x:c>
      <x:c r="W231" s="14" t="str"/>
    </x:row>
    <x:row r="232">
      <x:c r="A232" s="18" t="n">
        <x:v>231</x:v>
      </x:c>
      <x:c r="B232" s="14" t="str">
        <x:v>Post-Dragon / Mixed Pokémon</x:v>
      </x:c>
      <x:c r="C232" s="14" t="str">
        <x:v>Feebas</x:v>
      </x:c>
      <x:c r="D232" s="14" t="str">
        <x:v>22/106</x:v>
      </x:c>
      <x:c r="E232" s="14" t="str">
        <x:v>XY Flashfire</x:v>
      </x:c>
      <x:c r="F232" s="18" t="n">
        <x:v>2014</x:v>
      </x:c>
      <x:c r="G232" s="14" t="str">
        <x:v>Reverse Holo</x:v>
      </x:c>
      <x:c r="H232" s="14" t="str">
        <x:v>1 of 1</x:v>
      </x:c>
      <x:c r="I232" s="16" t="n">
        <x:v>0.58</x:v>
      </x:c>
      <x:c r="J232" s="16" t="n">
        <x:v>0.6</x:v>
      </x:c>
      <x:c r="K232" s="16" t="n">
        <x:f>IF(AND(ISNUMBER(I232),ISNUMBER(J232)),AVERAGE(I232:J232),"")</x:f>
        <x:v>0.59</x:v>
      </x:c>
      <x:c r="L232" s="14" t="str">
        <x:v>&lt;$1</x:v>
      </x:c>
      <x:c r="M232" s="14" t="str">
        <x:v>Yes</x:v>
      </x:c>
      <x:c r="N232" s="14" t="str">
        <x:v>No</x:v>
      </x:c>
      <x:c r="O232" s="14" t="str">
        <x:v>No</x:v>
      </x:c>
      <x:c r="P232" s="14" t="str">
        <x:v>Clean/NM benchmark unless noted</x:v>
      </x:c>
      <x:c r="Q232" s="16" t="n">
        <x:v>0.58</x:v>
      </x:c>
      <x:c r="R232" s="16" t="n">
        <x:v>0.6</x:v>
      </x:c>
      <x:c r="S232" s="16" t="n">
        <x:f>IF(AND(ISNUMBER(Q232),ISNUMBER(R232)),AVERAGE(Q232:R232),K232)</x:f>
        <x:v>0.59</x:v>
      </x:c>
      <x:c r="T232" s="14" t="str"/>
      <x:c r="U232" s="18" t="n">
        <x:v>816</x:v>
      </x:c>
      <x:c r="V232" s="14" t="str">
        <x:v>Uploaded Pokémon chat JSON / prior card-by-card research</x:v>
      </x:c>
      <x:c r="W232" s="14" t="str"/>
    </x:row>
    <x:row r="233">
      <x:c r="A233" s="18" t="n">
        <x:v>232</x:v>
      </x:c>
      <x:c r="B233" s="14" t="str">
        <x:v>Post-Dragon / Mixed Pokémon</x:v>
      </x:c>
      <x:c r="C233" s="14" t="str">
        <x:v>Spheal</x:v>
      </x:c>
      <x:c r="D233" s="14" t="str">
        <x:v>24/106</x:v>
      </x:c>
      <x:c r="E233" s="14" t="str">
        <x:v>XY Flashfire</x:v>
      </x:c>
      <x:c r="F233" s="18" t="n">
        <x:v>2014</x:v>
      </x:c>
      <x:c r="G233" s="14" t="str">
        <x:v>Reverse Holo</x:v>
      </x:c>
      <x:c r="H233" s="14" t="str">
        <x:v>1 of 1</x:v>
      </x:c>
      <x:c r="I233" s="16" t="n">
        <x:v>0.8</x:v>
      </x:c>
      <x:c r="J233" s="16" t="n">
        <x:v>0.8</x:v>
      </x:c>
      <x:c r="K233" s="16" t="n">
        <x:f>IF(AND(ISNUMBER(I233),ISNUMBER(J233)),AVERAGE(I233:J233),"")</x:f>
        <x:v>0.8</x:v>
      </x:c>
      <x:c r="L233" s="14" t="str">
        <x:v>&lt;$1</x:v>
      </x:c>
      <x:c r="M233" s="14" t="str">
        <x:v>Yes</x:v>
      </x:c>
      <x:c r="N233" s="14" t="str">
        <x:v>No</x:v>
      </x:c>
      <x:c r="O233" s="14" t="str">
        <x:v>No</x:v>
      </x:c>
      <x:c r="P233" s="14" t="str">
        <x:v>Clean/NM benchmark unless noted</x:v>
      </x:c>
      <x:c r="Q233" s="16" t="n">
        <x:v>0.8</x:v>
      </x:c>
      <x:c r="R233" s="16" t="n">
        <x:v>0.8</x:v>
      </x:c>
      <x:c r="S233" s="16" t="n">
        <x:f>IF(AND(ISNUMBER(Q233),ISNUMBER(R233)),AVERAGE(Q233:R233),K233)</x:f>
        <x:v>0.8</x:v>
      </x:c>
      <x:c r="T233" s="14" t="str"/>
      <x:c r="U233" s="18" t="n">
        <x:v>816</x:v>
      </x:c>
      <x:c r="V233" s="14" t="str">
        <x:v>Uploaded Pokémon chat JSON / prior card-by-card research</x:v>
      </x:c>
      <x:c r="W233" s="14" t="str"/>
    </x:row>
    <x:row r="234">
      <x:c r="A234" s="18" t="n">
        <x:v>233</x:v>
      </x:c>
      <x:c r="B234" s="14" t="str">
        <x:v>Post-Dragon / Mixed Pokémon</x:v>
      </x:c>
      <x:c r="C234" s="14" t="str">
        <x:v>Chesnaught</x:v>
      </x:c>
      <x:c r="D234" s="14" t="str">
        <x:v>5/39</x:v>
      </x:c>
      <x:c r="E234" s="14" t="str">
        <x:v>Kalos Starter Set</x:v>
      </x:c>
      <x:c r="F234" s="18" t="n">
        <x:v>2013</x:v>
      </x:c>
      <x:c r="G234" s="14" t="str">
        <x:v>Regular</x:v>
      </x:c>
      <x:c r="H234" s="14" t="str">
        <x:v>1 of 1</x:v>
      </x:c>
      <x:c r="I234" s="16" t="n">
        <x:v>3.5</x:v>
      </x:c>
      <x:c r="J234" s="16" t="n">
        <x:v>3.54</x:v>
      </x:c>
      <x:c r="K234" s="16" t="n">
        <x:f>IF(AND(ISNUMBER(I234),ISNUMBER(J234)),AVERAGE(I234:J234),"")</x:f>
        <x:v>3.52</x:v>
      </x:c>
      <x:c r="L234" s="14" t="str">
        <x:v>$1–5</x:v>
      </x:c>
      <x:c r="M234" s="14" t="str">
        <x:v>Yes</x:v>
      </x:c>
      <x:c r="N234" s="14" t="str">
        <x:v>No</x:v>
      </x:c>
      <x:c r="O234" s="14" t="str">
        <x:v>Yes</x:v>
      </x:c>
      <x:c r="P234" s="14" t="str">
        <x:v>Clean/NM benchmark unless noted</x:v>
      </x:c>
      <x:c r="Q234" s="16" t="n">
        <x:v>3.5</x:v>
      </x:c>
      <x:c r="R234" s="16" t="n">
        <x:v>3.54</x:v>
      </x:c>
      <x:c r="S234" s="16" t="n">
        <x:f>IF(AND(ISNUMBER(Q234),ISNUMBER(R234)),AVERAGE(Q234:R234),K234)</x:f>
        <x:v>3.52</x:v>
      </x:c>
      <x:c r="T234" s="14" t="str"/>
      <x:c r="U234" s="18" t="n">
        <x:v>822</x:v>
      </x:c>
      <x:c r="V234" s="14" t="str">
        <x:v>Uploaded Pokémon chat JSON / prior card-by-card research</x:v>
      </x:c>
      <x:c r="W234" s="14" t="str"/>
    </x:row>
    <x:row r="235">
      <x:c r="A235" s="18" t="n">
        <x:v>234</x:v>
      </x:c>
      <x:c r="B235" s="14" t="str">
        <x:v>Post-Dragon / Mixed Pokémon</x:v>
      </x:c>
      <x:c r="C235" s="14" t="str">
        <x:v>Talonflame</x:v>
      </x:c>
      <x:c r="D235" s="14" t="str">
        <x:v>10/119</x:v>
      </x:c>
      <x:c r="E235" s="14" t="str">
        <x:v>Phantom Forces</x:v>
      </x:c>
      <x:c r="F235" s="18" t="n">
        <x:v>2014</x:v>
      </x:c>
      <x:c r="G235" s="14" t="str">
        <x:v>Reverse Holo</x:v>
      </x:c>
      <x:c r="H235" s="14" t="str">
        <x:v>1 of 1</x:v>
      </x:c>
      <x:c r="I235" s="16" t="n">
        <x:v>0.58</x:v>
      </x:c>
      <x:c r="J235" s="16" t="n">
        <x:v>0.6</x:v>
      </x:c>
      <x:c r="K235" s="16" t="n">
        <x:f>IF(AND(ISNUMBER(I235),ISNUMBER(J235)),AVERAGE(I235:J235),"")</x:f>
        <x:v>0.59</x:v>
      </x:c>
      <x:c r="L235" s="14" t="str">
        <x:v>&lt;$1</x:v>
      </x:c>
      <x:c r="M235" s="14" t="str">
        <x:v>Yes</x:v>
      </x:c>
      <x:c r="N235" s="14" t="str">
        <x:v>No</x:v>
      </x:c>
      <x:c r="O235" s="14" t="str">
        <x:v>No</x:v>
      </x:c>
      <x:c r="P235" s="14" t="str">
        <x:v>Clean/NM benchmark unless noted</x:v>
      </x:c>
      <x:c r="Q235" s="16" t="n">
        <x:v>0.58</x:v>
      </x:c>
      <x:c r="R235" s="16" t="n">
        <x:v>0.6</x:v>
      </x:c>
      <x:c r="S235" s="16" t="n">
        <x:f>IF(AND(ISNUMBER(Q235),ISNUMBER(R235)),AVERAGE(Q235:R235),K235)</x:f>
        <x:v>0.59</x:v>
      </x:c>
      <x:c r="T235" s="14" t="str"/>
      <x:c r="U235" s="18" t="n">
        <x:v>822</x:v>
      </x:c>
      <x:c r="V235" s="14" t="str">
        <x:v>Uploaded Pokémon chat JSON / prior card-by-card research</x:v>
      </x:c>
      <x:c r="W235" s="14" t="str"/>
    </x:row>
    <x:row r="236">
      <x:c r="A236" s="18" t="n">
        <x:v>235</x:v>
      </x:c>
      <x:c r="B236" s="14" t="str">
        <x:v>Post-Dragon / Mixed Pokémon</x:v>
      </x:c>
      <x:c r="C236" s="14" t="str">
        <x:v>Gigalith</x:v>
      </x:c>
      <x:c r="D236" s="14" t="str">
        <x:v>50/119</x:v>
      </x:c>
      <x:c r="E236" s="14" t="str">
        <x:v>Phantom Forces</x:v>
      </x:c>
      <x:c r="F236" s="18" t="n">
        <x:v>2014</x:v>
      </x:c>
      <x:c r="G236" s="14" t="str">
        <x:v>Holo Rare</x:v>
      </x:c>
      <x:c r="H236" s="14" t="str">
        <x:v>1 of 1</x:v>
      </x:c>
      <x:c r="I236" s="16" t="n">
        <x:v>0.63</x:v>
      </x:c>
      <x:c r="J236" s="16" t="n">
        <x:v>0.7</x:v>
      </x:c>
      <x:c r="K236" s="16" t="n">
        <x:f>IF(AND(ISNUMBER(I236),ISNUMBER(J236)),AVERAGE(I236:J236),"")</x:f>
        <x:v>0.665</x:v>
      </x:c>
      <x:c r="L236" s="14" t="str">
        <x:v>&lt;$1</x:v>
      </x:c>
      <x:c r="M236" s="14" t="str">
        <x:v>Yes</x:v>
      </x:c>
      <x:c r="N236" s="14" t="str">
        <x:v>No</x:v>
      </x:c>
      <x:c r="O236" s="14" t="str">
        <x:v>No</x:v>
      </x:c>
      <x:c r="P236" s="14" t="str">
        <x:v>Clean/NM benchmark unless noted</x:v>
      </x:c>
      <x:c r="Q236" s="16" t="n">
        <x:v>0.63</x:v>
      </x:c>
      <x:c r="R236" s="16" t="n">
        <x:v>0.7</x:v>
      </x:c>
      <x:c r="S236" s="16" t="n">
        <x:f>IF(AND(ISNUMBER(Q236),ISNUMBER(R236)),AVERAGE(Q236:R236),K236)</x:f>
        <x:v>0.665</x:v>
      </x:c>
      <x:c r="T236" s="14" t="str"/>
      <x:c r="U236" s="18" t="n">
        <x:v>822</x:v>
      </x:c>
      <x:c r="V236" s="14" t="str">
        <x:v>Uploaded Pokémon chat JSON / prior card-by-card research</x:v>
      </x:c>
      <x:c r="W236" s="14" t="str"/>
    </x:row>
    <x:row r="237">
      <x:c r="A237" s="18" t="n">
        <x:v>236</x:v>
      </x:c>
      <x:c r="B237" s="14" t="str">
        <x:v>Post-Dragon / Mixed Pokémon</x:v>
      </x:c>
      <x:c r="C237" s="14" t="str">
        <x:v>Druddigon</x:v>
      </x:c>
      <x:c r="D237" s="14" t="str">
        <x:v>70/101</x:v>
      </x:c>
      <x:c r="E237" s="14" t="str">
        <x:v>Plasma Blast</x:v>
      </x:c>
      <x:c r="F237" s="18" t="n">
        <x:v>2013</x:v>
      </x:c>
      <x:c r="G237" s="14" t="str">
        <x:v>Reverse Holo</x:v>
      </x:c>
      <x:c r="H237" s="14" t="str">
        <x:v>1 of 2</x:v>
      </x:c>
      <x:c r="I237" s="16" t="n">
        <x:v>0.88</x:v>
      </x:c>
      <x:c r="J237" s="16" t="n">
        <x:v>1.3</x:v>
      </x:c>
      <x:c r="K237" s="16" t="n">
        <x:f>IF(AND(ISNUMBER(I237),ISNUMBER(J237)),AVERAGE(I237:J237),"")</x:f>
        <x:v>1.09</x:v>
      </x:c>
      <x:c r="L237" s="14" t="str">
        <x:v>&lt;$1</x:v>
      </x:c>
      <x:c r="M237" s="14" t="str">
        <x:v>Yes</x:v>
      </x:c>
      <x:c r="N237" s="14" t="str">
        <x:v>No</x:v>
      </x:c>
      <x:c r="O237" s="14" t="str">
        <x:v>No</x:v>
      </x:c>
      <x:c r="P237" s="14" t="str">
        <x:v>Clean/NM benchmark unless noted</x:v>
      </x:c>
      <x:c r="Q237" s="16" t="n">
        <x:v>0.88</x:v>
      </x:c>
      <x:c r="R237" s="16" t="n">
        <x:v>1.3</x:v>
      </x:c>
      <x:c r="S237" s="16" t="n">
        <x:f>IF(AND(ISNUMBER(Q237),ISNUMBER(R237)),AVERAGE(Q237:R237),K237)</x:f>
        <x:v>1.09</x:v>
      </x:c>
      <x:c r="T237" s="14" t="str">
        <x:v>Two additional physical copies; user clarified these were new, not corrections.</x:v>
      </x:c>
      <x:c r="U237" s="18" t="n">
        <x:v>828</x:v>
      </x:c>
      <x:c r="V237" s="14" t="str">
        <x:v>Uploaded Pokémon chat JSON / prior card-by-card research</x:v>
      </x:c>
      <x:c r="W237" s="14" t="str"/>
    </x:row>
    <x:row r="238">
      <x:c r="A238" s="18" t="n">
        <x:v>237</x:v>
      </x:c>
      <x:c r="B238" s="14" t="str">
        <x:v>Post-Dragon / Mixed Pokémon</x:v>
      </x:c>
      <x:c r="C238" s="14" t="str">
        <x:v>Druddigon</x:v>
      </x:c>
      <x:c r="D238" s="14" t="str">
        <x:v>70/101</x:v>
      </x:c>
      <x:c r="E238" s="14" t="str">
        <x:v>Plasma Blast</x:v>
      </x:c>
      <x:c r="F238" s="18" t="n">
        <x:v>2013</x:v>
      </x:c>
      <x:c r="G238" s="14" t="str">
        <x:v>Reverse Holo</x:v>
      </x:c>
      <x:c r="H238" s="14" t="str">
        <x:v>2 of 2</x:v>
      </x:c>
      <x:c r="I238" s="16" t="n">
        <x:v>0.88</x:v>
      </x:c>
      <x:c r="J238" s="16" t="n">
        <x:v>1.3</x:v>
      </x:c>
      <x:c r="K238" s="16" t="n">
        <x:f>IF(AND(ISNUMBER(I238),ISNUMBER(J238)),AVERAGE(I238:J238),"")</x:f>
        <x:v>1.09</x:v>
      </x:c>
      <x:c r="L238" s="14" t="str">
        <x:v>&lt;$1</x:v>
      </x:c>
      <x:c r="M238" s="14" t="str">
        <x:v>Yes</x:v>
      </x:c>
      <x:c r="N238" s="14" t="str">
        <x:v>No</x:v>
      </x:c>
      <x:c r="O238" s="14" t="str">
        <x:v>No</x:v>
      </x:c>
      <x:c r="P238" s="14" t="str">
        <x:v>Clean/NM benchmark unless noted</x:v>
      </x:c>
      <x:c r="Q238" s="16" t="n">
        <x:v>0.88</x:v>
      </x:c>
      <x:c r="R238" s="16" t="n">
        <x:v>1.3</x:v>
      </x:c>
      <x:c r="S238" s="16" t="n">
        <x:f>IF(AND(ISNUMBER(Q238),ISNUMBER(R238)),AVERAGE(Q238:R238),K238)</x:f>
        <x:v>1.09</x:v>
      </x:c>
      <x:c r="T238" s="14" t="str">
        <x:v>Two additional physical copies; user clarified these were new, not corrections.</x:v>
      </x:c>
      <x:c r="U238" s="18" t="n">
        <x:v>828</x:v>
      </x:c>
      <x:c r="V238" s="14" t="str">
        <x:v>Uploaded Pokémon chat JSON / prior card-by-card research</x:v>
      </x:c>
      <x:c r="W238" s="14" t="str"/>
    </x:row>
    <x:row r="239">
      <x:c r="A239" s="18" t="n">
        <x:v>238</x:v>
      </x:c>
      <x:c r="B239" s="14" t="str">
        <x:v>Post-Dragon / Mixed Pokémon</x:v>
      </x:c>
      <x:c r="C239" s="14" t="str">
        <x:v>Camerupt</x:v>
      </x:c>
      <x:c r="D239" s="14" t="str">
        <x:v>22/149</x:v>
      </x:c>
      <x:c r="E239" s="14" t="str">
        <x:v>Boundaries Crossed</x:v>
      </x:c>
      <x:c r="F239" s="18" t="n">
        <x:v>2012</x:v>
      </x:c>
      <x:c r="G239" s="14" t="str">
        <x:v>Regular</x:v>
      </x:c>
      <x:c r="H239" s="14" t="str">
        <x:v>1 of 1</x:v>
      </x:c>
      <x:c r="I239" s="16" t="n">
        <x:v>0.35</x:v>
      </x:c>
      <x:c r="J239" s="16" t="n">
        <x:v>0.5</x:v>
      </x:c>
      <x:c r="K239" s="16" t="n">
        <x:f>IF(AND(ISNUMBER(I239),ISNUMBER(J239)),AVERAGE(I239:J239),"")</x:f>
        <x:v>0.425</x:v>
      </x:c>
      <x:c r="L239" s="14" t="str">
        <x:v>&lt;$1</x:v>
      </x:c>
      <x:c r="M239" s="14" t="str">
        <x:v>No</x:v>
      </x:c>
      <x:c r="N239" s="14" t="str">
        <x:v>No</x:v>
      </x:c>
      <x:c r="O239" s="14" t="str">
        <x:v>No</x:v>
      </x:c>
      <x:c r="P239" s="14" t="str">
        <x:v>Clean/NM benchmark unless noted</x:v>
      </x:c>
      <x:c r="Q239" s="16" t="n">
        <x:v>0.35</x:v>
      </x:c>
      <x:c r="R239" s="16" t="n">
        <x:v>0.5</x:v>
      </x:c>
      <x:c r="S239" s="16" t="n">
        <x:f>IF(AND(ISNUMBER(Q239),ISNUMBER(R239)),AVERAGE(Q239:R239),K239)</x:f>
        <x:v>0.425</x:v>
      </x:c>
      <x:c r="T239" s="14" t="str"/>
      <x:c r="U239" s="18" t="n">
        <x:v>837</x:v>
      </x:c>
      <x:c r="V239" s="14" t="str">
        <x:v>Uploaded Pokémon chat JSON / prior card-by-card research</x:v>
      </x:c>
      <x:c r="W239" s="14" t="str"/>
    </x:row>
    <x:row r="240">
      <x:c r="A240" s="18" t="n">
        <x:v>239</x:v>
      </x:c>
      <x:c r="B240" s="14" t="str">
        <x:v>Post-Dragon / Mixed Pokémon</x:v>
      </x:c>
      <x:c r="C240" s="14" t="str">
        <x:v>Whimsicott</x:v>
      </x:c>
      <x:c r="D240" s="14" t="str">
        <x:v>12/98</x:v>
      </x:c>
      <x:c r="E240" s="14" t="str">
        <x:v>Emerging Powers</x:v>
      </x:c>
      <x:c r="F240" s="18" t="n">
        <x:v>2011</x:v>
      </x:c>
      <x:c r="G240" s="14" t="str">
        <x:v>Regular</x:v>
      </x:c>
      <x:c r="H240" s="14" t="str">
        <x:v>1 of 1</x:v>
      </x:c>
      <x:c r="I240" s="16" t="n">
        <x:v>1.6</x:v>
      </x:c>
      <x:c r="J240" s="16" t="n">
        <x:v>1.8</x:v>
      </x:c>
      <x:c r="K240" s="16" t="n">
        <x:f>IF(AND(ISNUMBER(I240),ISNUMBER(J240)),AVERAGE(I240:J240),"")</x:f>
        <x:v>1.7000000000000002</x:v>
      </x:c>
      <x:c r="L240" s="14" t="str">
        <x:v>$1–5</x:v>
      </x:c>
      <x:c r="M240" s="14" t="str">
        <x:v>Yes</x:v>
      </x:c>
      <x:c r="N240" s="14" t="str">
        <x:v>No</x:v>
      </x:c>
      <x:c r="O240" s="14" t="str">
        <x:v>Yes</x:v>
      </x:c>
      <x:c r="P240" s="14" t="str">
        <x:v>Clean/NM benchmark unless noted</x:v>
      </x:c>
      <x:c r="Q240" s="16" t="n">
        <x:v>1.6</x:v>
      </x:c>
      <x:c r="R240" s="16" t="n">
        <x:v>1.8</x:v>
      </x:c>
      <x:c r="S240" s="16" t="n">
        <x:f>IF(AND(ISNUMBER(Q240),ISNUMBER(R240)),AVERAGE(Q240:R240),K240)</x:f>
        <x:v>1.7000000000000002</x:v>
      </x:c>
      <x:c r="T240" s="14" t="str"/>
      <x:c r="U240" s="18" t="n">
        <x:v>837</x:v>
      </x:c>
      <x:c r="V240" s="14" t="str">
        <x:v>Uploaded Pokémon chat JSON / prior card-by-card research</x:v>
      </x:c>
      <x:c r="W240" s="14" t="str"/>
    </x:row>
    <x:row r="241">
      <x:c r="A241" s="18" t="n">
        <x:v>240</x:v>
      </x:c>
      <x:c r="B241" s="14" t="str">
        <x:v>Post-Dragon / Mixed Pokémon</x:v>
      </x:c>
      <x:c r="C241" s="14" t="str">
        <x:v>Leavanny</x:v>
      </x:c>
      <x:c r="D241" s="14" t="str">
        <x:v>3/101</x:v>
      </x:c>
      <x:c r="E241" s="14" t="str">
        <x:v>Noble Victories</x:v>
      </x:c>
      <x:c r="F241" s="18" t="n">
        <x:v>2011</x:v>
      </x:c>
      <x:c r="G241" s="14" t="str">
        <x:v>Holo</x:v>
      </x:c>
      <x:c r="H241" s="14" t="str">
        <x:v>1 of 2</x:v>
      </x:c>
      <x:c r="I241" s="16" t="n">
        <x:v>1.4</x:v>
      </x:c>
      <x:c r="J241" s="16" t="n">
        <x:v>1.6</x:v>
      </x:c>
      <x:c r="K241" s="16" t="n">
        <x:f>IF(AND(ISNUMBER(I241),ISNUMBER(J241)),AVERAGE(I241:J241),"")</x:f>
        <x:v>1.5</x:v>
      </x:c>
      <x:c r="L241" s="14" t="str">
        <x:v>$1–5</x:v>
      </x:c>
      <x:c r="M241" s="14" t="str">
        <x:v>Yes</x:v>
      </x:c>
      <x:c r="N241" s="14" t="str">
        <x:v>No</x:v>
      </x:c>
      <x:c r="O241" s="14" t="str">
        <x:v>Yes</x:v>
      </x:c>
      <x:c r="P241" s="14" t="str">
        <x:v>Clean/NM benchmark unless noted</x:v>
      </x:c>
      <x:c r="Q241" s="16" t="n">
        <x:v>1.4</x:v>
      </x:c>
      <x:c r="R241" s="16" t="n">
        <x:v>1.6</x:v>
      </x:c>
      <x:c r="S241" s="16" t="n">
        <x:f>IF(AND(ISNUMBER(Q241),ISNUMBER(R241)),AVERAGE(Q241:R241),K241)</x:f>
        <x:v>1.5</x:v>
      </x:c>
      <x:c r="T241" s="14" t="str"/>
      <x:c r="U241" s="18" t="n">
        <x:v>837</x:v>
      </x:c>
      <x:c r="V241" s="14" t="str">
        <x:v>Uploaded Pokémon chat JSON / prior card-by-card research</x:v>
      </x:c>
      <x:c r="W241" s="14" t="str"/>
    </x:row>
    <x:row r="242">
      <x:c r="A242" s="18" t="n">
        <x:v>241</x:v>
      </x:c>
      <x:c r="B242" s="14" t="str">
        <x:v>Post-Dragon / Mixed Pokémon</x:v>
      </x:c>
      <x:c r="C242" s="14" t="str">
        <x:v>Leavanny</x:v>
      </x:c>
      <x:c r="D242" s="14" t="str">
        <x:v>3/101</x:v>
      </x:c>
      <x:c r="E242" s="14" t="str">
        <x:v>Noble Victories</x:v>
      </x:c>
      <x:c r="F242" s="18" t="n">
        <x:v>2011</x:v>
      </x:c>
      <x:c r="G242" s="14" t="str">
        <x:v>Holo</x:v>
      </x:c>
      <x:c r="H242" s="14" t="str">
        <x:v>2 of 2</x:v>
      </x:c>
      <x:c r="I242" s="16" t="n">
        <x:v>1.4</x:v>
      </x:c>
      <x:c r="J242" s="16" t="n">
        <x:v>1.6</x:v>
      </x:c>
      <x:c r="K242" s="16" t="n">
        <x:f>IF(AND(ISNUMBER(I242),ISNUMBER(J242)),AVERAGE(I242:J242),"")</x:f>
        <x:v>1.5</x:v>
      </x:c>
      <x:c r="L242" s="14" t="str">
        <x:v>$1–5</x:v>
      </x:c>
      <x:c r="M242" s="14" t="str">
        <x:v>Yes</x:v>
      </x:c>
      <x:c r="N242" s="14" t="str">
        <x:v>No</x:v>
      </x:c>
      <x:c r="O242" s="14" t="str">
        <x:v>Yes</x:v>
      </x:c>
      <x:c r="P242" s="14" t="str">
        <x:v>Clean/NM benchmark unless noted</x:v>
      </x:c>
      <x:c r="Q242" s="16" t="n">
        <x:v>1.4</x:v>
      </x:c>
      <x:c r="R242" s="16" t="n">
        <x:v>1.6</x:v>
      </x:c>
      <x:c r="S242" s="16" t="n">
        <x:f>IF(AND(ISNUMBER(Q242),ISNUMBER(R242)),AVERAGE(Q242:R242),K242)</x:f>
        <x:v>1.5</x:v>
      </x:c>
      <x:c r="T242" s="14" t="str"/>
      <x:c r="U242" s="18" t="n">
        <x:v>837</x:v>
      </x:c>
      <x:c r="V242" s="14" t="str">
        <x:v>Uploaded Pokémon chat JSON / prior card-by-card research</x:v>
      </x:c>
      <x:c r="W242" s="14" t="str"/>
    </x:row>
    <x:row r="243">
      <x:c r="A243" s="18" t="n">
        <x:v>242</x:v>
      </x:c>
      <x:c r="B243" s="14" t="str">
        <x:v>Post-Dragon / Mixed Pokémon</x:v>
      </x:c>
      <x:c r="C243" s="14" t="str">
        <x:v>Whimsicott</x:v>
      </x:c>
      <x:c r="D243" s="14" t="str">
        <x:v>15/149</x:v>
      </x:c>
      <x:c r="E243" s="14" t="str">
        <x:v>Boundaries Crossed</x:v>
      </x:c>
      <x:c r="F243" s="18" t="n">
        <x:v>2012</x:v>
      </x:c>
      <x:c r="G243" s="14" t="str">
        <x:v>Regular</x:v>
      </x:c>
      <x:c r="H243" s="14" t="str">
        <x:v>1 of 1</x:v>
      </x:c>
      <x:c r="I243" s="16" t="n">
        <x:v>0.45</x:v>
      </x:c>
      <x:c r="J243" s="16" t="n">
        <x:v>0.5</x:v>
      </x:c>
      <x:c r="K243" s="16" t="n">
        <x:f>IF(AND(ISNUMBER(I243),ISNUMBER(J243)),AVERAGE(I243:J243),"")</x:f>
        <x:v>0.475</x:v>
      </x:c>
      <x:c r="L243" s="14" t="str">
        <x:v>&lt;$1</x:v>
      </x:c>
      <x:c r="M243" s="14" t="str">
        <x:v>No</x:v>
      </x:c>
      <x:c r="N243" s="14" t="str">
        <x:v>No</x:v>
      </x:c>
      <x:c r="O243" s="14" t="str">
        <x:v>No</x:v>
      </x:c>
      <x:c r="P243" s="14" t="str">
        <x:v>Clean/NM benchmark unless noted</x:v>
      </x:c>
      <x:c r="Q243" s="16" t="n">
        <x:v>0.45</x:v>
      </x:c>
      <x:c r="R243" s="16" t="n">
        <x:v>0.5</x:v>
      </x:c>
      <x:c r="S243" s="16" t="n">
        <x:f>IF(AND(ISNUMBER(Q243),ISNUMBER(R243)),AVERAGE(Q243:R243),K243)</x:f>
        <x:v>0.475</x:v>
      </x:c>
      <x:c r="T243" s="14" t="str"/>
      <x:c r="U243" s="18" t="n">
        <x:v>837</x:v>
      </x:c>
      <x:c r="V243" s="14" t="str">
        <x:v>Uploaded Pokémon chat JSON / prior card-by-card research</x:v>
      </x:c>
      <x:c r="W243" s="14" t="str"/>
    </x:row>
    <x:row r="244">
      <x:c r="A244" s="18" t="n">
        <x:v>243</x:v>
      </x:c>
      <x:c r="B244" s="14" t="str">
        <x:v>Post-Dragon / Mixed Pokémon</x:v>
      </x:c>
      <x:c r="C244" s="14" t="str">
        <x:v>Whimsicott</x:v>
      </x:c>
      <x:c r="D244" s="14" t="str">
        <x:v>15/149</x:v>
      </x:c>
      <x:c r="E244" s="14" t="str">
        <x:v>Boundaries Crossed</x:v>
      </x:c>
      <x:c r="F244" s="18" t="n">
        <x:v>2012</x:v>
      </x:c>
      <x:c r="G244" s="14" t="str">
        <x:v>Reverse Holo</x:v>
      </x:c>
      <x:c r="H244" s="14" t="str">
        <x:v>1 of 2</x:v>
      </x:c>
      <x:c r="I244" s="16" t="n">
        <x:v>1.75</x:v>
      </x:c>
      <x:c r="J244" s="16" t="n">
        <x:v>2.25</x:v>
      </x:c>
      <x:c r="K244" s="16" t="n">
        <x:f>IF(AND(ISNUMBER(I244),ISNUMBER(J244)),AVERAGE(I244:J244),"")</x:f>
        <x:v>2</x:v>
      </x:c>
      <x:c r="L244" s="14" t="str">
        <x:v>$1–5</x:v>
      </x:c>
      <x:c r="M244" s="14" t="str">
        <x:v>Yes</x:v>
      </x:c>
      <x:c r="N244" s="14" t="str">
        <x:v>No</x:v>
      </x:c>
      <x:c r="O244" s="14" t="str">
        <x:v>Yes</x:v>
      </x:c>
      <x:c r="P244" s="14" t="str">
        <x:v>Clean/NM benchmark unless noted</x:v>
      </x:c>
      <x:c r="Q244" s="16" t="n">
        <x:v>1.75</x:v>
      </x:c>
      <x:c r="R244" s="16" t="n">
        <x:v>2.25</x:v>
      </x:c>
      <x:c r="S244" s="16" t="n">
        <x:f>IF(AND(ISNUMBER(Q244),ISNUMBER(R244)),AVERAGE(Q244:R244),K244)</x:f>
        <x:v>2</x:v>
      </x:c>
      <x:c r="T244" s="14" t="str"/>
      <x:c r="U244" s="18" t="n">
        <x:v>837</x:v>
      </x:c>
      <x:c r="V244" s="14" t="str">
        <x:v>Uploaded Pokémon chat JSON / prior card-by-card research</x:v>
      </x:c>
      <x:c r="W244" s="14" t="str"/>
    </x:row>
    <x:row r="245">
      <x:c r="A245" s="18" t="n">
        <x:v>244</x:v>
      </x:c>
      <x:c r="B245" s="14" t="str">
        <x:v>Post-Dragon / Mixed Pokémon</x:v>
      </x:c>
      <x:c r="C245" s="14" t="str">
        <x:v>Whimsicott</x:v>
      </x:c>
      <x:c r="D245" s="14" t="str">
        <x:v>15/149</x:v>
      </x:c>
      <x:c r="E245" s="14" t="str">
        <x:v>Boundaries Crossed</x:v>
      </x:c>
      <x:c r="F245" s="18" t="n">
        <x:v>2012</x:v>
      </x:c>
      <x:c r="G245" s="14" t="str">
        <x:v>Reverse Holo</x:v>
      </x:c>
      <x:c r="H245" s="14" t="str">
        <x:v>2 of 2</x:v>
      </x:c>
      <x:c r="I245" s="16" t="n">
        <x:v>1.75</x:v>
      </x:c>
      <x:c r="J245" s="16" t="n">
        <x:v>2.25</x:v>
      </x:c>
      <x:c r="K245" s="16" t="n">
        <x:f>IF(AND(ISNUMBER(I245),ISNUMBER(J245)),AVERAGE(I245:J245),"")</x:f>
        <x:v>2</x:v>
      </x:c>
      <x:c r="L245" s="14" t="str">
        <x:v>$1–5</x:v>
      </x:c>
      <x:c r="M245" s="14" t="str">
        <x:v>Yes</x:v>
      </x:c>
      <x:c r="N245" s="14" t="str">
        <x:v>No</x:v>
      </x:c>
      <x:c r="O245" s="14" t="str">
        <x:v>Yes</x:v>
      </x:c>
      <x:c r="P245" s="14" t="str">
        <x:v>Clean/NM benchmark unless noted</x:v>
      </x:c>
      <x:c r="Q245" s="16" t="n">
        <x:v>1.75</x:v>
      </x:c>
      <x:c r="R245" s="16" t="n">
        <x:v>2.25</x:v>
      </x:c>
      <x:c r="S245" s="16" t="n">
        <x:f>IF(AND(ISNUMBER(Q245),ISNUMBER(R245)),AVERAGE(Q245:R245),K245)</x:f>
        <x:v>2</x:v>
      </x:c>
      <x:c r="T245" s="14" t="str"/>
      <x:c r="U245" s="18" t="n">
        <x:v>837</x:v>
      </x:c>
      <x:c r="V245" s="14" t="str">
        <x:v>Uploaded Pokémon chat JSON / prior card-by-card research</x:v>
      </x:c>
      <x:c r="W245" s="14" t="str"/>
    </x:row>
    <x:row r="246">
      <x:c r="A246" s="18" t="n">
        <x:v>245</x:v>
      </x:c>
      <x:c r="B246" s="14" t="str">
        <x:v>Post-Dragon / Mixed Pokémon</x:v>
      </x:c>
      <x:c r="C246" s="14" t="str">
        <x:v>Masquerain</x:v>
      </x:c>
      <x:c r="D246" s="14" t="str">
        <x:v>2/101</x:v>
      </x:c>
      <x:c r="E246" s="14" t="str">
        <x:v>Plasma Blast</x:v>
      </x:c>
      <x:c r="F246" s="18" t="n">
        <x:v>2013</x:v>
      </x:c>
      <x:c r="G246" s="14" t="str">
        <x:v>Regular</x:v>
      </x:c>
      <x:c r="H246" s="14" t="str">
        <x:v>1 of 1</x:v>
      </x:c>
      <x:c r="I246" s="16" t="n">
        <x:v>0.55</x:v>
      </x:c>
      <x:c r="J246" s="16" t="n">
        <x:v>0.55</x:v>
      </x:c>
      <x:c r="K246" s="16" t="n">
        <x:f>IF(AND(ISNUMBER(I246),ISNUMBER(J246)),AVERAGE(I246:J246),"")</x:f>
        <x:v>0.55</x:v>
      </x:c>
      <x:c r="L246" s="14" t="str">
        <x:v>&lt;$1</x:v>
      </x:c>
      <x:c r="M246" s="14" t="str">
        <x:v>No</x:v>
      </x:c>
      <x:c r="N246" s="14" t="str">
        <x:v>No</x:v>
      </x:c>
      <x:c r="O246" s="14" t="str">
        <x:v>No</x:v>
      </x:c>
      <x:c r="P246" s="14" t="str">
        <x:v>Clean/NM benchmark unless noted</x:v>
      </x:c>
      <x:c r="Q246" s="16" t="n">
        <x:v>0.55</x:v>
      </x:c>
      <x:c r="R246" s="16" t="n">
        <x:v>0.55</x:v>
      </x:c>
      <x:c r="S246" s="16" t="n">
        <x:f>IF(AND(ISNUMBER(Q246),ISNUMBER(R246)),AVERAGE(Q246:R246),K246)</x:f>
        <x:v>0.55</x:v>
      </x:c>
      <x:c r="T246" s="14" t="str"/>
      <x:c r="U246" s="18" t="n">
        <x:v>844</x:v>
      </x:c>
      <x:c r="V246" s="14" t="str">
        <x:v>Uploaded Pokémon chat JSON / prior card-by-card research</x:v>
      </x:c>
      <x:c r="W246" s="14" t="str"/>
    </x:row>
    <x:row r="247">
      <x:c r="A247" s="18" t="n">
        <x:v>246</x:v>
      </x:c>
      <x:c r="B247" s="14" t="str">
        <x:v>Post-Dragon / Mixed Pokémon</x:v>
      </x:c>
      <x:c r="C247" s="14" t="str">
        <x:v>Masquerain</x:v>
      </x:c>
      <x:c r="D247" s="14" t="str">
        <x:v>2/101</x:v>
      </x:c>
      <x:c r="E247" s="14" t="str">
        <x:v>Plasma Blast</x:v>
      </x:c>
      <x:c r="F247" s="18" t="n">
        <x:v>2013</x:v>
      </x:c>
      <x:c r="G247" s="14" t="str">
        <x:v>Reverse Holo</x:v>
      </x:c>
      <x:c r="H247" s="14" t="str">
        <x:v>1 of 1</x:v>
      </x:c>
      <x:c r="I247" s="16" t="n">
        <x:v>0.55</x:v>
      </x:c>
      <x:c r="J247" s="16" t="n">
        <x:v>0.6</x:v>
      </x:c>
      <x:c r="K247" s="16" t="n">
        <x:f>IF(AND(ISNUMBER(I247),ISNUMBER(J247)),AVERAGE(I247:J247),"")</x:f>
        <x:v>0.575</x:v>
      </x:c>
      <x:c r="L247" s="14" t="str">
        <x:v>&lt;$1</x:v>
      </x:c>
      <x:c r="M247" s="14" t="str">
        <x:v>Yes</x:v>
      </x:c>
      <x:c r="N247" s="14" t="str">
        <x:v>No</x:v>
      </x:c>
      <x:c r="O247" s="14" t="str">
        <x:v>No</x:v>
      </x:c>
      <x:c r="P247" s="14" t="str">
        <x:v>Clean/NM benchmark unless noted</x:v>
      </x:c>
      <x:c r="Q247" s="16" t="n">
        <x:v>0.55</x:v>
      </x:c>
      <x:c r="R247" s="16" t="n">
        <x:v>0.6</x:v>
      </x:c>
      <x:c r="S247" s="16" t="n">
        <x:f>IF(AND(ISNUMBER(Q247),ISNUMBER(R247)),AVERAGE(Q247:R247),K247)</x:f>
        <x:v>0.575</x:v>
      </x:c>
      <x:c r="T247" s="14" t="str">
        <x:v>Correction at index 854: one of the two was reverse.</x:v>
      </x:c>
      <x:c r="U247" s="18" t="n">
        <x:v>844</x:v>
      </x:c>
      <x:c r="V247" s="14" t="str">
        <x:v>Uploaded Pokémon chat JSON / prior card-by-card research</x:v>
      </x:c>
      <x:c r="W247" s="14" t="str"/>
    </x:row>
    <x:row r="248">
      <x:c r="A248" s="18" t="n">
        <x:v>247</x:v>
      </x:c>
      <x:c r="B248" s="14" t="str">
        <x:v>Post-Dragon / Mixed Pokémon</x:v>
      </x:c>
      <x:c r="C248" s="14" t="str">
        <x:v>Bellossom</x:v>
      </x:c>
      <x:c r="D248" s="14" t="str">
        <x:v>4/149</x:v>
      </x:c>
      <x:c r="E248" s="14" t="str">
        <x:v>Boundaries Crossed</x:v>
      </x:c>
      <x:c r="F248" s="18" t="n">
        <x:v>2012</x:v>
      </x:c>
      <x:c r="G248" s="14" t="str">
        <x:v>Regular</x:v>
      </x:c>
      <x:c r="H248" s="14" t="str">
        <x:v>1 of 1</x:v>
      </x:c>
      <x:c r="I248" s="16" t="n">
        <x:v>0.75</x:v>
      </x:c>
      <x:c r="J248" s="16" t="n">
        <x:v>0.75</x:v>
      </x:c>
      <x:c r="K248" s="16" t="n">
        <x:f>IF(AND(ISNUMBER(I248),ISNUMBER(J248)),AVERAGE(I248:J248),"")</x:f>
        <x:v>0.75</x:v>
      </x:c>
      <x:c r="L248" s="14" t="str">
        <x:v>&lt;$1</x:v>
      </x:c>
      <x:c r="M248" s="14" t="str">
        <x:v>No</x:v>
      </x:c>
      <x:c r="N248" s="14" t="str">
        <x:v>No</x:v>
      </x:c>
      <x:c r="O248" s="14" t="str">
        <x:v>No</x:v>
      </x:c>
      <x:c r="P248" s="14" t="str">
        <x:v>Clean/NM benchmark unless noted</x:v>
      </x:c>
      <x:c r="Q248" s="16" t="n">
        <x:v>0.75</x:v>
      </x:c>
      <x:c r="R248" s="16" t="n">
        <x:v>0.75</x:v>
      </x:c>
      <x:c r="S248" s="16" t="n">
        <x:f>IF(AND(ISNUMBER(Q248),ISNUMBER(R248)),AVERAGE(Q248:R248),K248)</x:f>
        <x:v>0.75</x:v>
      </x:c>
      <x:c r="T248" s="14" t="str"/>
      <x:c r="U248" s="18" t="n">
        <x:v>844</x:v>
      </x:c>
      <x:c r="V248" s="14" t="str">
        <x:v>Uploaded Pokémon chat JSON / prior card-by-card research</x:v>
      </x:c>
      <x:c r="W248" s="14" t="str"/>
    </x:row>
    <x:row r="249">
      <x:c r="A249" s="18" t="n">
        <x:v>248</x:v>
      </x:c>
      <x:c r="B249" s="14" t="str">
        <x:v>Post-Dragon / Mixed Pokémon</x:v>
      </x:c>
      <x:c r="C249" s="14" t="str">
        <x:v>Cradily</x:v>
      </x:c>
      <x:c r="D249" s="14" t="str">
        <x:v>4/101</x:v>
      </x:c>
      <x:c r="E249" s="14" t="str">
        <x:v>Plasma Blast</x:v>
      </x:c>
      <x:c r="F249" s="18" t="n">
        <x:v>2013</x:v>
      </x:c>
      <x:c r="G249" s="14" t="str">
        <x:v>Regular</x:v>
      </x:c>
      <x:c r="H249" s="14" t="str">
        <x:v>1 of 1</x:v>
      </x:c>
      <x:c r="I249" s="16" t="n">
        <x:v>1.3</x:v>
      </x:c>
      <x:c r="J249" s="16" t="n">
        <x:v>1.3</x:v>
      </x:c>
      <x:c r="K249" s="16" t="n">
        <x:f>IF(AND(ISNUMBER(I249),ISNUMBER(J249)),AVERAGE(I249:J249),"")</x:f>
        <x:v>1.3</x:v>
      </x:c>
      <x:c r="L249" s="14" t="str">
        <x:v>$1–5</x:v>
      </x:c>
      <x:c r="M249" s="14" t="str">
        <x:v>Yes</x:v>
      </x:c>
      <x:c r="N249" s="14" t="str">
        <x:v>No</x:v>
      </x:c>
      <x:c r="O249" s="14" t="str">
        <x:v>Yes</x:v>
      </x:c>
      <x:c r="P249" s="14" t="str">
        <x:v>Clean/NM benchmark unless noted</x:v>
      </x:c>
      <x:c r="Q249" s="16" t="n">
        <x:v>1.3</x:v>
      </x:c>
      <x:c r="R249" s="16" t="n">
        <x:v>1.3</x:v>
      </x:c>
      <x:c r="S249" s="16" t="n">
        <x:f>IF(AND(ISNUMBER(Q249),ISNUMBER(R249)),AVERAGE(Q249:R249),K249)</x:f>
        <x:v>1.3</x:v>
      </x:c>
      <x:c r="T249" s="14" t="str"/>
      <x:c r="U249" s="18" t="n">
        <x:v>844</x:v>
      </x:c>
      <x:c r="V249" s="14" t="str">
        <x:v>Uploaded Pokémon chat JSON / prior card-by-card research</x:v>
      </x:c>
      <x:c r="W249" s="14" t="str"/>
    </x:row>
    <x:row r="250">
      <x:c r="A250" s="18" t="n">
        <x:v>249</x:v>
      </x:c>
      <x:c r="B250" s="14" t="str">
        <x:v>Post-Dragon / Mixed Pokémon</x:v>
      </x:c>
      <x:c r="C250" s="14" t="str">
        <x:v>Lilligant</x:v>
      </x:c>
      <x:c r="D250" s="14" t="str">
        <x:v>17/149</x:v>
      </x:c>
      <x:c r="E250" s="14" t="str">
        <x:v>Boundaries Crossed</x:v>
      </x:c>
      <x:c r="F250" s="18" t="n">
        <x:v>2012</x:v>
      </x:c>
      <x:c r="G250" s="14" t="str">
        <x:v>Regular</x:v>
      </x:c>
      <x:c r="H250" s="14" t="str">
        <x:v>1 of 1</x:v>
      </x:c>
      <x:c r="I250" s="16" t="n">
        <x:v>0.8</x:v>
      </x:c>
      <x:c r="J250" s="16" t="n">
        <x:v>0.95</x:v>
      </x:c>
      <x:c r="K250" s="16" t="n">
        <x:f>IF(AND(ISNUMBER(I250),ISNUMBER(J250)),AVERAGE(I250:J250),"")</x:f>
        <x:v>0.875</x:v>
      </x:c>
      <x:c r="L250" s="14" t="str">
        <x:v>&lt;$1</x:v>
      </x:c>
      <x:c r="M250" s="14" t="str">
        <x:v>No</x:v>
      </x:c>
      <x:c r="N250" s="14" t="str">
        <x:v>No</x:v>
      </x:c>
      <x:c r="O250" s="14" t="str">
        <x:v>No</x:v>
      </x:c>
      <x:c r="P250" s="14" t="str">
        <x:v>Clean/NM benchmark unless noted</x:v>
      </x:c>
      <x:c r="Q250" s="16" t="n">
        <x:v>0.8</x:v>
      </x:c>
      <x:c r="R250" s="16" t="n">
        <x:v>0.95</x:v>
      </x:c>
      <x:c r="S250" s="16" t="n">
        <x:f>IF(AND(ISNUMBER(Q250),ISNUMBER(R250)),AVERAGE(Q250:R250),K250)</x:f>
        <x:v>0.875</x:v>
      </x:c>
      <x:c r="T250" s="14" t="str"/>
      <x:c r="U250" s="18" t="n">
        <x:v>844</x:v>
      </x:c>
      <x:c r="V250" s="14" t="str">
        <x:v>Uploaded Pokémon chat JSON / prior card-by-card research</x:v>
      </x:c>
      <x:c r="W250" s="14" t="str"/>
    </x:row>
    <x:row r="251">
      <x:c r="A251" s="18" t="n">
        <x:v>250</x:v>
      </x:c>
      <x:c r="B251" s="14" t="str">
        <x:v>Post-Dragon / Mixed Pokémon</x:v>
      </x:c>
      <x:c r="C251" s="14" t="str">
        <x:v>Camerupt</x:v>
      </x:c>
      <x:c r="D251" s="14" t="str">
        <x:v>22/149</x:v>
      </x:c>
      <x:c r="E251" s="14" t="str">
        <x:v>Boundaries Crossed</x:v>
      </x:c>
      <x:c r="F251" s="18" t="n">
        <x:v>2012</x:v>
      </x:c>
      <x:c r="G251" s="14" t="str">
        <x:v>Reverse Holo</x:v>
      </x:c>
      <x:c r="H251" s="14" t="str">
        <x:v>1 of 1</x:v>
      </x:c>
      <x:c r="I251" s="16" t="n">
        <x:v>1.05</x:v>
      </x:c>
      <x:c r="J251" s="16" t="n">
        <x:v>1.05</x:v>
      </x:c>
      <x:c r="K251" s="16" t="n">
        <x:f>IF(AND(ISNUMBER(I251),ISNUMBER(J251)),AVERAGE(I251:J251),"")</x:f>
        <x:v>1.05</x:v>
      </x:c>
      <x:c r="L251" s="14" t="str">
        <x:v>$1–5</x:v>
      </x:c>
      <x:c r="M251" s="14" t="str">
        <x:v>Yes</x:v>
      </x:c>
      <x:c r="N251" s="14" t="str">
        <x:v>No</x:v>
      </x:c>
      <x:c r="O251" s="14" t="str">
        <x:v>Yes</x:v>
      </x:c>
      <x:c r="P251" s="14" t="str">
        <x:v>Clean/NM benchmark unless noted</x:v>
      </x:c>
      <x:c r="Q251" s="16" t="n">
        <x:v>1.05</x:v>
      </x:c>
      <x:c r="R251" s="16" t="n">
        <x:v>1.05</x:v>
      </x:c>
      <x:c r="S251" s="16" t="n">
        <x:f>IF(AND(ISNUMBER(Q251),ISNUMBER(R251)),AVERAGE(Q251:R251),K251)</x:f>
        <x:v>1.05</x:v>
      </x:c>
      <x:c r="T251" s="14" t="str"/>
      <x:c r="U251" s="18" t="n">
        <x:v>844</x:v>
      </x:c>
      <x:c r="V251" s="14" t="str">
        <x:v>Uploaded Pokémon chat JSON / prior card-by-card research</x:v>
      </x:c>
      <x:c r="W251" s="14" t="str"/>
    </x:row>
    <x:row r="252">
      <x:c r="A252" s="18" t="n">
        <x:v>251</x:v>
      </x:c>
      <x:c r="B252" s="14" t="str">
        <x:v>Post-Dragon / Mixed Pokémon</x:v>
      </x:c>
      <x:c r="C252" s="14" t="str">
        <x:v>Darmanitan</x:v>
      </x:c>
      <x:c r="D252" s="14" t="str">
        <x:v>21/98</x:v>
      </x:c>
      <x:c r="E252" s="14" t="str">
        <x:v>Emerging Powers</x:v>
      </x:c>
      <x:c r="F252" s="18" t="n">
        <x:v>2011</x:v>
      </x:c>
      <x:c r="G252" s="14" t="str">
        <x:v>Regular</x:v>
      </x:c>
      <x:c r="H252" s="14" t="str">
        <x:v>1 of 1</x:v>
      </x:c>
      <x:c r="I252" s="16" t="n">
        <x:v>0.65</x:v>
      </x:c>
      <x:c r="J252" s="16" t="n">
        <x:v>0.65</x:v>
      </x:c>
      <x:c r="K252" s="16" t="n">
        <x:f>IF(AND(ISNUMBER(I252),ISNUMBER(J252)),AVERAGE(I252:J252),"")</x:f>
        <x:v>0.65</x:v>
      </x:c>
      <x:c r="L252" s="14" t="str">
        <x:v>&lt;$1</x:v>
      </x:c>
      <x:c r="M252" s="14" t="str">
        <x:v>No</x:v>
      </x:c>
      <x:c r="N252" s="14" t="str">
        <x:v>No</x:v>
      </x:c>
      <x:c r="O252" s="14" t="str">
        <x:v>No</x:v>
      </x:c>
      <x:c r="P252" s="14" t="str">
        <x:v>Clean/NM benchmark unless noted</x:v>
      </x:c>
      <x:c r="Q252" s="16" t="n">
        <x:v>0.65</x:v>
      </x:c>
      <x:c r="R252" s="16" t="n">
        <x:v>0.65</x:v>
      </x:c>
      <x:c r="S252" s="16" t="n">
        <x:f>IF(AND(ISNUMBER(Q252),ISNUMBER(R252)),AVERAGE(Q252:R252),K252)</x:f>
        <x:v>0.65</x:v>
      </x:c>
      <x:c r="T252" s="14" t="str"/>
      <x:c r="U252" s="18" t="n">
        <x:v>844</x:v>
      </x:c>
      <x:c r="V252" s="14" t="str">
        <x:v>Uploaded Pokémon chat JSON / prior card-by-card research</x:v>
      </x:c>
      <x:c r="W252" s="14" t="str"/>
    </x:row>
    <x:row r="253">
      <x:c r="A253" s="18" t="n">
        <x:v>252</x:v>
      </x:c>
      <x:c r="B253" s="14" t="str">
        <x:v>Post-Dragon / Mixed Pokémon</x:v>
      </x:c>
      <x:c r="C253" s="14" t="str">
        <x:v>Golduck</x:v>
      </x:c>
      <x:c r="D253" s="14" t="str">
        <x:v>35/149</x:v>
      </x:c>
      <x:c r="E253" s="14" t="str">
        <x:v>Boundaries Crossed</x:v>
      </x:c>
      <x:c r="F253" s="18" t="n">
        <x:v>2012</x:v>
      </x:c>
      <x:c r="G253" s="14" t="str">
        <x:v>Regular</x:v>
      </x:c>
      <x:c r="H253" s="14" t="str">
        <x:v>1 of 1</x:v>
      </x:c>
      <x:c r="I253" s="16" t="n">
        <x:v>0.65</x:v>
      </x:c>
      <x:c r="J253" s="16" t="n">
        <x:v>0.7</x:v>
      </x:c>
      <x:c r="K253" s="16" t="n">
        <x:f>IF(AND(ISNUMBER(I253),ISNUMBER(J253)),AVERAGE(I253:J253),"")</x:f>
        <x:v>0.675</x:v>
      </x:c>
      <x:c r="L253" s="14" t="str">
        <x:v>&lt;$1</x:v>
      </x:c>
      <x:c r="M253" s="14" t="str">
        <x:v>No</x:v>
      </x:c>
      <x:c r="N253" s="14" t="str">
        <x:v>No</x:v>
      </x:c>
      <x:c r="O253" s="14" t="str">
        <x:v>No</x:v>
      </x:c>
      <x:c r="P253" s="14" t="str">
        <x:v>Clean/NM benchmark unless noted</x:v>
      </x:c>
      <x:c r="Q253" s="16" t="n">
        <x:v>0.65</x:v>
      </x:c>
      <x:c r="R253" s="16" t="n">
        <x:v>0.7</x:v>
      </x:c>
      <x:c r="S253" s="16" t="n">
        <x:f>IF(AND(ISNUMBER(Q253),ISNUMBER(R253)),AVERAGE(Q253:R253),K253)</x:f>
        <x:v>0.675</x:v>
      </x:c>
      <x:c r="T253" s="14" t="str"/>
      <x:c r="U253" s="18" t="n">
        <x:v>844</x:v>
      </x:c>
      <x:c r="V253" s="14" t="str">
        <x:v>Uploaded Pokémon chat JSON / prior card-by-card research</x:v>
      </x:c>
      <x:c r="W253" s="14" t="str"/>
    </x:row>
    <x:row r="254">
      <x:c r="A254" s="18" t="n">
        <x:v>253</x:v>
      </x:c>
      <x:c r="B254" s="14" t="str">
        <x:v>After $1+ Logging Rule / Rares</x:v>
      </x:c>
      <x:c r="C254" s="14" t="str">
        <x:v>Articuno</x:v>
      </x:c>
      <x:c r="D254" s="14" t="str">
        <x:v>#22</x:v>
      </x:c>
      <x:c r="E254" s="14" t="str">
        <x:v>Wizards Black Star Promo</x:v>
      </x:c>
      <x:c r="F254" s="18" t="n">
        <x:v>2000</x:v>
      </x:c>
      <x:c r="G254" s="14" t="str">
        <x:v>Promo</x:v>
      </x:c>
      <x:c r="H254" s="14" t="str">
        <x:v>1 of 1</x:v>
      </x:c>
      <x:c r="I254" s="16" t="n">
        <x:v>18</x:v>
      </x:c>
      <x:c r="J254" s="16" t="n">
        <x:v>20</x:v>
      </x:c>
      <x:c r="K254" s="16" t="n">
        <x:f>IF(AND(ISNUMBER(I254),ISNUMBER(J254)),AVERAGE(I254:J254),"")</x:f>
        <x:v>19</x:v>
      </x:c>
      <x:c r="L254" s="14" t="str">
        <x:v>$5–20</x:v>
      </x:c>
      <x:c r="M254" s="14" t="str">
        <x:v>Yes</x:v>
      </x:c>
      <x:c r="N254" s="14" t="str">
        <x:v>Yes</x:v>
      </x:c>
      <x:c r="O254" s="14" t="str">
        <x:v>Yes</x:v>
      </x:c>
      <x:c r="P254" s="14" t="str">
        <x:v>Not best condition / likely LP-MP</x:v>
      </x:c>
      <x:c r="Q254" s="16" t="n">
        <x:v>8</x:v>
      </x:c>
      <x:c r="R254" s="16" t="n">
        <x:v>14</x:v>
      </x:c>
      <x:c r="S254" s="16" t="n">
        <x:f>IF(AND(ISNUMBER(Q254),ISNUMBER(R254)),AVERAGE(Q254:R254),K254)</x:f>
        <x:v>11</x:v>
      </x:c>
      <x:c r="T254" s="14" t="str">
        <x:v>Check illustrator: Toshinao Aoki vs rarer corrected Naoyo Kimura.</x:v>
      </x:c>
      <x:c r="U254" s="18" t="n">
        <x:v>860</x:v>
      </x:c>
      <x:c r="V254" s="14" t="str">
        <x:v>Uploaded Pokémon chat JSON / prior card-by-card research</x:v>
      </x:c>
      <x:c r="W254" s="14" t="str"/>
    </x:row>
    <x:row r="255">
      <x:c r="A255" s="18" t="n">
        <x:v>254</x:v>
      </x:c>
      <x:c r="B255" s="14" t="str">
        <x:v>After $1+ Logging Rule / Rares</x:v>
      </x:c>
      <x:c r="C255" s="14" t="str">
        <x:v>Nuzleaf</x:v>
      </x:c>
      <x:c r="D255" s="14" t="str">
        <x:v>75/111</x:v>
      </x:c>
      <x:c r="E255" s="14" t="str">
        <x:v>Rising Rivals</x:v>
      </x:c>
      <x:c r="F255" s="18" t="n">
        <x:v>2009</x:v>
      </x:c>
      <x:c r="G255" s="14" t="str">
        <x:v>Lv.25 Reverse Holo</x:v>
      </x:c>
      <x:c r="H255" s="14" t="str">
        <x:v>1 of 1</x:v>
      </x:c>
      <x:c r="I255" s="16" t="n">
        <x:v>1.44</x:v>
      </x:c>
      <x:c r="J255" s="16" t="n">
        <x:v>1.44</x:v>
      </x:c>
      <x:c r="K255" s="16" t="n">
        <x:f>IF(AND(ISNUMBER(I255),ISNUMBER(J255)),AVERAGE(I255:J255),"")</x:f>
        <x:v>1.44</x:v>
      </x:c>
      <x:c r="L255" s="14" t="str">
        <x:v>$1–5</x:v>
      </x:c>
      <x:c r="M255" s="14" t="str">
        <x:v>Yes</x:v>
      </x:c>
      <x:c r="N255" s="14" t="str">
        <x:v>No</x:v>
      </x:c>
      <x:c r="O255" s="14" t="str">
        <x:v>Yes</x:v>
      </x:c>
      <x:c r="P255" s="14" t="str">
        <x:v>Clean/NM benchmark unless noted</x:v>
      </x:c>
      <x:c r="Q255" s="16" t="n">
        <x:v>1.44</x:v>
      </x:c>
      <x:c r="R255" s="16" t="n">
        <x:v>1.44</x:v>
      </x:c>
      <x:c r="S255" s="16" t="n">
        <x:f>IF(AND(ISNUMBER(Q255),ISNUMBER(R255)),AVERAGE(Q255:R255),K255)</x:f>
        <x:v>1.44</x:v>
      </x:c>
      <x:c r="T255" s="14" t="str"/>
      <x:c r="U255" s="18" t="n">
        <x:v>866</x:v>
      </x:c>
      <x:c r="V255" s="14" t="str">
        <x:v>Uploaded Pokémon chat JSON / prior card-by-card research</x:v>
      </x:c>
      <x:c r="W255" s="14" t="str"/>
    </x:row>
    <x:row r="256">
      <x:c r="A256" s="18" t="n">
        <x:v>255</x:v>
      </x:c>
      <x:c r="B256" s="14" t="str">
        <x:v>After $1+ Logging Rule / Rares</x:v>
      </x:c>
      <x:c r="C256" s="14" t="str">
        <x:v>Lileep</x:v>
      </x:c>
      <x:c r="D256" s="14" t="str">
        <x:v>68/110</x:v>
      </x:c>
      <x:c r="E256" s="14" t="str">
        <x:v>EX Holon Phantoms</x:v>
      </x:c>
      <x:c r="F256" s="18" t="n">
        <x:v>2006</x:v>
      </x:c>
      <x:c r="G256" s="14" t="str">
        <x:v>Delta Species regular</x:v>
      </x:c>
      <x:c r="H256" s="14" t="str">
        <x:v>1 of 1</x:v>
      </x:c>
      <x:c r="I256" s="16" t="n">
        <x:v>0.67</x:v>
      </x:c>
      <x:c r="J256" s="16" t="n">
        <x:v>0.67</x:v>
      </x:c>
      <x:c r="K256" s="16" t="n">
        <x:f>IF(AND(ISNUMBER(I256),ISNUMBER(J256)),AVERAGE(I256:J256),"")</x:f>
        <x:v>0.67</x:v>
      </x:c>
      <x:c r="L256" s="14" t="str">
        <x:v>&lt;$1</x:v>
      </x:c>
      <x:c r="M256" s="14" t="str">
        <x:v>No</x:v>
      </x:c>
      <x:c r="N256" s="14" t="str">
        <x:v>No</x:v>
      </x:c>
      <x:c r="O256" s="14" t="str">
        <x:v>No</x:v>
      </x:c>
      <x:c r="P256" s="14" t="str">
        <x:v>Clean/NM benchmark unless noted</x:v>
      </x:c>
      <x:c r="Q256" s="16" t="n">
        <x:v>0.67</x:v>
      </x:c>
      <x:c r="R256" s="16" t="n">
        <x:v>0.67</x:v>
      </x:c>
      <x:c r="S256" s="16" t="n">
        <x:f>IF(AND(ISNUMBER(Q256),ISNUMBER(R256)),AVERAGE(Q256:R256),K256)</x:f>
        <x:v>0.67</x:v>
      </x:c>
      <x:c r="T256" s="14" t="str">
        <x:v>If Holon Phantoms stamped/reverse, value could be much higher; user did not specify.</x:v>
      </x:c>
      <x:c r="U256" s="18" t="n">
        <x:v>866</x:v>
      </x:c>
      <x:c r="V256" s="14" t="str">
        <x:v>Uploaded Pokémon chat JSON / prior card-by-card research</x:v>
      </x:c>
      <x:c r="W256" s="14" t="str"/>
    </x:row>
    <x:row r="257">
      <x:c r="A257" s="18" t="n">
        <x:v>256</x:v>
      </x:c>
      <x:c r="B257" s="14" t="str">
        <x:v>After $1+ Logging Rule / Rares</x:v>
      </x:c>
      <x:c r="C257" s="14" t="str">
        <x:v>Purrloin</x:v>
      </x:c>
      <x:c r="D257" s="14" t="str">
        <x:v>90/149</x:v>
      </x:c>
      <x:c r="E257" s="14" t="str">
        <x:v>Boundaries Crossed</x:v>
      </x:c>
      <x:c r="F257" s="18" t="n">
        <x:v>2012</x:v>
      </x:c>
      <x:c r="G257" s="14" t="str">
        <x:v>Reverse Holo</x:v>
      </x:c>
      <x:c r="H257" s="14" t="str">
        <x:v>1 of 1</x:v>
      </x:c>
      <x:c r="I257" s="16" t="n">
        <x:v>0.8</x:v>
      </x:c>
      <x:c r="J257" s="16" t="n">
        <x:v>0.8</x:v>
      </x:c>
      <x:c r="K257" s="16" t="n">
        <x:f>IF(AND(ISNUMBER(I257),ISNUMBER(J257)),AVERAGE(I257:J257),"")</x:f>
        <x:v>0.8</x:v>
      </x:c>
      <x:c r="L257" s="14" t="str">
        <x:v>&lt;$1</x:v>
      </x:c>
      <x:c r="M257" s="14" t="str">
        <x:v>Yes</x:v>
      </x:c>
      <x:c r="N257" s="14" t="str">
        <x:v>No</x:v>
      </x:c>
      <x:c r="O257" s="14" t="str">
        <x:v>No</x:v>
      </x:c>
      <x:c r="P257" s="14" t="str">
        <x:v>Clean/NM benchmark unless noted</x:v>
      </x:c>
      <x:c r="Q257" s="16" t="n">
        <x:v>0.8</x:v>
      </x:c>
      <x:c r="R257" s="16" t="n">
        <x:v>0.8</x:v>
      </x:c>
      <x:c r="S257" s="16" t="n">
        <x:f>IF(AND(ISNUMBER(Q257),ISNUMBER(R257)),AVERAGE(Q257:R257),K257)</x:f>
        <x:v>0.8</x:v>
      </x:c>
      <x:c r="T257" s="14" t="str"/>
      <x:c r="U257" s="18" t="n">
        <x:v>872</x:v>
      </x:c>
      <x:c r="V257" s="14" t="str">
        <x:v>Uploaded Pokémon chat JSON / prior card-by-card research</x:v>
      </x:c>
      <x:c r="W257" s="14" t="str"/>
    </x:row>
    <x:row r="258">
      <x:c r="A258" s="18" t="n">
        <x:v>257</x:v>
      </x:c>
      <x:c r="B258" s="14" t="str">
        <x:v>After $1+ Logging Rule / Rares</x:v>
      </x:c>
      <x:c r="C258" s="14" t="str">
        <x:v>Houndour</x:v>
      </x:c>
      <x:c r="D258" s="14" t="str">
        <x:v>74/124</x:v>
      </x:c>
      <x:c r="E258" s="14" t="str">
        <x:v>Dragons Exalted</x:v>
      </x:c>
      <x:c r="F258" s="18" t="n">
        <x:v>2012</x:v>
      </x:c>
      <x:c r="G258" s="14" t="str">
        <x:v>Reverse Holo</x:v>
      </x:c>
      <x:c r="H258" s="14" t="str">
        <x:v>1 of 1</x:v>
      </x:c>
      <x:c r="I258" s="16" t="n">
        <x:v>6.5</x:v>
      </x:c>
      <x:c r="J258" s="16" t="n">
        <x:v>6.5</x:v>
      </x:c>
      <x:c r="K258" s="16" t="n">
        <x:f>IF(AND(ISNUMBER(I258),ISNUMBER(J258)),AVERAGE(I258:J258),"")</x:f>
        <x:v>6.5</x:v>
      </x:c>
      <x:c r="L258" s="14" t="str">
        <x:v>$5–20</x:v>
      </x:c>
      <x:c r="M258" s="14" t="str">
        <x:v>Yes</x:v>
      </x:c>
      <x:c r="N258" s="14" t="str">
        <x:v>No</x:v>
      </x:c>
      <x:c r="O258" s="14" t="str">
        <x:v>Yes</x:v>
      </x:c>
      <x:c r="P258" s="14" t="str">
        <x:v>Clean/NM benchmark unless noted</x:v>
      </x:c>
      <x:c r="Q258" s="16" t="n">
        <x:v>6.5</x:v>
      </x:c>
      <x:c r="R258" s="16" t="n">
        <x:v>6.5</x:v>
      </x:c>
      <x:c r="S258" s="16" t="n">
        <x:f>IF(AND(ISNUMBER(Q258),ISNUMBER(R258)),AVERAGE(Q258:R258),K258)</x:f>
        <x:v>6.5</x:v>
      </x:c>
      <x:c r="T258" s="14" t="str"/>
      <x:c r="U258" s="18" t="n">
        <x:v>872</x:v>
      </x:c>
      <x:c r="V258" s="14" t="str">
        <x:v>Uploaded Pokémon chat JSON / prior card-by-card research</x:v>
      </x:c>
      <x:c r="W258" s="14" t="str"/>
    </x:row>
    <x:row r="259">
      <x:c r="A259" s="18" t="n">
        <x:v>258</x:v>
      </x:c>
      <x:c r="B259" s="14" t="str">
        <x:v>After $1+ Logging Rule / Rares</x:v>
      </x:c>
      <x:c r="C259" s="14" t="str">
        <x:v>Scraggy</x:v>
      </x:c>
      <x:c r="D259" s="14" t="str">
        <x:v>BW25</x:v>
      </x:c>
      <x:c r="E259" s="14" t="str">
        <x:v>Black &amp; White Promo</x:v>
      </x:c>
      <x:c r="F259" s="18" t="n">
        <x:v>2011</x:v>
      </x:c>
      <x:c r="G259" s="14" t="str">
        <x:v>Holo — Cosmos vs Cracked Ice pending</x:v>
      </x:c>
      <x:c r="H259" s="14" t="str">
        <x:v>1 of 1</x:v>
      </x:c>
      <x:c r="I259" s="16" t="n">
        <x:v>5.3</x:v>
      </x:c>
      <x:c r="J259" s="16" t="n">
        <x:v>10</x:v>
      </x:c>
      <x:c r="K259" s="16" t="n">
        <x:f>IF(AND(ISNUMBER(I259),ISNUMBER(J259)),AVERAGE(I259:J259),"")</x:f>
        <x:v>7.65</x:v>
      </x:c>
      <x:c r="L259" s="14" t="str">
        <x:v>$5–20</x:v>
      </x:c>
      <x:c r="M259" s="14" t="str">
        <x:v>Yes</x:v>
      </x:c>
      <x:c r="N259" s="14" t="str">
        <x:v>No</x:v>
      </x:c>
      <x:c r="O259" s="14" t="str">
        <x:v>Yes</x:v>
      </x:c>
      <x:c r="P259" s="14" t="str">
        <x:v>Clean/NM benchmark unless noted</x:v>
      </x:c>
      <x:c r="Q259" s="16" t="n">
        <x:v>5.3</x:v>
      </x:c>
      <x:c r="R259" s="16" t="n">
        <x:v>10</x:v>
      </x:c>
      <x:c r="S259" s="16" t="n">
        <x:f>IF(AND(ISNUMBER(Q259),ISNUMBER(R259)),AVERAGE(Q259:R259),K259)</x:f>
        <x:v>7.65</x:v>
      </x:c>
      <x:c r="T259" s="14" t="str">
        <x:v>Cosmos ~5.3; Cracked Ice ~9–10. Variant not resolved in JSON.</x:v>
      </x:c>
      <x:c r="U259" s="18" t="n">
        <x:v>872</x:v>
      </x:c>
      <x:c r="V259" s="14" t="str">
        <x:v>Uploaded Pokémon chat JSON / prior card-by-card research</x:v>
      </x:c>
      <x:c r="W259" s="14" t="str"/>
    </x:row>
    <x:row r="260">
      <x:c r="A260" s="18" t="n">
        <x:v>259</x:v>
      </x:c>
      <x:c r="B260" s="14" t="str">
        <x:v>After $1+ Logging Rule / Rares</x:v>
      </x:c>
      <x:c r="C260" s="14" t="str">
        <x:v>Murkrow</x:v>
      </x:c>
      <x:c r="D260" s="14" t="str">
        <x:v>72/124</x:v>
      </x:c>
      <x:c r="E260" s="14" t="str">
        <x:v>Dragons Exalted</x:v>
      </x:c>
      <x:c r="F260" s="18" t="n">
        <x:v>2012</x:v>
      </x:c>
      <x:c r="G260" s="14" t="str">
        <x:v>Reverse Holo</x:v>
      </x:c>
      <x:c r="H260" s="14" t="str">
        <x:v>1 of 1</x:v>
      </x:c>
      <x:c r="I260" s="16" t="n">
        <x:v>3.3</x:v>
      </x:c>
      <x:c r="J260" s="16" t="n">
        <x:v>3.3</x:v>
      </x:c>
      <x:c r="K260" s="16" t="n">
        <x:f>IF(AND(ISNUMBER(I260),ISNUMBER(J260)),AVERAGE(I260:J260),"")</x:f>
        <x:v>3.3</x:v>
      </x:c>
      <x:c r="L260" s="14" t="str">
        <x:v>$1–5</x:v>
      </x:c>
      <x:c r="M260" s="14" t="str">
        <x:v>Yes</x:v>
      </x:c>
      <x:c r="N260" s="14" t="str">
        <x:v>No</x:v>
      </x:c>
      <x:c r="O260" s="14" t="str">
        <x:v>Yes</x:v>
      </x:c>
      <x:c r="P260" s="14" t="str">
        <x:v>Clean/NM benchmark unless noted</x:v>
      </x:c>
      <x:c r="Q260" s="16" t="n">
        <x:v>3.3</x:v>
      </x:c>
      <x:c r="R260" s="16" t="n">
        <x:v>3.3</x:v>
      </x:c>
      <x:c r="S260" s="16" t="n">
        <x:f>IF(AND(ISNUMBER(Q260),ISNUMBER(R260)),AVERAGE(Q260:R260),K260)</x:f>
        <x:v>3.3</x:v>
      </x:c>
      <x:c r="T260" s="14" t="str"/>
      <x:c r="U260" s="18" t="n">
        <x:v>872</x:v>
      </x:c>
      <x:c r="V260" s="14" t="str">
        <x:v>Uploaded Pokémon chat JSON / prior card-by-card research</x:v>
      </x:c>
      <x:c r="W260" s="14" t="str"/>
    </x:row>
    <x:row r="261">
      <x:c r="A261" s="18" t="n">
        <x:v>260</x:v>
      </x:c>
      <x:c r="B261" s="14" t="str">
        <x:v>After $1+ Logging Rule / Rares</x:v>
      </x:c>
      <x:c r="C261" s="14" t="str">
        <x:v>Scraggy</x:v>
      </x:c>
      <x:c r="D261" s="14" t="str">
        <x:v>67/108</x:v>
      </x:c>
      <x:c r="E261" s="14" t="str">
        <x:v>Dark Explorers</x:v>
      </x:c>
      <x:c r="F261" s="18" t="n">
        <x:v>2012</x:v>
      </x:c>
      <x:c r="G261" s="14" t="str">
        <x:v>Reverse Holo</x:v>
      </x:c>
      <x:c r="H261" s="14" t="str">
        <x:v>1 of 1</x:v>
      </x:c>
      <x:c r="I261" s="16" t="n">
        <x:v>0.45</x:v>
      </x:c>
      <x:c r="J261" s="16" t="n">
        <x:v>0.5</x:v>
      </x:c>
      <x:c r="K261" s="16" t="n">
        <x:f>IF(AND(ISNUMBER(I261),ISNUMBER(J261)),AVERAGE(I261:J261),"")</x:f>
        <x:v>0.475</x:v>
      </x:c>
      <x:c r="L261" s="14" t="str">
        <x:v>&lt;$1</x:v>
      </x:c>
      <x:c r="M261" s="14" t="str">
        <x:v>Yes</x:v>
      </x:c>
      <x:c r="N261" s="14" t="str">
        <x:v>No</x:v>
      </x:c>
      <x:c r="O261" s="14" t="str">
        <x:v>No</x:v>
      </x:c>
      <x:c r="P261" s="14" t="str">
        <x:v>Clean/NM benchmark unless noted</x:v>
      </x:c>
      <x:c r="Q261" s="16" t="n">
        <x:v>0.45</x:v>
      </x:c>
      <x:c r="R261" s="16" t="n">
        <x:v>0.5</x:v>
      </x:c>
      <x:c r="S261" s="16" t="n">
        <x:f>IF(AND(ISNUMBER(Q261),ISNUMBER(R261)),AVERAGE(Q261:R261),K261)</x:f>
        <x:v>0.475</x:v>
      </x:c>
      <x:c r="T261" s="14" t="str"/>
      <x:c r="U261" s="18" t="n">
        <x:v>872</x:v>
      </x:c>
      <x:c r="V261" s="14" t="str">
        <x:v>Uploaded Pokémon chat JSON / prior card-by-card research</x:v>
      </x:c>
      <x:c r="W261" s="14" t="str"/>
    </x:row>
    <x:row r="262">
      <x:c r="A262" s="18" t="n">
        <x:v>261</x:v>
      </x:c>
      <x:c r="B262" s="14" t="str">
        <x:v>After $1+ Logging Rule / Rares</x:v>
      </x:c>
      <x:c r="C262" s="14" t="str">
        <x:v>Zoroark</x:v>
      </x:c>
      <x:c r="D262" s="14" t="str">
        <x:v>BW09</x:v>
      </x:c>
      <x:c r="E262" s="14" t="str">
        <x:v>Black &amp; White Black Star Promo</x:v>
      </x:c>
      <x:c r="F262" s="18" t="n">
        <x:v>2011</x:v>
      </x:c>
      <x:c r="G262" s="14" t="str">
        <x:v>Holo</x:v>
      </x:c>
      <x:c r="H262" s="14" t="str">
        <x:v>1 of 2</x:v>
      </x:c>
      <x:c r="I262" s="16" t="n">
        <x:v>4.5</x:v>
      </x:c>
      <x:c r="J262" s="16" t="n">
        <x:v>5</x:v>
      </x:c>
      <x:c r="K262" s="16" t="n">
        <x:f>IF(AND(ISNUMBER(I262),ISNUMBER(J262)),AVERAGE(I262:J262),"")</x:f>
        <x:v>4.75</x:v>
      </x:c>
      <x:c r="L262" s="14" t="str">
        <x:v>$1–5</x:v>
      </x:c>
      <x:c r="M262" s="14" t="str">
        <x:v>Yes</x:v>
      </x:c>
      <x:c r="N262" s="14" t="str">
        <x:v>No</x:v>
      </x:c>
      <x:c r="O262" s="14" t="str">
        <x:v>Yes</x:v>
      </x:c>
      <x:c r="P262" s="14" t="str">
        <x:v>Clean/NM benchmark unless noted</x:v>
      </x:c>
      <x:c r="Q262" s="16" t="n">
        <x:v>4.5</x:v>
      </x:c>
      <x:c r="R262" s="16" t="n">
        <x:v>5</x:v>
      </x:c>
      <x:c r="S262" s="16" t="n">
        <x:f>IF(AND(ISNUMBER(Q262),ISNUMBER(R262)),AVERAGE(Q262:R262),K262)</x:f>
        <x:v>4.75</x:v>
      </x:c>
      <x:c r="T262" s="14" t="str"/>
      <x:c r="U262" s="18" t="n">
        <x:v>879</x:v>
      </x:c>
      <x:c r="V262" s="14" t="str">
        <x:v>Uploaded Pokémon chat JSON / prior card-by-card research</x:v>
      </x:c>
      <x:c r="W262" s="14" t="str"/>
    </x:row>
    <x:row r="263">
      <x:c r="A263" s="18" t="n">
        <x:v>262</x:v>
      </x:c>
      <x:c r="B263" s="14" t="str">
        <x:v>After $1+ Logging Rule / Rares</x:v>
      </x:c>
      <x:c r="C263" s="14" t="str">
        <x:v>Zoroark</x:v>
      </x:c>
      <x:c r="D263" s="14" t="str">
        <x:v>BW09</x:v>
      </x:c>
      <x:c r="E263" s="14" t="str">
        <x:v>Black &amp; White Black Star Promo</x:v>
      </x:c>
      <x:c r="F263" s="18" t="n">
        <x:v>2011</x:v>
      </x:c>
      <x:c r="G263" s="14" t="str">
        <x:v>Holo</x:v>
      </x:c>
      <x:c r="H263" s="14" t="str">
        <x:v>2 of 2</x:v>
      </x:c>
      <x:c r="I263" s="16" t="n">
        <x:v>4.5</x:v>
      </x:c>
      <x:c r="J263" s="16" t="n">
        <x:v>5</x:v>
      </x:c>
      <x:c r="K263" s="16" t="n">
        <x:f>IF(AND(ISNUMBER(I263),ISNUMBER(J263)),AVERAGE(I263:J263),"")</x:f>
        <x:v>4.75</x:v>
      </x:c>
      <x:c r="L263" s="14" t="str">
        <x:v>$1–5</x:v>
      </x:c>
      <x:c r="M263" s="14" t="str">
        <x:v>Yes</x:v>
      </x:c>
      <x:c r="N263" s="14" t="str">
        <x:v>No</x:v>
      </x:c>
      <x:c r="O263" s="14" t="str">
        <x:v>Yes</x:v>
      </x:c>
      <x:c r="P263" s="14" t="str">
        <x:v>Clean/NM benchmark unless noted</x:v>
      </x:c>
      <x:c r="Q263" s="16" t="n">
        <x:v>4.5</x:v>
      </x:c>
      <x:c r="R263" s="16" t="n">
        <x:v>5</x:v>
      </x:c>
      <x:c r="S263" s="16" t="n">
        <x:f>IF(AND(ISNUMBER(Q263),ISNUMBER(R263)),AVERAGE(Q263:R263),K263)</x:f>
        <x:v>4.75</x:v>
      </x:c>
      <x:c r="T263" s="14" t="str"/>
      <x:c r="U263" s="18" t="n">
        <x:v>879</x:v>
      </x:c>
      <x:c r="V263" s="14" t="str">
        <x:v>Uploaded Pokémon chat JSON / prior card-by-card research</x:v>
      </x:c>
      <x:c r="W263" s="14" t="str"/>
    </x:row>
    <x:row r="264">
      <x:c r="A264" s="18" t="n">
        <x:v>263</x:v>
      </x:c>
      <x:c r="B264" s="14" t="str">
        <x:v>After $1+ Logging Rule / Rares</x:v>
      </x:c>
      <x:c r="C264" s="14" t="str">
        <x:v>Zoroark</x:v>
      </x:c>
      <x:c r="D264" s="14" t="str">
        <x:v>71/?</x:v>
      </x:c>
      <x:c r="E264" s="14" t="str">
        <x:v>Black &amp; White 71/114 OR Dark Explorers 71/108</x:v>
      </x:c>
      <x:c r="F264" s="18"/>
      <x:c r="G264" s="14" t="str">
        <x:v>Rare — exact set/printing pending</x:v>
      </x:c>
      <x:c r="H264" s="14" t="str">
        <x:v>1 of 2</x:v>
      </x:c>
      <x:c r="I264" s="16" t="n">
        <x:v>1.16</x:v>
      </x:c>
      <x:c r="J264" s="16" t="n">
        <x:v>4.8</x:v>
      </x:c>
      <x:c r="K264" s="16" t="n">
        <x:f>IF(AND(ISNUMBER(I264),ISNUMBER(J264)),AVERAGE(I264:J264),"")</x:f>
        <x:v>2.98</x:v>
      </x:c>
      <x:c r="L264" s="14" t="str">
        <x:v>$1–5</x:v>
      </x:c>
      <x:c r="M264" s="14" t="str">
        <x:v>Yes</x:v>
      </x:c>
      <x:c r="N264" s="14" t="str">
        <x:v>No</x:v>
      </x:c>
      <x:c r="O264" s="14" t="str">
        <x:v>Yes</x:v>
      </x:c>
      <x:c r="P264" s="14" t="str">
        <x:v>Clean/NM benchmark unless noted</x:v>
      </x:c>
      <x:c r="Q264" s="16" t="n">
        <x:v>1.16</x:v>
      </x:c>
      <x:c r="R264" s="16" t="n">
        <x:v>4.8</x:v>
      </x:c>
      <x:c r="S264" s="16" t="n">
        <x:f>IF(AND(ISNUMBER(Q264),ISNUMBER(R264)),AVERAGE(Q264:R264),K264)</x:f>
        <x:v>2.98</x:v>
      </x:c>
      <x:c r="T264" s="14" t="str">
        <x:v>JSON ends before assistant identified this card. Two likely English #71 printings: Black &amp; White 71/114 Holo Rare (~$4.8) or Dark Explorers 71/108 Rare (~$1.16). Verify denominator/foil before locking value.</x:v>
      </x:c>
      <x:c r="U264" s="18" t="n">
        <x:v>885</x:v>
      </x:c>
      <x:c r="V264" s="14" t="str">
        <x:v>Uploaded Pokémon chat JSON / prior card-by-card research</x:v>
      </x:c>
      <x:c r="W264" s="14" t="str">
        <x:v>https://www.tcgplayer.com/search/pokemon/product?q=Zoroark+Black+%26+White&amp;view=grid</x:v>
      </x:c>
    </x:row>
    <x:row r="265">
      <x:c r="A265" s="18" t="n">
        <x:v>264</x:v>
      </x:c>
      <x:c r="B265" s="14" t="str">
        <x:v>After $1+ Logging Rule / Rares</x:v>
      </x:c>
      <x:c r="C265" s="14" t="str">
        <x:v>Zoroark</x:v>
      </x:c>
      <x:c r="D265" s="14" t="str">
        <x:v>71/?</x:v>
      </x:c>
      <x:c r="E265" s="14" t="str">
        <x:v>Black &amp; White 71/114 OR Dark Explorers 71/108</x:v>
      </x:c>
      <x:c r="F265" s="18"/>
      <x:c r="G265" s="14" t="str">
        <x:v>Rare — exact set/printing pending</x:v>
      </x:c>
      <x:c r="H265" s="14" t="str">
        <x:v>2 of 2</x:v>
      </x:c>
      <x:c r="I265" s="16" t="n">
        <x:v>1.16</x:v>
      </x:c>
      <x:c r="J265" s="16" t="n">
        <x:v>4.8</x:v>
      </x:c>
      <x:c r="K265" s="16" t="n">
        <x:f>IF(AND(ISNUMBER(I265),ISNUMBER(J265)),AVERAGE(I265:J265),"")</x:f>
        <x:v>2.98</x:v>
      </x:c>
      <x:c r="L265" s="14" t="str">
        <x:v>$1–5</x:v>
      </x:c>
      <x:c r="M265" s="14" t="str">
        <x:v>Yes</x:v>
      </x:c>
      <x:c r="N265" s="14" t="str">
        <x:v>No</x:v>
      </x:c>
      <x:c r="O265" s="14" t="str">
        <x:v>Yes</x:v>
      </x:c>
      <x:c r="P265" s="14" t="str">
        <x:v>Clean/NM benchmark unless noted</x:v>
      </x:c>
      <x:c r="Q265" s="16" t="n">
        <x:v>1.16</x:v>
      </x:c>
      <x:c r="R265" s="16" t="n">
        <x:v>4.8</x:v>
      </x:c>
      <x:c r="S265" s="16" t="n">
        <x:f>IF(AND(ISNUMBER(Q265),ISNUMBER(R265)),AVERAGE(Q265:R265),K265)</x:f>
        <x:v>2.98</x:v>
      </x:c>
      <x:c r="T265" s="14" t="str">
        <x:v>JSON ends before assistant identified this card. Two likely English #71 printings: Black &amp; White 71/114 Holo Rare (~$4.8) or Dark Explorers 71/108 Rare (~$1.16). Verify denominator/foil before locking value.</x:v>
      </x:c>
      <x:c r="U265" s="18" t="n">
        <x:v>885</x:v>
      </x:c>
      <x:c r="V265" s="14" t="str">
        <x:v>Uploaded Pokémon chat JSON / prior card-by-card research</x:v>
      </x:c>
      <x:c r="W265" s="14" t="str">
        <x:v>https://www.tcgplayer.com/search/pokemon/product?q=Zoroark+Black+%26+White&amp;view=grid</x:v>
      </x:c>
    </x:row>
    <x:row r="266">
      <x:c r="A266" t="n">
        <x:v>265</x:v>
      </x:c>
      <x:c r="B266" t="str">
        <x:v>After $1+ Logging Rule / Rares</x:v>
      </x:c>
      <x:c r="C266" t="str">
        <x:v>Zoroark</x:v>
      </x:c>
      <x:c r="D266" t="str">
        <x:v>30/30</x:v>
      </x:c>
      <x:c r="E266" t="str">
        <x:v>BW Trainer Kit: Excadrill &amp; Zoroark</x:v>
      </x:c>
      <x:c r="F266" t="n">
        <x:v>2011</x:v>
      </x:c>
      <x:c r="G266" t="str">
        <x:v>Holofoil</x:v>
      </x:c>
      <x:c r="H266" t="str">
        <x:v>1 of 1</x:v>
      </x:c>
      <x:c r="I266" t="n">
        <x:v>0.9</x:v>
      </x:c>
      <x:c r="J266" t="n">
        <x:v>1</x:v>
      </x:c>
      <x:c r="K266" t="n">
        <x:f>IF(AND(ISNUMBER(I266),ISNUMBER(J266)),AVERAGE(I266:J266),"")</x:f>
        <x:v>0.95</x:v>
      </x:c>
      <x:c r="L266" t="str">
        <x:v>$1–5</x:v>
      </x:c>
      <x:c r="M266" t="str">
        <x:v>Yes</x:v>
      </x:c>
      <x:c r="N266" t="str">
        <x:v>No</x:v>
      </x:c>
      <x:c r="O266" t="str">
        <x:v>Yes</x:v>
      </x:c>
      <x:c r="P266" t="str">
        <x:v>Clean/NM benchmark unless noted</x:v>
      </x:c>
      <x:c r="Q266" t="n">
        <x:v>0.9</x:v>
      </x:c>
      <x:c r="R266" t="n">
        <x:v>1</x:v>
      </x:c>
      <x:c r="S266" t="n">
        <x:f>IF(AND(ISNUMBER(Q266),ISNUMBER(R266)),AVERAGE(Q266:R266),K266)</x:f>
        <x:v>0.95</x:v>
      </x:c>
      <x:c r="T266" t="str">
        <x:v>Market is just under $1; retained in $1+ collection because the agreed threshold is about $1+.</x:v>
      </x:c>
      <x:c r="U266" t="n">
        <x:v>886</x:v>
      </x:c>
      <x:c r="V266" t="str">
        <x:v>Current chat continuation / researched 2026-08-15</x:v>
      </x:c>
      <x:c r="W266" t="str">
        <x:v>https://www.tcgplayer.com/categories/trading-and-collectible-card-games/pokemon/price-guides/bw-trainer-kit-excadrill-and-zoroark</x:v>
      </x:c>
    </x:row>
    <x:row r="267">
      <x:c r="A267" t="n">
        <x:v>266</x:v>
      </x:c>
      <x:c r="B267" t="str">
        <x:v>After $1+ Logging Rule / Rares</x:v>
      </x:c>
      <x:c r="C267" t="str">
        <x:v>Hydreigon</x:v>
      </x:c>
      <x:c r="D267" t="str">
        <x:v>79/101</x:v>
      </x:c>
      <x:c r="E267" t="str">
        <x:v>Noble Victories</x:v>
      </x:c>
      <x:c r="F267" t="n">
        <x:v>2011</x:v>
      </x:c>
      <x:c r="G267" t="str">
        <x:v>Holofoil</x:v>
      </x:c>
      <x:c r="H267" t="str">
        <x:v>1 of 1</x:v>
      </x:c>
      <x:c r="I267" t="n">
        <x:v>10</x:v>
      </x:c>
      <x:c r="J267" t="n">
        <x:v>11.5</x:v>
      </x:c>
      <x:c r="K267" t="n">
        <x:f>IF(AND(ISNUMBER(I267),ISNUMBER(J267)),AVERAGE(I267:J267),"")</x:f>
        <x:v>10.75</x:v>
      </x:c>
      <x:c r="L267" t="str">
        <x:v>$5–20</x:v>
      </x:c>
      <x:c r="M267" t="str">
        <x:v>Yes</x:v>
      </x:c>
      <x:c r="N267" t="str">
        <x:v>Yes</x:v>
      </x:c>
      <x:c r="O267" t="str">
        <x:v>Yes</x:v>
      </x:c>
      <x:c r="P267" t="str">
        <x:v>Clean/NM benchmark unless noted</x:v>
      </x:c>
      <x:c r="Q267" t="n">
        <x:v>10</x:v>
      </x:c>
      <x:c r="R267" t="n">
        <x:v>11.5</x:v>
      </x:c>
      <x:c r="S267" t="n">
        <x:f>IF(AND(ISNUMBER(Q267),ISNUMBER(R267)),AVERAGE(Q267:R267),K267)</x:f>
        <x:v>10.75</x:v>
      </x:c>
      <x:c r="T267" t="str">
        <x:v>Borderline top-loader card; current clean/NM market is around $10–11+.</x:v>
      </x:c>
      <x:c r="U267" t="n">
        <x:v>886</x:v>
      </x:c>
      <x:c r="V267" t="str">
        <x:v>Current chat continuation / researched 2026-08-15</x:v>
      </x:c>
      <x:c r="W267" t="str">
        <x:v>https://www.tcgplayer.com/search/pokemon/product?productLineName=pokemon&amp;productName=Hydreigon</x:v>
      </x:c>
    </x:row>
    <x:row r="268">
      <x:c r="A268" t="n">
        <x:v>267</x:v>
      </x:c>
      <x:c r="B268" t="str">
        <x:v>After $1+ Logging Rule / Rares</x:v>
      </x:c>
      <x:c r="C268" t="str">
        <x:v>Hydreigon</x:v>
      </x:c>
      <x:c r="D268" t="str">
        <x:v>79/101</x:v>
      </x:c>
      <x:c r="E268" t="str">
        <x:v>Noble Victories</x:v>
      </x:c>
      <x:c r="F268" t="n">
        <x:v>2011</x:v>
      </x:c>
      <x:c r="G268" t="str">
        <x:v>Reverse Holo</x:v>
      </x:c>
      <x:c r="H268" t="str">
        <x:v>1 of 1</x:v>
      </x:c>
      <x:c r="I268" t="n">
        <x:v>6.1</x:v>
      </x:c>
      <x:c r="J268" t="n">
        <x:v>7.3</x:v>
      </x:c>
      <x:c r="K268" t="n">
        <x:f>IF(AND(ISNUMBER(I268),ISNUMBER(J268)),AVERAGE(I268:J268),"")</x:f>
        <x:v>6.699999999999999</x:v>
      </x:c>
      <x:c r="L268" t="str">
        <x:v>$5–20</x:v>
      </x:c>
      <x:c r="M268" t="str">
        <x:v>Yes</x:v>
      </x:c>
      <x:c r="N268" t="str">
        <x:v>No</x:v>
      </x:c>
      <x:c r="O268" t="str">
        <x:v>Yes</x:v>
      </x:c>
      <x:c r="P268" t="str">
        <x:v>Clean/NM benchmark unless noted</x:v>
      </x:c>
      <x:c r="Q268" t="n">
        <x:v>6.1</x:v>
      </x:c>
      <x:c r="R268" t="n">
        <x:v>7.3</x:v>
      </x:c>
      <x:c r="S268" t="n">
        <x:f>IF(AND(ISNUMBER(Q268),ISNUMBER(R268)),AVERAGE(Q268:R268),K268)</x:f>
        <x:v>6.699999999999999</x:v>
      </x:c>
      <x:c r="T268"/>
      <x:c r="U268" t="n">
        <x:v>886</x:v>
      </x:c>
      <x:c r="V268" t="str">
        <x:v>Current chat continuation / researched 2026-08-15</x:v>
      </x:c>
      <x:c r="W268" t="str">
        <x:v>https://www.pricecharting.com/game/pokemon-noble-victories/hydreigon-reverse-holo-79</x:v>
      </x:c>
    </x:row>
    <x:row r="269">
      <x:c r="A269" t="n">
        <x:v>268</x:v>
      </x:c>
      <x:c r="B269" t="str">
        <x:v>After $1+ Logging Rule / Rares</x:v>
      </x:c>
      <x:c r="C269" t="str">
        <x:v>Zoroark</x:v>
      </x:c>
      <x:c r="D269" t="str">
        <x:v>67/98</x:v>
      </x:c>
      <x:c r="E269" t="str">
        <x:v>Emerging Powers</x:v>
      </x:c>
      <x:c r="F269" t="n">
        <x:v>2011</x:v>
      </x:c>
      <x:c r="G269" t="str">
        <x:v>Holofoil</x:v>
      </x:c>
      <x:c r="H269" t="str">
        <x:v>1 of 2</x:v>
      </x:c>
      <x:c r="I269" t="n">
        <x:v>2.7</x:v>
      </x:c>
      <x:c r="J269" t="n">
        <x:v>3</x:v>
      </x:c>
      <x:c r="K269" t="n">
        <x:f>IF(AND(ISNUMBER(I269),ISNUMBER(J269)),AVERAGE(I269:J269),"")</x:f>
        <x:v>2.85</x:v>
      </x:c>
      <x:c r="L269" t="str">
        <x:v>$1–5</x:v>
      </x:c>
      <x:c r="M269" t="str">
        <x:v>Yes</x:v>
      </x:c>
      <x:c r="N269" t="str">
        <x:v>No</x:v>
      </x:c>
      <x:c r="O269" t="str">
        <x:v>Yes</x:v>
      </x:c>
      <x:c r="P269" t="str">
        <x:v>Clean/NM benchmark unless noted</x:v>
      </x:c>
      <x:c r="Q269" t="n">
        <x:v>2.7</x:v>
      </x:c>
      <x:c r="R269" t="n">
        <x:v>3</x:v>
      </x:c>
      <x:c r="S269" t="n">
        <x:f>IF(AND(ISNUMBER(Q269),ISNUMBER(R269)),AVERAGE(Q269:R269),K269)</x:f>
        <x:v>2.85</x:v>
      </x:c>
      <x:c r="T269"/>
      <x:c r="U269" t="n">
        <x:v>886</x:v>
      </x:c>
      <x:c r="V269" t="str">
        <x:v>Current chat continuation / researched 2026-08-15</x:v>
      </x:c>
      <x:c r="W269" t="str">
        <x:v>https://www.tcgplayer.com/search/pokemon/product?productLineName=pokemon&amp;q=Zoroark+Emerging+Powers</x:v>
      </x:c>
    </x:row>
    <x:row r="270">
      <x:c r="A270" t="n">
        <x:v>269</x:v>
      </x:c>
      <x:c r="B270" t="str">
        <x:v>After $1+ Logging Rule / Rares</x:v>
      </x:c>
      <x:c r="C270" t="str">
        <x:v>Zoroark</x:v>
      </x:c>
      <x:c r="D270" t="str">
        <x:v>67/98</x:v>
      </x:c>
      <x:c r="E270" t="str">
        <x:v>Emerging Powers</x:v>
      </x:c>
      <x:c r="F270" t="n">
        <x:v>2011</x:v>
      </x:c>
      <x:c r="G270" t="str">
        <x:v>Holofoil</x:v>
      </x:c>
      <x:c r="H270" t="str">
        <x:v>2 of 2</x:v>
      </x:c>
      <x:c r="I270" t="n">
        <x:v>2.7</x:v>
      </x:c>
      <x:c r="J270" t="n">
        <x:v>3</x:v>
      </x:c>
      <x:c r="K270" t="n">
        <x:f>IF(AND(ISNUMBER(I270),ISNUMBER(J270)),AVERAGE(I270:J270),"")</x:f>
        <x:v>2.85</x:v>
      </x:c>
      <x:c r="L270" t="str">
        <x:v>$1–5</x:v>
      </x:c>
      <x:c r="M270" t="str">
        <x:v>Yes</x:v>
      </x:c>
      <x:c r="N270" t="str">
        <x:v>No</x:v>
      </x:c>
      <x:c r="O270" t="str">
        <x:v>Yes</x:v>
      </x:c>
      <x:c r="P270" t="str">
        <x:v>Clean/NM benchmark unless noted</x:v>
      </x:c>
      <x:c r="Q270" t="n">
        <x:v>2.7</x:v>
      </x:c>
      <x:c r="R270" t="n">
        <x:v>3</x:v>
      </x:c>
      <x:c r="S270" t="n">
        <x:f>IF(AND(ISNUMBER(Q270),ISNUMBER(R270)),AVERAGE(Q270:R270),K270)</x:f>
        <x:v>2.85</x:v>
      </x:c>
      <x:c r="T270"/>
      <x:c r="U270" t="n">
        <x:v>886</x:v>
      </x:c>
      <x:c r="V270" t="str">
        <x:v>Current chat continuation / researched 2026-08-15</x:v>
      </x:c>
      <x:c r="W270" t="str">
        <x:v>https://www.tcgplayer.com/search/pokemon/product?productLineName=pokemon&amp;q=Zoroark+Emerging+Powers</x:v>
      </x:c>
    </x:row>
    <x:row r="271">
      <x:c r="A271" t="n">
        <x:v>270</x:v>
      </x:c>
      <x:c r="B271" t="str">
        <x:v>After $1+ Logging Rule / Rares</x:v>
      </x:c>
      <x:c r="C271" t="str">
        <x:v>Krookodile</x:v>
      </x:c>
      <x:c r="D271" t="str">
        <x:v>66/108</x:v>
      </x:c>
      <x:c r="E271" t="str">
        <x:v>Dark Explorers</x:v>
      </x:c>
      <x:c r="F271" t="n">
        <x:v>2012</x:v>
      </x:c>
      <x:c r="G271" t="str">
        <x:v>Holofoil</x:v>
      </x:c>
      <x:c r="H271" t="str">
        <x:v>1 of 1</x:v>
      </x:c>
      <x:c r="I271" t="n">
        <x:v>1.6</x:v>
      </x:c>
      <x:c r="J271" t="n">
        <x:v>2.2</x:v>
      </x:c>
      <x:c r="K271" t="n">
        <x:f>IF(AND(ISNUMBER(I271),ISNUMBER(J271)),AVERAGE(I271:J271),"")</x:f>
        <x:v>1.9000000000000001</x:v>
      </x:c>
      <x:c r="L271" t="str">
        <x:v>$1–5</x:v>
      </x:c>
      <x:c r="M271" t="str">
        <x:v>Yes</x:v>
      </x:c>
      <x:c r="N271" t="str">
        <x:v>No</x:v>
      </x:c>
      <x:c r="O271" t="str">
        <x:v>Yes</x:v>
      </x:c>
      <x:c r="P271" t="str">
        <x:v>Clean/NM benchmark unless noted</x:v>
      </x:c>
      <x:c r="Q271" t="n">
        <x:v>1.6</x:v>
      </x:c>
      <x:c r="R271" t="n">
        <x:v>2.2</x:v>
      </x:c>
      <x:c r="S271" t="n">
        <x:f>IF(AND(ISNUMBER(Q271),ISNUMBER(R271)),AVERAGE(Q271:R271),K271)</x:f>
        <x:v>1.9000000000000001</x:v>
      </x:c>
      <x:c r="T271"/>
      <x:c r="U271" t="n">
        <x:v>886</x:v>
      </x:c>
      <x:c r="V271" t="str">
        <x:v>Current chat continuation / researched 2026-08-15</x:v>
      </x:c>
      <x:c r="W271" t="str">
        <x:v>https://www.tcgplayer.com/categories/trading-and-collectible-card-games/pokemon/price-guides/dark-explorers</x:v>
      </x:c>
    </x:row>
    <x:row r="272">
      <x:c r="A272" t="n">
        <x:v>271</x:v>
      </x:c>
      <x:c r="B272" t="str">
        <x:v>After $1+ Logging Rule / Rares</x:v>
      </x:c>
      <x:c r="C272" t="str">
        <x:v>Krookodile</x:v>
      </x:c>
      <x:c r="D272" t="str">
        <x:v>66/108</x:v>
      </x:c>
      <x:c r="E272" t="str">
        <x:v>Dark Explorers</x:v>
      </x:c>
      <x:c r="F272" t="n">
        <x:v>2012</x:v>
      </x:c>
      <x:c r="G272" t="str">
        <x:v>Reverse Holo</x:v>
      </x:c>
      <x:c r="H272" t="str">
        <x:v>1 of 1</x:v>
      </x:c>
      <x:c r="I272" t="n">
        <x:v>1.4</x:v>
      </x:c>
      <x:c r="J272" t="n">
        <x:v>2.4</x:v>
      </x:c>
      <x:c r="K272" t="n">
        <x:f>IF(AND(ISNUMBER(I272),ISNUMBER(J272)),AVERAGE(I272:J272),"")</x:f>
        <x:v>1.9</x:v>
      </x:c>
      <x:c r="L272" t="str">
        <x:v>$1–5</x:v>
      </x:c>
      <x:c r="M272" t="str">
        <x:v>Yes</x:v>
      </x:c>
      <x:c r="N272" t="str">
        <x:v>No</x:v>
      </x:c>
      <x:c r="O272" t="str">
        <x:v>Yes</x:v>
      </x:c>
      <x:c r="P272" t="str">
        <x:v>Clean/NM benchmark unless noted</x:v>
      </x:c>
      <x:c r="Q272" t="n">
        <x:v>1.4</x:v>
      </x:c>
      <x:c r="R272" t="n">
        <x:v>2.4</x:v>
      </x:c>
      <x:c r="S272" t="n">
        <x:f>IF(AND(ISNUMBER(Q272),ISNUMBER(R272)),AVERAGE(Q272:R272),K272)</x:f>
        <x:v>1.9</x:v>
      </x:c>
      <x:c r="T272"/>
      <x:c r="U272" t="n">
        <x:v>886</x:v>
      </x:c>
      <x:c r="V272" t="str">
        <x:v>Current chat continuation / researched 2026-08-15</x:v>
      </x:c>
      <x:c r="W272" t="str">
        <x:v>https://www.tcgplayer.com/categories/trading-and-collectible-card-games/pokemon/price-guides/dark-explorers</x:v>
      </x:c>
    </x:row>
    <x:row r="273">
      <x:c r="A273" t="n">
        <x:v>272</x:v>
      </x:c>
      <x:c r="B273" t="str">
        <x:v>After $1+ Logging Rule / Rares</x:v>
      </x:c>
      <x:c r="C273" t="str">
        <x:v>Liepard</x:v>
      </x:c>
      <x:c r="D273" t="str">
        <x:v>67/114</x:v>
      </x:c>
      <x:c r="E273" t="str">
        <x:v>Black &amp; White</x:v>
      </x:c>
      <x:c r="F273" t="n">
        <x:v>2011</x:v>
      </x:c>
      <x:c r="G273" t="str">
        <x:v>Reverse Holo</x:v>
      </x:c>
      <x:c r="H273" t="str">
        <x:v>1 of 1</x:v>
      </x:c>
      <x:c r="I273" t="n">
        <x:v>1.5</x:v>
      </x:c>
      <x:c r="J273" t="n">
        <x:v>2.2</x:v>
      </x:c>
      <x:c r="K273" t="n">
        <x:v>1.85</x:v>
      </x:c>
      <x:c r="L273" t="str">
        <x:v>$1–5</x:v>
      </x:c>
      <x:c r="M273" t="str">
        <x:v>Yes</x:v>
      </x:c>
      <x:c r="N273" t="str">
        <x:v>No</x:v>
      </x:c>
      <x:c r="O273" t="str">
        <x:v>Yes</x:v>
      </x:c>
      <x:c r="P273" t="str">
        <x:v>Clean/NM benchmark unless noted</x:v>
      </x:c>
      <x:c r="Q273" t="n">
        <x:v>1.5</x:v>
      </x:c>
      <x:c r="R273" t="n">
        <x:v>2.2</x:v>
      </x:c>
      <x:c r="S273" t="n">
        <x:v>1.85</x:v>
      </x:c>
      <x:c r="T273"/>
      <x:c r="U273" t="n">
        <x:v>887</x:v>
      </x:c>
      <x:c r="V273" t="str">
        <x:v>Current chat continuation / researched 2026-08-15</x:v>
      </x:c>
      <x:c r="W273" t="str">
        <x:v>https://www.tcgplayer.com/categories/trading-and-collectible-card-games/pokemon/price-guides/black-and-white</x:v>
      </x:c>
    </x:row>
    <x:row r="274">
      <x:c r="A274" t="n">
        <x:v>273</x:v>
      </x:c>
      <x:c r="B274" t="str">
        <x:v>After $1+ Logging Rule / Rares</x:v>
      </x:c>
      <x:c r="C274" t="str">
        <x:v>Honchkrow</x:v>
      </x:c>
      <x:c r="D274" t="str">
        <x:v>29/147</x:v>
      </x:c>
      <x:c r="E274" t="str">
        <x:v>Supreme Victors</x:v>
      </x:c>
      <x:c r="F274" t="n">
        <x:v>2009</x:v>
      </x:c>
      <x:c r="G274" t="str">
        <x:v>Regular</x:v>
      </x:c>
      <x:c r="H274" t="str">
        <x:v>1 of 1</x:v>
      </x:c>
      <x:c r="I274" t="n">
        <x:v>1.4</x:v>
      </x:c>
      <x:c r="J274" t="n">
        <x:v>1.8</x:v>
      </x:c>
      <x:c r="K274" t="n">
        <x:v>1.6</x:v>
      </x:c>
      <x:c r="L274" t="str">
        <x:v>$1–5</x:v>
      </x:c>
      <x:c r="M274" t="str">
        <x:v>Yes</x:v>
      </x:c>
      <x:c r="N274" t="str">
        <x:v>No</x:v>
      </x:c>
      <x:c r="O274" t="str">
        <x:v>Yes</x:v>
      </x:c>
      <x:c r="P274" t="str">
        <x:v>Clean/NM benchmark unless noted</x:v>
      </x:c>
      <x:c r="Q274" t="n">
        <x:v>1.4</x:v>
      </x:c>
      <x:c r="R274" t="n">
        <x:v>1.8</x:v>
      </x:c>
      <x:c r="S274" t="n">
        <x:v>1.6</x:v>
      </x:c>
      <x:c r="T274" t="str">
        <x:v>User specified LV.46; this is the standard non-holo rare.</x:v>
      </x:c>
      <x:c r="U274" t="n">
        <x:v>887</x:v>
      </x:c>
      <x:c r="V274" t="str">
        <x:v>Current chat continuation / researched 2026-08-15</x:v>
      </x:c>
      <x:c r="W274" t="str">
        <x:v>https://www.tcgplayer.com/categories/trading-and-collectible-card-games/pokemon/price-guides/supreme-victors</x:v>
      </x:c>
    </x:row>
    <x:row r="275">
      <x:c r="A275" t="n">
        <x:v>274</x:v>
      </x:c>
      <x:c r="B275" t="str">
        <x:v>After $1+ Logging Rule / Rares</x:v>
      </x:c>
      <x:c r="C275" t="str">
        <x:v>Absol G</x:v>
      </x:c>
      <x:c r="D275" t="str">
        <x:v>1/147</x:v>
      </x:c>
      <x:c r="E275" t="str">
        <x:v>Supreme Victors</x:v>
      </x:c>
      <x:c r="F275" t="n">
        <x:v>2009</x:v>
      </x:c>
      <x:c r="G275" t="str">
        <x:v>Reverse Holo</x:v>
      </x:c>
      <x:c r="H275" t="str">
        <x:v>1 of 2</x:v>
      </x:c>
      <x:c r="I275" t="n">
        <x:v>40</x:v>
      </x:c>
      <x:c r="J275" t="n">
        <x:v>45</x:v>
      </x:c>
      <x:c r="K275" t="n">
        <x:v>42.5</x:v>
      </x:c>
      <x:c r="L275" t="str">
        <x:v>$20+</x:v>
      </x:c>
      <x:c r="M275" t="str">
        <x:v>Yes</x:v>
      </x:c>
      <x:c r="N275" t="str">
        <x:v>Yes</x:v>
      </x:c>
      <x:c r="O275" t="str">
        <x:v>Yes</x:v>
      </x:c>
      <x:c r="P275" t="str">
        <x:v>Clean/NM benchmark unless noted</x:v>
      </x:c>
      <x:c r="Q275" t="n">
        <x:v>40</x:v>
      </x:c>
      <x:c r="R275" t="n">
        <x:v>45</x:v>
      </x:c>
      <x:c r="S275" t="n">
        <x:v>42.5</x:v>
      </x:c>
      <x:c r="T275" t="str">
        <x:v>User specified LV.59. TCGplayer NM reverse-holo market was about $42.50 at research time.</x:v>
      </x:c>
      <x:c r="U275" t="n">
        <x:v>887</x:v>
      </x:c>
      <x:c r="V275" t="str">
        <x:v>Current chat continuation / researched 2026-08-15</x:v>
      </x:c>
      <x:c r="W275" t="str">
        <x:v>https://www.tcgplayer.com/categories/trading-and-collectible-card-games/pokemon/price-guides/supreme-victors</x:v>
      </x:c>
    </x:row>
    <x:row r="276">
      <x:c r="A276" t="n">
        <x:v>275</x:v>
      </x:c>
      <x:c r="B276" t="str">
        <x:v>After $1+ Logging Rule / Rares</x:v>
      </x:c>
      <x:c r="C276" t="str">
        <x:v>Houndoom</x:v>
      </x:c>
      <x:c r="D276" t="str">
        <x:v>10/95</x:v>
      </x:c>
      <x:c r="E276" t="str">
        <x:v>Call of Legends</x:v>
      </x:c>
      <x:c r="F276" t="n">
        <x:v>2011</x:v>
      </x:c>
      <x:c r="G276" t="str">
        <x:v>Holofoil</x:v>
      </x:c>
      <x:c r="H276" t="str">
        <x:v>1 of 1</x:v>
      </x:c>
      <x:c r="I276" t="n">
        <x:v>21</x:v>
      </x:c>
      <x:c r="J276" t="n">
        <x:v>26</x:v>
      </x:c>
      <x:c r="K276" t="n">
        <x:v>23.5</x:v>
      </x:c>
      <x:c r="L276" t="str">
        <x:v>$20+</x:v>
      </x:c>
      <x:c r="M276" t="str">
        <x:v>Yes</x:v>
      </x:c>
      <x:c r="N276" t="str">
        <x:v>Yes</x:v>
      </x:c>
      <x:c r="O276" t="str">
        <x:v>Yes</x:v>
      </x:c>
      <x:c r="P276" t="str">
        <x:v>Clean/NM benchmark unless noted</x:v>
      </x:c>
      <x:c r="Q276" t="n">
        <x:v>21</x:v>
      </x:c>
      <x:c r="R276" t="n">
        <x:v>26</x:v>
      </x:c>
      <x:c r="S276" t="n">
        <x:v>23.5</x:v>
      </x:c>
      <x:c r="T276" t="str">
        <x:v>TCGplayer market around $23 at research time.</x:v>
      </x:c>
      <x:c r="U276" t="n">
        <x:v>887</x:v>
      </x:c>
      <x:c r="V276" t="str">
        <x:v>Current chat continuation / researched 2026-08-15</x:v>
      </x:c>
      <x:c r="W276" t="str">
        <x:v>https://www.tcgplayer.com/categories/trading-and-collectible-card-games/pokemon/price-guides/call-of-legends</x:v>
      </x:c>
    </x:row>
    <x:row r="277">
      <x:c r="A277" t="n">
        <x:v>276</x:v>
      </x:c>
      <x:c r="B277" t="str">
        <x:v>After $1+ Logging Rule / Rares</x:v>
      </x:c>
      <x:c r="C277" t="str">
        <x:v>Cacturne</x:v>
      </x:c>
      <x:c r="D277" t="str">
        <x:v>27/108</x:v>
      </x:c>
      <x:c r="E277" t="str">
        <x:v>EX Power Keepers</x:v>
      </x:c>
      <x:c r="F277" t="n">
        <x:v>2007</x:v>
      </x:c>
      <x:c r="G277" t="str">
        <x:v>Reverse Holo (Power Keepers stamped foil)</x:v>
      </x:c>
      <x:c r="H277" t="str">
        <x:v>1 of 1</x:v>
      </x:c>
      <x:c r="I277" t="n">
        <x:v>17.5</x:v>
      </x:c>
      <x:c r="J277" t="n">
        <x:v>20</x:v>
      </x:c>
      <x:c r="K277" t="n">
        <x:v>18.75</x:v>
      </x:c>
      <x:c r="L277" t="str">
        <x:v>$5–20</x:v>
      </x:c>
      <x:c r="M277" t="str">
        <x:v>Yes</x:v>
      </x:c>
      <x:c r="N277" t="str">
        <x:v>Yes</x:v>
      </x:c>
      <x:c r="O277" t="str">
        <x:v>Yes</x:v>
      </x:c>
      <x:c r="P277" t="str">
        <x:v>Clean/NM benchmark unless noted</x:v>
      </x:c>
      <x:c r="Q277" t="n">
        <x:v>17.5</x:v>
      </x:c>
      <x:c r="R277" t="n">
        <x:v>20</x:v>
      </x:c>
      <x:c r="S277" t="n">
        <x:v>18.75</x:v>
      </x:c>
      <x:c r="T277" t="str">
        <x:v>Confirmed EX Power Keepers #27. This foil printing is the reverse-holo/stamped version; TCGplayer NM market was $18.75 at research time.</x:v>
      </x:c>
      <x:c r="U277" t="n">
        <x:v>887</x:v>
      </x:c>
      <x:c r="V277" t="str">
        <x:v>Current chat continuation / confirmed 2026-08-15</x:v>
      </x:c>
      <x:c r="W277" t="str">
        <x:v>https://www.tcgplayer.com/categories/trading-and-collectible-card-games/pokemon/price-guides/power-keepers</x:v>
      </x:c>
    </x:row>
    <x:row r="278">
      <x:c r="A278" t="n">
        <x:v>277</x:v>
      </x:c>
      <x:c r="B278" t="str">
        <x:v>After $1+ Logging Rule / Rares</x:v>
      </x:c>
      <x:c r="C278" t="str">
        <x:v>Drapion</x:v>
      </x:c>
      <x:c r="D278" t="str">
        <x:v>15/100</x:v>
      </x:c>
      <x:c r="E278" t="str">
        <x:v>Stormfront</x:v>
      </x:c>
      <x:c r="F278" t="n">
        <x:v>2008</x:v>
      </x:c>
      <x:c r="G278" t="str">
        <x:v>Reverse Holo</x:v>
      </x:c>
      <x:c r="H278" t="str">
        <x:v>1 of 1</x:v>
      </x:c>
      <x:c r="I278" t="n">
        <x:v>2.5</x:v>
      </x:c>
      <x:c r="J278" t="n">
        <x:v>3</x:v>
      </x:c>
      <x:c r="K278" t="n">
        <x:v>2.75</x:v>
      </x:c>
      <x:c r="L278" t="str">
        <x:v>$1–5</x:v>
      </x:c>
      <x:c r="M278" t="str">
        <x:v>Yes</x:v>
      </x:c>
      <x:c r="N278" t="str">
        <x:v>No</x:v>
      </x:c>
      <x:c r="O278" t="str">
        <x:v>Yes</x:v>
      </x:c>
      <x:c r="P278" t="str">
        <x:v>Clean/NM benchmark unless noted</x:v>
      </x:c>
      <x:c r="Q278" t="n">
        <x:v>2.5</x:v>
      </x:c>
      <x:c r="R278" t="n">
        <x:v>3</x:v>
      </x:c>
      <x:c r="S278" t="n">
        <x:v>2.75</x:v>
      </x:c>
      <x:c r="T278" t="str">
        <x:v>User specified LV.44.</x:v>
      </x:c>
      <x:c r="U278" t="n">
        <x:v>887</x:v>
      </x:c>
      <x:c r="V278" t="str">
        <x:v>Current chat continuation / researched 2026-08-15</x:v>
      </x:c>
      <x:c r="W278" t="str">
        <x:v>https://www.thepricedex.com/pokemon/452/drapion/price-list</x:v>
      </x:c>
    </x:row>
    <x:row r="279">
      <x:c r="A279" t="n">
        <x:v>278</x:v>
      </x:c>
      <x:c r="B279" t="str">
        <x:v>After $1+ Logging Rule / Rares</x:v>
      </x:c>
      <x:c r="C279" t="str">
        <x:v>Umbreon</x:v>
      </x:c>
      <x:c r="D279" t="str">
        <x:v>61/108</x:v>
      </x:c>
      <x:c r="E279" t="str">
        <x:v>Dark Explorers</x:v>
      </x:c>
      <x:c r="F279" t="n">
        <x:v>2012</x:v>
      </x:c>
      <x:c r="G279" t="str">
        <x:v>Reverse Holo</x:v>
      </x:c>
      <x:c r="H279" t="str">
        <x:v>1 of 2</x:v>
      </x:c>
      <x:c r="I279" t="n">
        <x:v>60</x:v>
      </x:c>
      <x:c r="J279" t="n">
        <x:v>100</x:v>
      </x:c>
      <x:c r="K279" t="n">
        <x:v>80</x:v>
      </x:c>
      <x:c r="L279" t="str">
        <x:v>$20+</x:v>
      </x:c>
      <x:c r="M279" t="str">
        <x:v>Yes</x:v>
      </x:c>
      <x:c r="N279" t="str">
        <x:v>Yes</x:v>
      </x:c>
      <x:c r="O279" t="str">
        <x:v>Yes</x:v>
      </x:c>
      <x:c r="P279" t="str">
        <x:v>Clean/NM benchmark unless noted</x:v>
      </x:c>
      <x:c r="Q279" t="n">
        <x:v>60</x:v>
      </x:c>
      <x:c r="R279" t="n">
        <x:v>100</x:v>
      </x:c>
      <x:c r="S279" t="n">
        <x:v>80</x:v>
      </x:c>
      <x:c r="T279" t="str">
        <x:v>User owns one reverse-holo copy. High-value Dark Explorers Umbreon; recent raw NM sales/market support a broad ~$60–100 range.</x:v>
      </x:c>
      <x:c r="U279" t="n">
        <x:v>888</x:v>
      </x:c>
      <x:c r="V279" t="str">
        <x:v>Current chat continuation / researched 2026-08-15</x:v>
      </x:c>
      <x:c r="W279" t="str">
        <x:v>https://tcgscreener.com/pokemon/dark-explorers/umbreon-rev-holo-61</x:v>
      </x:c>
    </x:row>
    <x:row r="280">
      <x:c r="A280" t="n">
        <x:v>279</x:v>
      </x:c>
      <x:c r="B280" t="str">
        <x:v>After $1+ Logging Rule / Rares</x:v>
      </x:c>
      <x:c r="C280" t="str">
        <x:v>Umbreon</x:v>
      </x:c>
      <x:c r="D280" t="str">
        <x:v>61/108</x:v>
      </x:c>
      <x:c r="E280" t="str">
        <x:v>Dark Explorers</x:v>
      </x:c>
      <x:c r="F280" t="n">
        <x:v>2012</x:v>
      </x:c>
      <x:c r="G280" t="str">
        <x:v>Regular</x:v>
      </x:c>
      <x:c r="H280" t="str">
        <x:v>1 of 7</x:v>
      </x:c>
      <x:c r="I280" t="n">
        <x:v>16.95</x:v>
      </x:c>
      <x:c r="J280" t="n">
        <x:v>17.1</x:v>
      </x:c>
      <x:c r="K280" t="n">
        <x:v>17.025</x:v>
      </x:c>
      <x:c r="L280" t="str">
        <x:v>$5–20</x:v>
      </x:c>
      <x:c r="M280" t="str">
        <x:v>Yes</x:v>
      </x:c>
      <x:c r="N280" t="str">
        <x:v>Yes</x:v>
      </x:c>
      <x:c r="O280" t="str">
        <x:v>Yes</x:v>
      </x:c>
      <x:c r="P280" t="str">
        <x:v>Clean/NM benchmark unless noted</x:v>
      </x:c>
      <x:c r="Q280" t="n">
        <x:v>16.95</x:v>
      </x:c>
      <x:c r="R280" t="n">
        <x:v>17.1</x:v>
      </x:c>
      <x:c r="S280" t="n">
        <x:v>17.025</x:v>
      </x:c>
      <x:c r="T280" t="str">
        <x:v>One of seven regular Dark Explorers Umbreon 61/108 copies.</x:v>
      </x:c>
      <x:c r="U280" t="n">
        <x:v>888</x:v>
      </x:c>
      <x:c r="V280" t="str">
        <x:v>Current chat continuation / researched 2026-08-15</x:v>
      </x:c>
      <x:c r="W280" t="str">
        <x:v>https://www.tcgplayer.com/search/pokemon/product?page=1&amp;productLineName=pokemon&amp;q=Umbreon+Dark+Explorers+%2361&amp;view=grid</x:v>
      </x:c>
    </x:row>
    <x:row r="281">
      <x:c r="A281" t="n">
        <x:v>280</x:v>
      </x:c>
      <x:c r="B281" t="str">
        <x:v>After $1+ Logging Rule / Rares</x:v>
      </x:c>
      <x:c r="C281" t="str">
        <x:v>Umbreon</x:v>
      </x:c>
      <x:c r="D281" t="str">
        <x:v>61/108</x:v>
      </x:c>
      <x:c r="E281" t="str">
        <x:v>Dark Explorers</x:v>
      </x:c>
      <x:c r="F281" t="n">
        <x:v>2012</x:v>
      </x:c>
      <x:c r="G281" t="str">
        <x:v>Regular</x:v>
      </x:c>
      <x:c r="H281" t="str">
        <x:v>2 of 7</x:v>
      </x:c>
      <x:c r="I281" t="n">
        <x:v>16.95</x:v>
      </x:c>
      <x:c r="J281" t="n">
        <x:v>17.1</x:v>
      </x:c>
      <x:c r="K281" t="n">
        <x:v>17.025</x:v>
      </x:c>
      <x:c r="L281" t="str">
        <x:v>$5–20</x:v>
      </x:c>
      <x:c r="M281" t="str">
        <x:v>Yes</x:v>
      </x:c>
      <x:c r="N281" t="str">
        <x:v>Yes</x:v>
      </x:c>
      <x:c r="O281" t="str">
        <x:v>Yes</x:v>
      </x:c>
      <x:c r="P281" t="str">
        <x:v>Clean/NM benchmark unless noted</x:v>
      </x:c>
      <x:c r="Q281" t="n">
        <x:v>16.95</x:v>
      </x:c>
      <x:c r="R281" t="n">
        <x:v>17.1</x:v>
      </x:c>
      <x:c r="S281" t="n">
        <x:v>17.025</x:v>
      </x:c>
      <x:c r="T281" t="str">
        <x:v>One of seven regular Dark Explorers Umbreon 61/108 copies.</x:v>
      </x:c>
      <x:c r="U281" t="n">
        <x:v>888</x:v>
      </x:c>
      <x:c r="V281" t="str">
        <x:v>Current chat continuation / researched 2026-08-15</x:v>
      </x:c>
      <x:c r="W281" t="str">
        <x:v>https://www.tcgplayer.com/search/pokemon/product?page=1&amp;productLineName=pokemon&amp;q=Umbreon+Dark+Explorers+%2361&amp;view=grid</x:v>
      </x:c>
    </x:row>
    <x:row r="282">
      <x:c r="A282" t="n">
        <x:v>281</x:v>
      </x:c>
      <x:c r="B282" t="str">
        <x:v>After $1+ Logging Rule / Rares</x:v>
      </x:c>
      <x:c r="C282" t="str">
        <x:v>Umbreon</x:v>
      </x:c>
      <x:c r="D282" t="str">
        <x:v>61/108</x:v>
      </x:c>
      <x:c r="E282" t="str">
        <x:v>Dark Explorers</x:v>
      </x:c>
      <x:c r="F282" t="n">
        <x:v>2012</x:v>
      </x:c>
      <x:c r="G282" t="str">
        <x:v>Regular</x:v>
      </x:c>
      <x:c r="H282" t="str">
        <x:v>3 of 7</x:v>
      </x:c>
      <x:c r="I282" t="n">
        <x:v>16.95</x:v>
      </x:c>
      <x:c r="J282" t="n">
        <x:v>17.1</x:v>
      </x:c>
      <x:c r="K282" t="n">
        <x:v>17.025</x:v>
      </x:c>
      <x:c r="L282" t="str">
        <x:v>$5–20</x:v>
      </x:c>
      <x:c r="M282" t="str">
        <x:v>Yes</x:v>
      </x:c>
      <x:c r="N282" t="str">
        <x:v>Yes</x:v>
      </x:c>
      <x:c r="O282" t="str">
        <x:v>Yes</x:v>
      </x:c>
      <x:c r="P282" t="str">
        <x:v>Clean/NM benchmark unless noted</x:v>
      </x:c>
      <x:c r="Q282" t="n">
        <x:v>16.95</x:v>
      </x:c>
      <x:c r="R282" t="n">
        <x:v>17.1</x:v>
      </x:c>
      <x:c r="S282" t="n">
        <x:v>17.025</x:v>
      </x:c>
      <x:c r="T282" t="str">
        <x:v>One of seven regular Dark Explorers Umbreon 61/108 copies.</x:v>
      </x:c>
      <x:c r="U282" t="n">
        <x:v>888</x:v>
      </x:c>
      <x:c r="V282" t="str">
        <x:v>Current chat continuation / researched 2026-08-15</x:v>
      </x:c>
      <x:c r="W282" t="str">
        <x:v>https://www.tcgplayer.com/search/pokemon/product?page=1&amp;productLineName=pokemon&amp;q=Umbreon+Dark+Explorers+%2361&amp;view=grid</x:v>
      </x:c>
    </x:row>
    <x:row r="283">
      <x:c r="A283" t="n">
        <x:v>282</x:v>
      </x:c>
      <x:c r="B283" t="str">
        <x:v>After $1+ Logging Rule / Rares</x:v>
      </x:c>
      <x:c r="C283" t="str">
        <x:v>Umbreon</x:v>
      </x:c>
      <x:c r="D283" t="str">
        <x:v>61/108</x:v>
      </x:c>
      <x:c r="E283" t="str">
        <x:v>Dark Explorers</x:v>
      </x:c>
      <x:c r="F283" t="n">
        <x:v>2012</x:v>
      </x:c>
      <x:c r="G283" t="str">
        <x:v>Regular</x:v>
      </x:c>
      <x:c r="H283" t="str">
        <x:v>4 of 7</x:v>
      </x:c>
      <x:c r="I283" t="n">
        <x:v>16.95</x:v>
      </x:c>
      <x:c r="J283" t="n">
        <x:v>17.1</x:v>
      </x:c>
      <x:c r="K283" t="n">
        <x:v>17.025</x:v>
      </x:c>
      <x:c r="L283" t="str">
        <x:v>$5–20</x:v>
      </x:c>
      <x:c r="M283" t="str">
        <x:v>Yes</x:v>
      </x:c>
      <x:c r="N283" t="str">
        <x:v>Yes</x:v>
      </x:c>
      <x:c r="O283" t="str">
        <x:v>Yes</x:v>
      </x:c>
      <x:c r="P283" t="str">
        <x:v>Clean/NM benchmark unless noted</x:v>
      </x:c>
      <x:c r="Q283" t="n">
        <x:v>16.95</x:v>
      </x:c>
      <x:c r="R283" t="n">
        <x:v>17.1</x:v>
      </x:c>
      <x:c r="S283" t="n">
        <x:v>17.025</x:v>
      </x:c>
      <x:c r="T283" t="str">
        <x:v>One of seven regular Dark Explorers Umbreon 61/108 copies.</x:v>
      </x:c>
      <x:c r="U283" t="n">
        <x:v>888</x:v>
      </x:c>
      <x:c r="V283" t="str">
        <x:v>Current chat continuation / researched 2026-08-15</x:v>
      </x:c>
      <x:c r="W283" t="str">
        <x:v>https://www.tcgplayer.com/search/pokemon/product?page=1&amp;productLineName=pokemon&amp;q=Umbreon+Dark+Explorers+%2361&amp;view=grid</x:v>
      </x:c>
    </x:row>
    <x:row r="284">
      <x:c r="A284" t="n">
        <x:v>283</x:v>
      </x:c>
      <x:c r="B284" t="str">
        <x:v>After $1+ Logging Rule / Rares</x:v>
      </x:c>
      <x:c r="C284" t="str">
        <x:v>Umbreon</x:v>
      </x:c>
      <x:c r="D284" t="str">
        <x:v>61/108</x:v>
      </x:c>
      <x:c r="E284" t="str">
        <x:v>Dark Explorers</x:v>
      </x:c>
      <x:c r="F284" t="n">
        <x:v>2012</x:v>
      </x:c>
      <x:c r="G284" t="str">
        <x:v>Regular</x:v>
      </x:c>
      <x:c r="H284" t="str">
        <x:v>5 of 7</x:v>
      </x:c>
      <x:c r="I284" t="n">
        <x:v>16.95</x:v>
      </x:c>
      <x:c r="J284" t="n">
        <x:v>17.1</x:v>
      </x:c>
      <x:c r="K284" t="n">
        <x:v>17.025</x:v>
      </x:c>
      <x:c r="L284" t="str">
        <x:v>$5–20</x:v>
      </x:c>
      <x:c r="M284" t="str">
        <x:v>Yes</x:v>
      </x:c>
      <x:c r="N284" t="str">
        <x:v>Yes</x:v>
      </x:c>
      <x:c r="O284" t="str">
        <x:v>Yes</x:v>
      </x:c>
      <x:c r="P284" t="str">
        <x:v>Clean/NM benchmark unless noted</x:v>
      </x:c>
      <x:c r="Q284" t="n">
        <x:v>16.95</x:v>
      </x:c>
      <x:c r="R284" t="n">
        <x:v>17.1</x:v>
      </x:c>
      <x:c r="S284" t="n">
        <x:v>17.025</x:v>
      </x:c>
      <x:c r="T284" t="str">
        <x:v>One of seven regular Dark Explorers Umbreon 61/108 copies.</x:v>
      </x:c>
      <x:c r="U284" t="n">
        <x:v>888</x:v>
      </x:c>
      <x:c r="V284" t="str">
        <x:v>Current chat continuation / researched 2026-08-15</x:v>
      </x:c>
      <x:c r="W284" t="str">
        <x:v>https://www.tcgplayer.com/search/pokemon/product?page=1&amp;productLineName=pokemon&amp;q=Umbreon+Dark+Explorers+%2361&amp;view=grid</x:v>
      </x:c>
    </x:row>
    <x:row r="285">
      <x:c r="A285" t="n">
        <x:v>284</x:v>
      </x:c>
      <x:c r="B285" t="str">
        <x:v>After $1+ Logging Rule / Rares</x:v>
      </x:c>
      <x:c r="C285" t="str">
        <x:v>Umbreon</x:v>
      </x:c>
      <x:c r="D285" t="str">
        <x:v>61/108</x:v>
      </x:c>
      <x:c r="E285" t="str">
        <x:v>Dark Explorers</x:v>
      </x:c>
      <x:c r="F285" t="n">
        <x:v>2012</x:v>
      </x:c>
      <x:c r="G285" t="str">
        <x:v>Regular</x:v>
      </x:c>
      <x:c r="H285" t="str">
        <x:v>6 of 7</x:v>
      </x:c>
      <x:c r="I285" t="n">
        <x:v>16.95</x:v>
      </x:c>
      <x:c r="J285" t="n">
        <x:v>17.1</x:v>
      </x:c>
      <x:c r="K285" t="n">
        <x:v>17.025</x:v>
      </x:c>
      <x:c r="L285" t="str">
        <x:v>$5–20</x:v>
      </x:c>
      <x:c r="M285" t="str">
        <x:v>Yes</x:v>
      </x:c>
      <x:c r="N285" t="str">
        <x:v>Yes</x:v>
      </x:c>
      <x:c r="O285" t="str">
        <x:v>Yes</x:v>
      </x:c>
      <x:c r="P285" t="str">
        <x:v>Clean/NM benchmark unless noted</x:v>
      </x:c>
      <x:c r="Q285" t="n">
        <x:v>16.95</x:v>
      </x:c>
      <x:c r="R285" t="n">
        <x:v>17.1</x:v>
      </x:c>
      <x:c r="S285" t="n">
        <x:v>17.025</x:v>
      </x:c>
      <x:c r="T285" t="str">
        <x:v>One of seven regular Dark Explorers Umbreon 61/108 copies.</x:v>
      </x:c>
      <x:c r="U285" t="n">
        <x:v>888</x:v>
      </x:c>
      <x:c r="V285" t="str">
        <x:v>Current chat continuation / researched 2026-08-15</x:v>
      </x:c>
      <x:c r="W285" t="str">
        <x:v>https://www.tcgplayer.com/search/pokemon/product?page=1&amp;productLineName=pokemon&amp;q=Umbreon+Dark+Explorers+%2361&amp;view=grid</x:v>
      </x:c>
    </x:row>
    <x:row r="286">
      <x:c r="A286" t="n">
        <x:v>285</x:v>
      </x:c>
      <x:c r="B286" t="str">
        <x:v>After $1+ Logging Rule / Rares</x:v>
      </x:c>
      <x:c r="C286" t="str">
        <x:v>Umbreon</x:v>
      </x:c>
      <x:c r="D286" t="str">
        <x:v>61/108</x:v>
      </x:c>
      <x:c r="E286" t="str">
        <x:v>Dark Explorers</x:v>
      </x:c>
      <x:c r="F286" t="n">
        <x:v>2012</x:v>
      </x:c>
      <x:c r="G286" t="str">
        <x:v>Regular</x:v>
      </x:c>
      <x:c r="H286" t="str">
        <x:v>7 of 7</x:v>
      </x:c>
      <x:c r="I286" t="n">
        <x:v>16.95</x:v>
      </x:c>
      <x:c r="J286" t="n">
        <x:v>17.1</x:v>
      </x:c>
      <x:c r="K286" t="n">
        <x:v>17.025</x:v>
      </x:c>
      <x:c r="L286" t="str">
        <x:v>$5–20</x:v>
      </x:c>
      <x:c r="M286" t="str">
        <x:v>Yes</x:v>
      </x:c>
      <x:c r="N286" t="str">
        <x:v>Yes</x:v>
      </x:c>
      <x:c r="O286" t="str">
        <x:v>Yes</x:v>
      </x:c>
      <x:c r="P286" t="str">
        <x:v>Clean/NM benchmark unless noted</x:v>
      </x:c>
      <x:c r="Q286" t="n">
        <x:v>16.95</x:v>
      </x:c>
      <x:c r="R286" t="n">
        <x:v>17.1</x:v>
      </x:c>
      <x:c r="S286" t="n">
        <x:v>17.025</x:v>
      </x:c>
      <x:c r="T286" t="str">
        <x:v>One of seven regular Dark Explorers Umbreon 61/108 copies.</x:v>
      </x:c>
      <x:c r="U286" t="n">
        <x:v>888</x:v>
      </x:c>
      <x:c r="V286" t="str">
        <x:v>Current chat continuation / researched 2026-08-15</x:v>
      </x:c>
      <x:c r="W286" t="str">
        <x:v>https://www.tcgplayer.com/search/pokemon/product?page=1&amp;productLineName=pokemon&amp;q=Umbreon+Dark+Explorers+%2361&amp;view=grid</x:v>
      </x:c>
    </x:row>
    <x:row r="287">
      <x:c r="A287" t="n">
        <x:v>286</x:v>
      </x:c>
      <x:c r="B287" t="str">
        <x:v>After $1+ Logging Rule / Rares</x:v>
      </x:c>
      <x:c r="C287" t="str">
        <x:v>Umbreon</x:v>
      </x:c>
      <x:c r="D287" t="str">
        <x:v>60/108</x:v>
      </x:c>
      <x:c r="E287" t="str">
        <x:v>Dark Explorers</x:v>
      </x:c>
      <x:c r="F287" t="n">
        <x:v>2012</x:v>
      </x:c>
      <x:c r="G287" t="str">
        <x:v>Regular</x:v>
      </x:c>
      <x:c r="H287" t="str">
        <x:v>1 of 1</x:v>
      </x:c>
      <x:c r="I287" t="n">
        <x:v>20</x:v>
      </x:c>
      <x:c r="J287" t="n">
        <x:v>22</x:v>
      </x:c>
      <x:c r="K287" t="n">
        <x:v>21</x:v>
      </x:c>
      <x:c r="L287" t="str">
        <x:v>$20+</x:v>
      </x:c>
      <x:c r="M287" t="str">
        <x:v>Yes</x:v>
      </x:c>
      <x:c r="N287" t="str">
        <x:v>Yes</x:v>
      </x:c>
      <x:c r="O287" t="str">
        <x:v>Yes</x:v>
      </x:c>
      <x:c r="P287" t="str">
        <x:v>Clean/NM benchmark unless noted</x:v>
      </x:c>
      <x:c r="Q287" t="n">
        <x:v>20</x:v>
      </x:c>
      <x:c r="R287" t="n">
        <x:v>22</x:v>
      </x:c>
      <x:c r="S287" t="n">
        <x:v>21</x:v>
      </x:c>
      <x:c r="T287" t="str">
        <x:v>Corrected from prior mistaken 61/108 entry. User specified one Umbreon 60/108; logged as regular because reverse was not stated.</x:v>
      </x:c>
      <x:c r="U287" t="n">
        <x:v>889</x:v>
      </x:c>
      <x:c r="V287" t="str">
        <x:v>Current chat continuation / corrected 2026-08-15</x:v>
      </x:c>
      <x:c r="W287" t="str">
        <x:v>https://www.tcgplayer.com/search/pokemon/product?productLineName=pokemon&amp;q=Umbreon+Dark+Explorers+%2360</x:v>
      </x:c>
    </x:row>
    <x:row r="288">
      <x:c r="A288" t="n">
        <x:v>287</x:v>
      </x:c>
      <x:c r="B288" t="str">
        <x:v>After $1+ Logging Rule / Rares</x:v>
      </x:c>
      <x:c r="C288" t="str">
        <x:v>Zorua</x:v>
      </x:c>
      <x:c r="D288" t="str">
        <x:v>66/98</x:v>
      </x:c>
      <x:c r="E288" t="str">
        <x:v>Emerging Powers</x:v>
      </x:c>
      <x:c r="F288" t="n">
        <x:v>2011</x:v>
      </x:c>
      <x:c r="G288" t="str">
        <x:v>Reverse Holo</x:v>
      </x:c>
      <x:c r="H288" t="str">
        <x:v>1 of 2</x:v>
      </x:c>
      <x:c r="I288" t="n">
        <x:v>1</x:v>
      </x:c>
      <x:c r="J288" t="n">
        <x:v>1.3</x:v>
      </x:c>
      <x:c r="K288" t="n">
        <x:v>1.15</x:v>
      </x:c>
      <x:c r="L288" t="str">
        <x:v>$1–5</x:v>
      </x:c>
      <x:c r="M288" t="str">
        <x:v>Yes</x:v>
      </x:c>
      <x:c r="N288" t="str">
        <x:v>No</x:v>
      </x:c>
      <x:c r="O288" t="str">
        <x:v>Yes</x:v>
      </x:c>
      <x:c r="P288" t="str">
        <x:v>Clean/NM benchmark unless noted</x:v>
      </x:c>
      <x:c r="Q288" t="n">
        <x:v>1</x:v>
      </x:c>
      <x:c r="R288" t="n">
        <x:v>1.3</x:v>
      </x:c>
      <x:c r="S288" t="n">
        <x:v>1.15</x:v>
      </x:c>
      <x:c r="T288" t="str">
        <x:v>First of two Emerging Powers Zorua 66/98 reverse-holo copies.</x:v>
      </x:c>
      <x:c r="U288" t="n">
        <x:v>890</x:v>
      </x:c>
      <x:c r="V288" t="str">
        <x:v>Current chat continuation / researched 2026-08-15</x:v>
      </x:c>
      <x:c r="W288" t="str">
        <x:v>https://pokemoncard.io/card/zorua-bw2-66</x:v>
      </x:c>
    </x:row>
    <x:row r="289">
      <x:c r="A289" t="n">
        <x:v>288</x:v>
      </x:c>
      <x:c r="B289" t="str">
        <x:v>After $1+ Logging Rule / Rares</x:v>
      </x:c>
      <x:c r="C289" t="str">
        <x:v>Zorua</x:v>
      </x:c>
      <x:c r="D289" t="str">
        <x:v>66/98</x:v>
      </x:c>
      <x:c r="E289" t="str">
        <x:v>Emerging Powers</x:v>
      </x:c>
      <x:c r="F289" t="n">
        <x:v>2011</x:v>
      </x:c>
      <x:c r="G289" t="str">
        <x:v>Reverse Holo</x:v>
      </x:c>
      <x:c r="H289" t="str">
        <x:v>2 of 2</x:v>
      </x:c>
      <x:c r="I289" t="n">
        <x:v>1</x:v>
      </x:c>
      <x:c r="J289" t="n">
        <x:v>1.3</x:v>
      </x:c>
      <x:c r="K289" t="n">
        <x:v>1.15</x:v>
      </x:c>
      <x:c r="L289" t="str">
        <x:v>$1–5</x:v>
      </x:c>
      <x:c r="M289" t="str">
        <x:v>Yes</x:v>
      </x:c>
      <x:c r="N289" t="str">
        <x:v>No</x:v>
      </x:c>
      <x:c r="O289" t="str">
        <x:v>Yes</x:v>
      </x:c>
      <x:c r="P289" t="str">
        <x:v>Clean/NM benchmark unless noted</x:v>
      </x:c>
      <x:c r="Q289" t="n">
        <x:v>1</x:v>
      </x:c>
      <x:c r="R289" t="n">
        <x:v>1.3</x:v>
      </x:c>
      <x:c r="S289" t="n">
        <x:v>1.15</x:v>
      </x:c>
      <x:c r="T289" t="str">
        <x:v>Second of two Emerging Powers Zorua 66/98 reverse-holo copies.</x:v>
      </x:c>
      <x:c r="U289" t="n">
        <x:v>890</x:v>
      </x:c>
      <x:c r="V289" t="str">
        <x:v>Current chat continuation / researched 2026-08-15</x:v>
      </x:c>
      <x:c r="W289" t="str">
        <x:v>https://pokemoncard.io/card/zorua-bw2-66</x:v>
      </x:c>
    </x:row>
    <x:row r="290">
      <x:c r="A290" t="n">
        <x:v>289</x:v>
      </x:c>
      <x:c r="B290" t="str">
        <x:v>After $1+ Logging Rule / Rares</x:v>
      </x:c>
      <x:c r="C290" t="str">
        <x:v>Dark Arbok</x:v>
      </x:c>
      <x:c r="D290" t="str">
        <x:v>29/109</x:v>
      </x:c>
      <x:c r="E290" t="str">
        <x:v>EX Team Rocket Returns</x:v>
      </x:c>
      <x:c r="F290" t="n">
        <x:v>2004</x:v>
      </x:c>
      <x:c r="G290" t="str">
        <x:v>Regular</x:v>
      </x:c>
      <x:c r="H290" t="str">
        <x:v>1 of 1</x:v>
      </x:c>
      <x:c r="I290" t="n">
        <x:v>4.5</x:v>
      </x:c>
      <x:c r="J290" t="n">
        <x:v>5</x:v>
      </x:c>
      <x:c r="K290" t="n">
        <x:v>4.75</x:v>
      </x:c>
      <x:c r="L290" t="str">
        <x:v>$1–5</x:v>
      </x:c>
      <x:c r="M290" t="str">
        <x:v>Yes</x:v>
      </x:c>
      <x:c r="N290" t="str">
        <x:v>No</x:v>
      </x:c>
      <x:c r="O290" t="str">
        <x:v>Yes</x:v>
      </x:c>
      <x:c r="P290" t="str">
        <x:v>Clean/NM benchmark unless noted</x:v>
      </x:c>
      <x:c r="Q290" t="n">
        <x:v>4.5</x:v>
      </x:c>
      <x:c r="R290" t="n">
        <x:v>5</x:v>
      </x:c>
      <x:c r="S290" t="n">
        <x:v>4.75</x:v>
      </x:c>
      <x:c r="T290" t="str">
        <x:v>EX Team Rocket Returns Dark Arbok 29/109 regular uncommon.</x:v>
      </x:c>
      <x:c r="U290" t="n">
        <x:v>890</x:v>
      </x:c>
      <x:c r="V290" t="str">
        <x:v>Current chat continuation / researched 2026-08-15</x:v>
      </x:c>
      <x:c r="W290" t="str">
        <x:v>https://www.tcgplayer.com/search/pokemon/product?q=Dark+Arbok+Team+Rocket+Returns+29</x:v>
      </x:c>
    </x:row>
    <x:row r="291">
      <x:c r="A291" t="n">
        <x:v>290</x:v>
      </x:c>
      <x:c r="B291" t="str">
        <x:v>After $1+ Logging Rule / Rares</x:v>
      </x:c>
      <x:c r="C291" t="str">
        <x:v>Purrloin</x:v>
      </x:c>
      <x:c r="D291" t="str">
        <x:v>RC13/RC25</x:v>
      </x:c>
      <x:c r="E291" t="str">
        <x:v>Legendary Treasures: Radiant Collection</x:v>
      </x:c>
      <x:c r="F291" t="n">
        <x:v>2013</x:v>
      </x:c>
      <x:c r="G291" t="str">
        <x:v>Holofoil</x:v>
      </x:c>
      <x:c r="H291" t="str">
        <x:v>1 of 1</x:v>
      </x:c>
      <x:c r="I291" t="n">
        <x:v>7.25</x:v>
      </x:c>
      <x:c r="J291" t="n">
        <x:v>8</x:v>
      </x:c>
      <x:c r="K291" t="n">
        <x:v>7.625</x:v>
      </x:c>
      <x:c r="L291" t="str">
        <x:v>$5–20</x:v>
      </x:c>
      <x:c r="M291" t="str">
        <x:v>Yes</x:v>
      </x:c>
      <x:c r="N291" t="str">
        <x:v>No</x:v>
      </x:c>
      <x:c r="O291" t="str">
        <x:v>Yes</x:v>
      </x:c>
      <x:c r="P291" t="str">
        <x:v>Clean/NM benchmark unless noted</x:v>
      </x:c>
      <x:c r="Q291" t="n">
        <x:v>7.25</x:v>
      </x:c>
      <x:c r="R291" t="n">
        <x:v>8</x:v>
      </x:c>
      <x:c r="S291" t="n">
        <x:v>7.625</x:v>
      </x:c>
      <x:c r="T291" t="str">
        <x:v>Radiant Collection Purrloin RC13/RC25. TCGplayer NM market around $7.7–7.8 at research time.</x:v>
      </x:c>
      <x:c r="U291" t="n">
        <x:v>891</x:v>
      </x:c>
      <x:c r="V291" t="str">
        <x:v>Current chat continuation / researched 2026-08-15</x:v>
      </x:c>
      <x:c r="W291" t="str">
        <x:v>https://www.tcgplayer.com/search/pokemon/product?productLineName=pokemon&amp;q=purrloin+legendary+treasures+rc13</x:v>
      </x:c>
    </x:row>
    <x:row r="292">
      <x:c r="A292" t="n">
        <x:v>291</x:v>
      </x:c>
      <x:c r="B292" t="str">
        <x:v>After $1+ Logging Rule / Rares</x:v>
      </x:c>
      <x:c r="C292" t="str">
        <x:v>Scraggy</x:v>
      </x:c>
      <x:c r="D292" t="str">
        <x:v>73/99</x:v>
      </x:c>
      <x:c r="E292" t="str">
        <x:v>Next Destinies</x:v>
      </x:c>
      <x:c r="F292" t="n">
        <x:v>2012</x:v>
      </x:c>
      <x:c r="G292" t="str">
        <x:v>Reverse Holo</x:v>
      </x:c>
      <x:c r="H292" t="str">
        <x:v>1 of 2</x:v>
      </x:c>
      <x:c r="I292" t="n">
        <x:v>0.45</x:v>
      </x:c>
      <x:c r="J292" t="n">
        <x:v>0.8</x:v>
      </x:c>
      <x:c r="K292" t="n">
        <x:v>0.625</x:v>
      </x:c>
      <x:c r="L292" t="str">
        <x:v>&lt;$1</x:v>
      </x:c>
      <x:c r="M292" t="str">
        <x:v>Yes</x:v>
      </x:c>
      <x:c r="N292" t="str">
        <x:v>No</x:v>
      </x:c>
      <x:c r="O292" t="str">
        <x:v>No</x:v>
      </x:c>
      <x:c r="P292" t="str">
        <x:v>Clean/NM benchmark unless noted</x:v>
      </x:c>
      <x:c r="Q292" t="n">
        <x:v>0.45</x:v>
      </x:c>
      <x:c r="R292" t="n">
        <x:v>0.8</x:v>
      </x:c>
      <x:c r="S292" t="n">
        <x:v>0.625</x:v>
      </x:c>
      <x:c r="T292" t="str">
        <x:v>First of two Next Destinies Scraggy 73/99 reverse-holo copies. TCGplayer NM market about $0.59.</x:v>
      </x:c>
      <x:c r="U292" t="n">
        <x:v>892</x:v>
      </x:c>
      <x:c r="V292" t="str">
        <x:v>Current chat continuation / researched 2026-08-15</x:v>
      </x:c>
      <x:c r="W292" t="str">
        <x:v>https://www.tcgplayer.com/categories/trading-collectible-card-games/pokemon/price-guides/next-destinies</x:v>
      </x:c>
    </x:row>
    <x:row r="293">
      <x:c r="A293" t="n">
        <x:v>292</x:v>
      </x:c>
      <x:c r="B293" t="str">
        <x:v>After $1+ Logging Rule / Rares</x:v>
      </x:c>
      <x:c r="C293" t="str">
        <x:v>Scraggy</x:v>
      </x:c>
      <x:c r="D293" t="str">
        <x:v>73/99</x:v>
      </x:c>
      <x:c r="E293" t="str">
        <x:v>Next Destinies</x:v>
      </x:c>
      <x:c r="F293" t="n">
        <x:v>2012</x:v>
      </x:c>
      <x:c r="G293" t="str">
        <x:v>Reverse Holo</x:v>
      </x:c>
      <x:c r="H293" t="str">
        <x:v>2 of 2</x:v>
      </x:c>
      <x:c r="I293" t="n">
        <x:v>0.45</x:v>
      </x:c>
      <x:c r="J293" t="n">
        <x:v>0.8</x:v>
      </x:c>
      <x:c r="K293" t="n">
        <x:v>0.625</x:v>
      </x:c>
      <x:c r="L293" t="str">
        <x:v>&lt;$1</x:v>
      </x:c>
      <x:c r="M293" t="str">
        <x:v>Yes</x:v>
      </x:c>
      <x:c r="N293" t="str">
        <x:v>No</x:v>
      </x:c>
      <x:c r="O293" t="str">
        <x:v>No</x:v>
      </x:c>
      <x:c r="P293" t="str">
        <x:v>Clean/NM benchmark unless noted</x:v>
      </x:c>
      <x:c r="Q293" t="n">
        <x:v>0.45</x:v>
      </x:c>
      <x:c r="R293" t="n">
        <x:v>0.8</x:v>
      </x:c>
      <x:c r="S293" t="n">
        <x:v>0.625</x:v>
      </x:c>
      <x:c r="T293" t="str">
        <x:v>Second of two Next Destinies Scraggy 73/99 reverse-holo copies. TCGplayer NM market about $0.59.</x:v>
      </x:c>
      <x:c r="U293" t="n">
        <x:v>892</x:v>
      </x:c>
      <x:c r="V293" t="str">
        <x:v>Current chat continuation / researched 2026-08-15</x:v>
      </x:c>
      <x:c r="W293" t="str">
        <x:v>https://www.tcgplayer.com/categories/trading-collectible-card-games/pokemon/price-guides/next-destinies</x:v>
      </x:c>
    </x:row>
    <x:row r="294">
      <x:c r="A294" t="n">
        <x:v>293</x:v>
      </x:c>
      <x:c r="B294" t="str">
        <x:v>After $1+ Logging Rule / Rares</x:v>
      </x:c>
      <x:c r="C294" t="str">
        <x:v>Bisharp</x:v>
      </x:c>
      <x:c r="D294" t="str">
        <x:v>74/116</x:v>
      </x:c>
      <x:c r="E294" t="str">
        <x:v>Plasma Freeze</x:v>
      </x:c>
      <x:c r="F294" t="n">
        <x:v>2013</x:v>
      </x:c>
      <x:c r="G294" t="str">
        <x:v>Regular</x:v>
      </x:c>
      <x:c r="H294" t="str">
        <x:v>1 of 1</x:v>
      </x:c>
      <x:c r="I294" t="n">
        <x:v>0.35</x:v>
      </x:c>
      <x:c r="J294" t="n">
        <x:v>0.65</x:v>
      </x:c>
      <x:c r="K294" t="n">
        <x:v>0.5</x:v>
      </x:c>
      <x:c r="L294" t="str">
        <x:v>&lt;$1</x:v>
      </x:c>
      <x:c r="M294" t="str">
        <x:v>No</x:v>
      </x:c>
      <x:c r="N294" t="str">
        <x:v>No</x:v>
      </x:c>
      <x:c r="O294" t="str">
        <x:v>No</x:v>
      </x:c>
      <x:c r="P294" t="str">
        <x:v>Clean/NM benchmark unless noted</x:v>
      </x:c>
      <x:c r="Q294" t="n">
        <x:v>0.35</x:v>
      </x:c>
      <x:c r="R294" t="n">
        <x:v>0.65</x:v>
      </x:c>
      <x:c r="S294" t="n">
        <x:v>0.5</x:v>
      </x:c>
      <x:c r="T294" t="str">
        <x:v>Team Plasma Bisharp 74/116 regular. TCGplayer market about $0.48 NM.</x:v>
      </x:c>
      <x:c r="U294" t="n">
        <x:v>893</x:v>
      </x:c>
      <x:c r="V294" t="str">
        <x:v>Current chat continuation / researched 2026-08-15</x:v>
      </x:c>
      <x:c r="W294" t="str">
        <x:v>https://www.tcgplayer.com/search/pokemon/product?productLineName=pokemon&amp;q=bisharp+plasma+freeze+74</x:v>
      </x:c>
    </x:row>
    <x:row r="295">
      <x:c r="A295" t="n">
        <x:v>294</x:v>
      </x:c>
      <x:c r="B295" t="str">
        <x:v>After $1+ Logging Rule / Rares</x:v>
      </x:c>
      <x:c r="C295" t="str">
        <x:v>Sharpedo</x:v>
      </x:c>
      <x:c r="D295" t="str">
        <x:v>49/111</x:v>
      </x:c>
      <x:c r="E295" t="str">
        <x:v>Rising Rivals</x:v>
      </x:c>
      <x:c r="F295" t="n">
        <x:v>2009</x:v>
      </x:c>
      <x:c r="G295" t="str">
        <x:v>Regular</x:v>
      </x:c>
      <x:c r="H295" t="str">
        <x:v>1 of 1</x:v>
      </x:c>
      <x:c r="I295" t="n">
        <x:v>0.6</x:v>
      </x:c>
      <x:c r="J295" t="n">
        <x:v>0.9</x:v>
      </x:c>
      <x:c r="K295" t="n">
        <x:v>0.75</x:v>
      </x:c>
      <x:c r="L295" t="str">
        <x:v>&lt;$1</x:v>
      </x:c>
      <x:c r="M295" t="str">
        <x:v>Yes</x:v>
      </x:c>
      <x:c r="N295" t="str">
        <x:v>No</x:v>
      </x:c>
      <x:c r="O295" t="str">
        <x:v>No</x:v>
      </x:c>
      <x:c r="P295" t="str">
        <x:v>Clean/NM benchmark unless noted</x:v>
      </x:c>
      <x:c r="Q295" t="n">
        <x:v>0.6</x:v>
      </x:c>
      <x:c r="R295" t="n">
        <x:v>0.9</x:v>
      </x:c>
      <x:c r="S295" t="n">
        <x:v>0.75</x:v>
      </x:c>
      <x:c r="T295" t="str">
        <x:v>Sharpedo LV.43 49/111 regular. TCGplayer market about $0.75 NM; sleeved due to 2009 age/clean condition.</x:v>
      </x:c>
      <x:c r="U295" t="n">
        <x:v>893</x:v>
      </x:c>
      <x:c r="V295" t="str">
        <x:v>Current chat continuation / researched 2026-08-15</x:v>
      </x:c>
      <x:c r="W295" t="str">
        <x:v>https://www.tcgplayer.com/search/all/product?page=1&amp;q=pokemon+Sharpedo+49+Rising+Rivals&amp;view=grid</x:v>
      </x:c>
    </x:row>
    <x:row r="296">
      <x:c r="A296" t="n">
        <x:v>295</x:v>
      </x:c>
      <x:c r="B296" t="str">
        <x:v>Fire / Commons</x:v>
      </x:c>
      <x:c r="C296" t="str">
        <x:v>Brock's Vulpix</x:v>
      </x:c>
      <x:c r="D296" t="str">
        <x:v>73/132</x:v>
      </x:c>
      <x:c r="E296" t="str">
        <x:v>Gym Heroes</x:v>
      </x:c>
      <x:c r="F296" t="n">
        <x:v>2000</x:v>
      </x:c>
      <x:c r="G296" t="str">
        <x:v>Regular (Unlimited assumed)</x:v>
      </x:c>
      <x:c r="H296" t="str">
        <x:v>1 of 2</x:v>
      </x:c>
      <x:c r="I296" t="n">
        <x:v>2.3</x:v>
      </x:c>
      <x:c r="J296" t="n">
        <x:v>3</x:v>
      </x:c>
      <x:c r="K296" t="n">
        <x:v>2.65</x:v>
      </x:c>
      <x:c r="L296" t="str">
        <x:v>$1–5</x:v>
      </x:c>
      <x:c r="M296" t="str">
        <x:v>Yes</x:v>
      </x:c>
      <x:c r="N296" t="str">
        <x:v>No</x:v>
      </x:c>
      <x:c r="O296" t="str">
        <x:v>Yes</x:v>
      </x:c>
      <x:c r="P296" t="str">
        <x:v>Clean/NM benchmark unless noted</x:v>
      </x:c>
      <x:c r="Q296" t="n">
        <x:v>2.3</x:v>
      </x:c>
      <x:c r="R296" t="n">
        <x:v>3</x:v>
      </x:c>
      <x:c r="S296" t="n">
        <x:v>2.65</x:v>
      </x:c>
      <x:c r="T296" t="str">
        <x:v>Gym Heroes common. Current unlimited raw/NM market roughly $2.5–3; if 1st Edition, value is materially higher.</x:v>
      </x:c>
      <x:c r="U296" t="n">
        <x:v>894</x:v>
      </x:c>
      <x:c r="V296" t="str">
        <x:v>Current chat continuation / researched 2026-08-15</x:v>
      </x:c>
      <x:c r="W296" t="str">
        <x:v>https://www.pricecharting.com/game/pokemon-gym-heroes/brock%27s-vulpix-73</x:v>
      </x:c>
    </x:row>
    <x:row r="297">
      <x:c r="A297" t="n">
        <x:v>296</x:v>
      </x:c>
      <x:c r="B297" t="str">
        <x:v>Fire / Commons</x:v>
      </x:c>
      <x:c r="C297" t="str">
        <x:v>Brock's Vulpix</x:v>
      </x:c>
      <x:c r="D297" t="str">
        <x:v>73/132</x:v>
      </x:c>
      <x:c r="E297" t="str">
        <x:v>Gym Heroes</x:v>
      </x:c>
      <x:c r="F297" t="n">
        <x:v>2000</x:v>
      </x:c>
      <x:c r="G297" t="str">
        <x:v>Regular (Unlimited assumed)</x:v>
      </x:c>
      <x:c r="H297" t="str">
        <x:v>2 of 2</x:v>
      </x:c>
      <x:c r="I297" t="n">
        <x:v>2.3</x:v>
      </x:c>
      <x:c r="J297" t="n">
        <x:v>3</x:v>
      </x:c>
      <x:c r="K297" t="n">
        <x:v>2.65</x:v>
      </x:c>
      <x:c r="L297" t="str">
        <x:v>$1–5</x:v>
      </x:c>
      <x:c r="M297" t="str">
        <x:v>Yes</x:v>
      </x:c>
      <x:c r="N297" t="str">
        <x:v>No</x:v>
      </x:c>
      <x:c r="O297" t="str">
        <x:v>Yes</x:v>
      </x:c>
      <x:c r="P297" t="str">
        <x:v>Clean/NM benchmark unless noted</x:v>
      </x:c>
      <x:c r="Q297" t="n">
        <x:v>2.3</x:v>
      </x:c>
      <x:c r="R297" t="n">
        <x:v>3</x:v>
      </x:c>
      <x:c r="S297" t="n">
        <x:v>2.65</x:v>
      </x:c>
      <x:c r="T297" t="str">
        <x:v>Gym Heroes common. Current unlimited raw/NM market roughly $2.5–3; if 1st Edition, value is materially higher.</x:v>
      </x:c>
      <x:c r="U297" t="n">
        <x:v>894</x:v>
      </x:c>
      <x:c r="V297" t="str">
        <x:v>Current chat continuation / researched 2026-08-15</x:v>
      </x:c>
      <x:c r="W297" t="str">
        <x:v>https://www.pricecharting.com/game/pokemon-gym-heroes/brock%27s-vulpix-73</x:v>
      </x:c>
    </x:row>
    <x:row r="298">
      <x:c r="A298" t="n">
        <x:v>297</x:v>
      </x:c>
      <x:c r="B298" t="str">
        <x:v>Fire / Commons</x:v>
      </x:c>
      <x:c r="C298" t="str">
        <x:v>Growlithe</x:v>
      </x:c>
      <x:c r="D298" t="str">
        <x:v>68/105</x:v>
      </x:c>
      <x:c r="E298" t="str">
        <x:v>Neo Destiny</x:v>
      </x:c>
      <x:c r="F298" t="n">
        <x:v>2002</x:v>
      </x:c>
      <x:c r="G298" t="str">
        <x:v>Regular (Unlimited assumed)</x:v>
      </x:c>
      <x:c r="H298" t="str">
        <x:v>1 of 1</x:v>
      </x:c>
      <x:c r="I298" t="n">
        <x:v>4.5</x:v>
      </x:c>
      <x:c r="J298" t="n">
        <x:v>6.1</x:v>
      </x:c>
      <x:c r="K298" t="n">
        <x:v>5.3</x:v>
      </x:c>
      <x:c r="L298" t="str">
        <x:v>$5–20</x:v>
      </x:c>
      <x:c r="M298" t="str">
        <x:v>Yes</x:v>
      </x:c>
      <x:c r="N298" t="str">
        <x:v>No</x:v>
      </x:c>
      <x:c r="O298" t="str">
        <x:v>Yes</x:v>
      </x:c>
      <x:c r="P298" t="str">
        <x:v>Clean/NM benchmark unless noted</x:v>
      </x:c>
      <x:c r="Q298" t="n">
        <x:v>4.5</x:v>
      </x:c>
      <x:c r="R298" t="n">
        <x:v>6.1</x:v>
      </x:c>
      <x:c r="S298" t="n">
        <x:v>5.3</x:v>
      </x:c>
      <x:c r="T298" t="str">
        <x:v>Neo Destiny common. Recent TCGplayer NM sales around $5–6; if 1st Edition, reprice separately.</x:v>
      </x:c>
      <x:c r="U298" t="n">
        <x:v>894</x:v>
      </x:c>
      <x:c r="V298" t="str">
        <x:v>Current chat continuation / researched 2026-08-15</x:v>
      </x:c>
      <x:c r="W298" t="str">
        <x:v>https://www.pricecharting.com/game/pokemon-neo-destiny/growlithe-68</x:v>
      </x:c>
    </x:row>
    <x:row r="299">
      <x:c r="A299" t="n">
        <x:v>298</x:v>
      </x:c>
      <x:c r="B299" t="str">
        <x:v>Fire / Commons</x:v>
      </x:c>
      <x:c r="C299" t="str">
        <x:v>Vulpix</x:v>
      </x:c>
      <x:c r="D299" t="str">
        <x:v>68/102</x:v>
      </x:c>
      <x:c r="E299" t="str">
        <x:v>Base Set</x:v>
      </x:c>
      <x:c r="F299" t="n">
        <x:v>1999</x:v>
      </x:c>
      <x:c r="G299" t="str">
        <x:v>Regular (Unlimited assumed)</x:v>
      </x:c>
      <x:c r="H299" t="str">
        <x:v>1 of 1</x:v>
      </x:c>
      <x:c r="I299" t="n">
        <x:v>0.85</x:v>
      </x:c>
      <x:c r="J299" t="n">
        <x:v>1.05</x:v>
      </x:c>
      <x:c r="K299" t="n">
        <x:v>0.95</x:v>
      </x:c>
      <x:c r="L299" t="str">
        <x:v>&lt;$1</x:v>
      </x:c>
      <x:c r="M299" t="str">
        <x:v>Yes</x:v>
      </x:c>
      <x:c r="N299" t="str">
        <x:v>No</x:v>
      </x:c>
      <x:c r="O299" t="str">
        <x:v>Yes</x:v>
      </x:c>
      <x:c r="P299" t="str">
        <x:v>Clean/NM benchmark unless noted</x:v>
      </x:c>
      <x:c r="Q299" t="n">
        <x:v>0.85</x:v>
      </x:c>
      <x:c r="R299" t="n">
        <x:v>1.05</x:v>
      </x:c>
      <x:c r="S299" t="n">
        <x:v>0.95</x:v>
      </x:c>
      <x:c r="T299" t="str">
        <x:v>Base Set common. Logged on $1+ tab because clean raw is essentially at the ~$1 threshold. If Shadowless or 1st Edition, value increases sharply.</x:v>
      </x:c>
      <x:c r="U299" t="n">
        <x:v>894</x:v>
      </x:c>
      <x:c r="V299" t="str">
        <x:v>Current chat continuation / researched 2026-08-15</x:v>
      </x:c>
      <x:c r="W299" t="str">
        <x:v>https://www.tcgplayer.com/search/pokemon/product?page=1&amp;productLineName=pokemon&amp;q=Vulpix+Base+Set&amp;setName=product&amp;view=grid</x:v>
      </x:c>
    </x:row>
    <x:row r="300">
      <x:c r="A300" t="n">
        <x:v>299</x:v>
      </x:c>
      <x:c r="B300" t="str">
        <x:v>Fire / Commons</x:v>
      </x:c>
      <x:c r="C300" t="str">
        <x:v>Blaine's Vulpix</x:v>
      </x:c>
      <x:c r="D300" t="str">
        <x:v>65/132</x:v>
      </x:c>
      <x:c r="E300" t="str">
        <x:v>Gym Heroes</x:v>
      </x:c>
      <x:c r="F300" t="n">
        <x:v>2000</x:v>
      </x:c>
      <x:c r="G300" t="str">
        <x:v>Regular (Unlimited assumed)</x:v>
      </x:c>
      <x:c r="H300" t="str">
        <x:v>1 of 2</x:v>
      </x:c>
      <x:c r="I300" t="n">
        <x:v>2.5</x:v>
      </x:c>
      <x:c r="J300" t="n">
        <x:v>3.25</x:v>
      </x:c>
      <x:c r="K300" t="n">
        <x:v>2.875</x:v>
      </x:c>
      <x:c r="L300" t="str">
        <x:v>$1–5</x:v>
      </x:c>
      <x:c r="M300" t="str">
        <x:v>Yes</x:v>
      </x:c>
      <x:c r="N300" t="str">
        <x:v>No</x:v>
      </x:c>
      <x:c r="O300" t="str">
        <x:v>Yes</x:v>
      </x:c>
      <x:c r="P300" t="str">
        <x:v>Clean/NM benchmark unless noted</x:v>
      </x:c>
      <x:c r="Q300" t="n">
        <x:v>2.5</x:v>
      </x:c>
      <x:c r="R300" t="n">
        <x:v>3.25</x:v>
      </x:c>
      <x:c r="S300" t="n">
        <x:v>2.875</x:v>
      </x:c>
      <x:c r="T300" t="str">
        <x:v>Gym Heroes common. Unlimited NM benchmark around $3; 1st Edition would be worth more.</x:v>
      </x:c>
      <x:c r="U300" t="n">
        <x:v>894</x:v>
      </x:c>
      <x:c r="V300" t="str">
        <x:v>Current chat continuation / researched 2026-08-15</x:v>
      </x:c>
      <x:c r="W300" t="str">
        <x:v>https://www.tcgplayer.com/categories/trading-and-collectible-card-games/pokemon/price-guides/gym-heroes</x:v>
      </x:c>
    </x:row>
    <x:row r="301">
      <x:c r="A301" t="n">
        <x:v>300</x:v>
      </x:c>
      <x:c r="B301" t="str">
        <x:v>Fire / Commons</x:v>
      </x:c>
      <x:c r="C301" t="str">
        <x:v>Blaine's Vulpix</x:v>
      </x:c>
      <x:c r="D301" t="str">
        <x:v>65/132</x:v>
      </x:c>
      <x:c r="E301" t="str">
        <x:v>Gym Heroes</x:v>
      </x:c>
      <x:c r="F301" t="n">
        <x:v>2000</x:v>
      </x:c>
      <x:c r="G301" t="str">
        <x:v>Regular (Unlimited assumed)</x:v>
      </x:c>
      <x:c r="H301" t="str">
        <x:v>2 of 2</x:v>
      </x:c>
      <x:c r="I301" t="n">
        <x:v>2.5</x:v>
      </x:c>
      <x:c r="J301" t="n">
        <x:v>3.25</x:v>
      </x:c>
      <x:c r="K301" t="n">
        <x:v>2.875</x:v>
      </x:c>
      <x:c r="L301" t="str">
        <x:v>$1–5</x:v>
      </x:c>
      <x:c r="M301" t="str">
        <x:v>Yes</x:v>
      </x:c>
      <x:c r="N301" t="str">
        <x:v>No</x:v>
      </x:c>
      <x:c r="O301" t="str">
        <x:v>Yes</x:v>
      </x:c>
      <x:c r="P301" t="str">
        <x:v>Clean/NM benchmark unless noted</x:v>
      </x:c>
      <x:c r="Q301" t="n">
        <x:v>2.5</x:v>
      </x:c>
      <x:c r="R301" t="n">
        <x:v>3.25</x:v>
      </x:c>
      <x:c r="S301" t="n">
        <x:v>2.875</x:v>
      </x:c>
      <x:c r="T301" t="str">
        <x:v>Gym Heroes common. Unlimited NM benchmark around $3; 1st Edition would be worth more.</x:v>
      </x:c>
      <x:c r="U301" t="n">
        <x:v>894</x:v>
      </x:c>
      <x:c r="V301" t="str">
        <x:v>Current chat continuation / researched 2026-08-15</x:v>
      </x:c>
      <x:c r="W301" t="str">
        <x:v>https://www.tcgplayer.com/categories/trading-and-collectible-card-games/pokemon/price-guides/gym-heroes</x:v>
      </x:c>
    </x:row>
    <x:row r="302">
      <x:c r="A302" t="n">
        <x:v>301</x:v>
      </x:c>
      <x:c r="B302" t="str">
        <x:v>Fire / Commons</x:v>
      </x:c>
      <x:c r="C302" t="str">
        <x:v>Blaine's Vulpix</x:v>
      </x:c>
      <x:c r="D302" t="str">
        <x:v>66/132</x:v>
      </x:c>
      <x:c r="E302" t="str">
        <x:v>Gym Challenge</x:v>
      </x:c>
      <x:c r="F302" t="n">
        <x:v>2000</x:v>
      </x:c>
      <x:c r="G302" t="str">
        <x:v>Regular (Unlimited assumed)</x:v>
      </x:c>
      <x:c r="H302" t="str">
        <x:v>1 of 1</x:v>
      </x:c>
      <x:c r="I302" t="n">
        <x:v>2.5</x:v>
      </x:c>
      <x:c r="J302" t="n">
        <x:v>3.1</x:v>
      </x:c>
      <x:c r="K302" t="n">
        <x:v>2.8</x:v>
      </x:c>
      <x:c r="L302" t="str">
        <x:v>$1–5</x:v>
      </x:c>
      <x:c r="M302" t="str">
        <x:v>Yes</x:v>
      </x:c>
      <x:c r="N302" t="str">
        <x:v>No</x:v>
      </x:c>
      <x:c r="O302" t="str">
        <x:v>Yes</x:v>
      </x:c>
      <x:c r="P302" t="str">
        <x:v>Clean/NM benchmark unless noted</x:v>
      </x:c>
      <x:c r="Q302" t="n">
        <x:v>2.5</x:v>
      </x:c>
      <x:c r="R302" t="n">
        <x:v>3.1</x:v>
      </x:c>
      <x:c r="S302" t="n">
        <x:v>2.8</x:v>
      </x:c>
      <x:c r="T302" t="str">
        <x:v>Gym Challenge common. Current unlimited market about $2.8.</x:v>
      </x:c>
      <x:c r="U302" t="n">
        <x:v>894</x:v>
      </x:c>
      <x:c r="V302" t="str">
        <x:v>Current chat continuation / researched 2026-08-15</x:v>
      </x:c>
      <x:c r="W302" t="str">
        <x:v>https://www.pokemonwizard.com/cards/83886/blaines-vulpix</x:v>
      </x:c>
    </x:row>
    <x:row r="303">
      <x:c r="A303" t="n">
        <x:v>302</x:v>
      </x:c>
      <x:c r="B303" t="str">
        <x:v>Fire / Commons</x:v>
      </x:c>
      <x:c r="C303" t="str">
        <x:v>Blaine's Growlithe</x:v>
      </x:c>
      <x:c r="D303" t="str">
        <x:v>62/132</x:v>
      </x:c>
      <x:c r="E303" t="str">
        <x:v>Gym Heroes</x:v>
      </x:c>
      <x:c r="F303" t="n">
        <x:v>2000</x:v>
      </x:c>
      <x:c r="G303" t="str">
        <x:v>Regular (Unlimited assumed)</x:v>
      </x:c>
      <x:c r="H303" t="str">
        <x:v>1 of 4</x:v>
      </x:c>
      <x:c r="I303" t="n">
        <x:v>1.5</x:v>
      </x:c>
      <x:c r="J303" t="n">
        <x:v>2.25</x:v>
      </x:c>
      <x:c r="K303" t="n">
        <x:v>1.875</x:v>
      </x:c>
      <x:c r="L303" t="str">
        <x:v>$1–5</x:v>
      </x:c>
      <x:c r="M303" t="str">
        <x:v>Yes</x:v>
      </x:c>
      <x:c r="N303" t="str">
        <x:v>No</x:v>
      </x:c>
      <x:c r="O303" t="str">
        <x:v>Yes</x:v>
      </x:c>
      <x:c r="P303" t="str">
        <x:v>Clean/NM benchmark unless noted</x:v>
      </x:c>
      <x:c r="Q303" t="n">
        <x:v>1.5</x:v>
      </x:c>
      <x:c r="R303" t="n">
        <x:v>2.25</x:v>
      </x:c>
      <x:c r="S303" t="n">
        <x:v>1.875</x:v>
      </x:c>
      <x:c r="T303" t="str">
        <x:v>Gym Heroes common. Recent NM sales mostly around $1.5–2.25; 1st Edition would be worth more.</x:v>
      </x:c>
      <x:c r="U303" t="n">
        <x:v>894</x:v>
      </x:c>
      <x:c r="V303" t="str">
        <x:v>Current chat continuation / researched 2026-08-15</x:v>
      </x:c>
      <x:c r="W303" t="str">
        <x:v>https://www.pricecharting.com/game/pokemon-gym-heroes/blaine%27s-growlithe-62</x:v>
      </x:c>
    </x:row>
    <x:row r="304">
      <x:c r="A304" t="n">
        <x:v>303</x:v>
      </x:c>
      <x:c r="B304" t="str">
        <x:v>Fire / Commons</x:v>
      </x:c>
      <x:c r="C304" t="str">
        <x:v>Blaine's Growlithe</x:v>
      </x:c>
      <x:c r="D304" t="str">
        <x:v>62/132</x:v>
      </x:c>
      <x:c r="E304" t="str">
        <x:v>Gym Heroes</x:v>
      </x:c>
      <x:c r="F304" t="n">
        <x:v>2000</x:v>
      </x:c>
      <x:c r="G304" t="str">
        <x:v>Regular (Unlimited assumed)</x:v>
      </x:c>
      <x:c r="H304" t="str">
        <x:v>2 of 4</x:v>
      </x:c>
      <x:c r="I304" t="n">
        <x:v>1.5</x:v>
      </x:c>
      <x:c r="J304" t="n">
        <x:v>2.25</x:v>
      </x:c>
      <x:c r="K304" t="n">
        <x:v>1.875</x:v>
      </x:c>
      <x:c r="L304" t="str">
        <x:v>$1–5</x:v>
      </x:c>
      <x:c r="M304" t="str">
        <x:v>Yes</x:v>
      </x:c>
      <x:c r="N304" t="str">
        <x:v>No</x:v>
      </x:c>
      <x:c r="O304" t="str">
        <x:v>Yes</x:v>
      </x:c>
      <x:c r="P304" t="str">
        <x:v>Clean/NM benchmark unless noted</x:v>
      </x:c>
      <x:c r="Q304" t="n">
        <x:v>1.5</x:v>
      </x:c>
      <x:c r="R304" t="n">
        <x:v>2.25</x:v>
      </x:c>
      <x:c r="S304" t="n">
        <x:v>1.875</x:v>
      </x:c>
      <x:c r="T304" t="str">
        <x:v>Gym Heroes common. Recent NM sales mostly around $1.5–2.25; 1st Edition would be worth more.</x:v>
      </x:c>
      <x:c r="U304" t="n">
        <x:v>894</x:v>
      </x:c>
      <x:c r="V304" t="str">
        <x:v>Current chat continuation / researched 2026-08-15</x:v>
      </x:c>
      <x:c r="W304" t="str">
        <x:v>https://www.pricecharting.com/game/pokemon-gym-heroes/blaine%27s-growlithe-62</x:v>
      </x:c>
    </x:row>
    <x:row r="305">
      <x:c r="A305" t="n">
        <x:v>304</x:v>
      </x:c>
      <x:c r="B305" t="str">
        <x:v>Fire / Commons</x:v>
      </x:c>
      <x:c r="C305" t="str">
        <x:v>Blaine's Growlithe</x:v>
      </x:c>
      <x:c r="D305" t="str">
        <x:v>62/132</x:v>
      </x:c>
      <x:c r="E305" t="str">
        <x:v>Gym Heroes</x:v>
      </x:c>
      <x:c r="F305" t="n">
        <x:v>2000</x:v>
      </x:c>
      <x:c r="G305" t="str">
        <x:v>Regular (Unlimited assumed)</x:v>
      </x:c>
      <x:c r="H305" t="str">
        <x:v>3 of 4</x:v>
      </x:c>
      <x:c r="I305" t="n">
        <x:v>1.5</x:v>
      </x:c>
      <x:c r="J305" t="n">
        <x:v>2.25</x:v>
      </x:c>
      <x:c r="K305" t="n">
        <x:v>1.875</x:v>
      </x:c>
      <x:c r="L305" t="str">
        <x:v>$1–5</x:v>
      </x:c>
      <x:c r="M305" t="str">
        <x:v>Yes</x:v>
      </x:c>
      <x:c r="N305" t="str">
        <x:v>No</x:v>
      </x:c>
      <x:c r="O305" t="str">
        <x:v>Yes</x:v>
      </x:c>
      <x:c r="P305" t="str">
        <x:v>Clean/NM benchmark unless noted</x:v>
      </x:c>
      <x:c r="Q305" t="n">
        <x:v>1.5</x:v>
      </x:c>
      <x:c r="R305" t="n">
        <x:v>2.25</x:v>
      </x:c>
      <x:c r="S305" t="n">
        <x:v>1.875</x:v>
      </x:c>
      <x:c r="T305" t="str">
        <x:v>Gym Heroes common. Recent NM sales mostly around $1.5–2.25; 1st Edition would be worth more.</x:v>
      </x:c>
      <x:c r="U305" t="n">
        <x:v>894</x:v>
      </x:c>
      <x:c r="V305" t="str">
        <x:v>Current chat continuation / researched 2026-08-15</x:v>
      </x:c>
      <x:c r="W305" t="str">
        <x:v>https://www.pricecharting.com/game/pokemon-gym-heroes/blaine%27s-growlithe-62</x:v>
      </x:c>
    </x:row>
    <x:row r="306">
      <x:c r="A306" t="n">
        <x:v>305</x:v>
      </x:c>
      <x:c r="B306" t="str">
        <x:v>Fire / Commons</x:v>
      </x:c>
      <x:c r="C306" t="str">
        <x:v>Blaine's Growlithe</x:v>
      </x:c>
      <x:c r="D306" t="str">
        <x:v>62/132</x:v>
      </x:c>
      <x:c r="E306" t="str">
        <x:v>Gym Heroes</x:v>
      </x:c>
      <x:c r="F306" t="n">
        <x:v>2000</x:v>
      </x:c>
      <x:c r="G306" t="str">
        <x:v>Regular (Unlimited assumed)</x:v>
      </x:c>
      <x:c r="H306" t="str">
        <x:v>4 of 4</x:v>
      </x:c>
      <x:c r="I306" t="n">
        <x:v>1.5</x:v>
      </x:c>
      <x:c r="J306" t="n">
        <x:v>2.25</x:v>
      </x:c>
      <x:c r="K306" t="n">
        <x:v>1.875</x:v>
      </x:c>
      <x:c r="L306" t="str">
        <x:v>$1–5</x:v>
      </x:c>
      <x:c r="M306" t="str">
        <x:v>Yes</x:v>
      </x:c>
      <x:c r="N306" t="str">
        <x:v>No</x:v>
      </x:c>
      <x:c r="O306" t="str">
        <x:v>Yes</x:v>
      </x:c>
      <x:c r="P306" t="str">
        <x:v>Clean/NM benchmark unless noted</x:v>
      </x:c>
      <x:c r="Q306" t="n">
        <x:v>1.5</x:v>
      </x:c>
      <x:c r="R306" t="n">
        <x:v>2.25</x:v>
      </x:c>
      <x:c r="S306" t="n">
        <x:v>1.875</x:v>
      </x:c>
      <x:c r="T306" t="str">
        <x:v>Gym Heroes common. Recent NM sales mostly around $1.5–2.25; 1st Edition would be worth more.</x:v>
      </x:c>
      <x:c r="U306" t="n">
        <x:v>894</x:v>
      </x:c>
      <x:c r="V306" t="str">
        <x:v>Current chat continuation / researched 2026-08-15</x:v>
      </x:c>
      <x:c r="W306" t="str">
        <x:v>https://www.pricecharting.com/game/pokemon-gym-heroes/blaine%27s-growlithe-62</x:v>
      </x:c>
    </x:row>
    <x:row r="307">
      <x:c r="A307" t="n">
        <x:v>306</x:v>
      </x:c>
      <x:c r="B307" t="str">
        <x:v>Fire / Commons</x:v>
      </x:c>
      <x:c r="C307" t="str">
        <x:v>Cyndaquil</x:v>
      </x:c>
      <x:c r="D307" t="str">
        <x:v>55/95</x:v>
      </x:c>
      <x:c r="E307" t="str">
        <x:v>Call of Legends</x:v>
      </x:c>
      <x:c r="F307" t="n">
        <x:v>2011</x:v>
      </x:c>
      <x:c r="G307" t="str">
        <x:v>Regular</x:v>
      </x:c>
      <x:c r="H307" t="str">
        <x:v>1 of 3</x:v>
      </x:c>
      <x:c r="I307" t="n">
        <x:v>0.55</x:v>
      </x:c>
      <x:c r="J307" t="n">
        <x:v>0.85</x:v>
      </x:c>
      <x:c r="K307" t="n">
        <x:v>0.7</x:v>
      </x:c>
      <x:c r="L307" t="str">
        <x:v>&lt;$1</x:v>
      </x:c>
      <x:c r="M307" t="str">
        <x:v>Yes</x:v>
      </x:c>
      <x:c r="N307" t="str">
        <x:v>No</x:v>
      </x:c>
      <x:c r="O307" t="str">
        <x:v>No</x:v>
      </x:c>
      <x:c r="P307" t="str">
        <x:v>Clean/NM benchmark unless noted</x:v>
      </x:c>
      <x:c r="Q307" t="n">
        <x:v>0.55</x:v>
      </x:c>
      <x:c r="R307" t="n">
        <x:v>0.85</x:v>
      </x:c>
      <x:c r="S307" t="n">
        <x:v>0.7</x:v>
      </x:c>
      <x:c r="T307" t="str">
        <x:v>Call of Legends Cyndaquil 55/95 regular.</x:v>
      </x:c>
      <x:c r="U307" t="n">
        <x:v>895</x:v>
      </x:c>
      <x:c r="V307" t="str">
        <x:v>Current chat continuation / researched 2026-08-15</x:v>
      </x:c>
      <x:c r="W307" t="str">
        <x:v>https://www.tcgplayer.com/search/pokemon/product?productLineName=pokemon&amp;productName=Cyndaquil</x:v>
      </x:c>
    </x:row>
    <x:row r="308">
      <x:c r="A308" t="n">
        <x:v>307</x:v>
      </x:c>
      <x:c r="B308" t="str">
        <x:v>Fire / Commons</x:v>
      </x:c>
      <x:c r="C308" t="str">
        <x:v>Cyndaquil</x:v>
      </x:c>
      <x:c r="D308" t="str">
        <x:v>55/95</x:v>
      </x:c>
      <x:c r="E308" t="str">
        <x:v>Call of Legends</x:v>
      </x:c>
      <x:c r="F308" t="n">
        <x:v>2011</x:v>
      </x:c>
      <x:c r="G308" t="str">
        <x:v>Regular</x:v>
      </x:c>
      <x:c r="H308" t="str">
        <x:v>2 of 3</x:v>
      </x:c>
      <x:c r="I308" t="n">
        <x:v>0.55</x:v>
      </x:c>
      <x:c r="J308" t="n">
        <x:v>0.85</x:v>
      </x:c>
      <x:c r="K308" t="n">
        <x:v>0.7</x:v>
      </x:c>
      <x:c r="L308" t="str">
        <x:v>&lt;$1</x:v>
      </x:c>
      <x:c r="M308" t="str">
        <x:v>Yes</x:v>
      </x:c>
      <x:c r="N308" t="str">
        <x:v>No</x:v>
      </x:c>
      <x:c r="O308" t="str">
        <x:v>No</x:v>
      </x:c>
      <x:c r="P308" t="str">
        <x:v>Clean/NM benchmark unless noted</x:v>
      </x:c>
      <x:c r="Q308" t="n">
        <x:v>0.55</x:v>
      </x:c>
      <x:c r="R308" t="n">
        <x:v>0.85</x:v>
      </x:c>
      <x:c r="S308" t="n">
        <x:v>0.7</x:v>
      </x:c>
      <x:c r="T308" t="str">
        <x:v>Call of Legends Cyndaquil 55/95 regular.</x:v>
      </x:c>
      <x:c r="U308" t="n">
        <x:v>895</x:v>
      </x:c>
      <x:c r="V308" t="str">
        <x:v>Current chat continuation / researched 2026-08-15</x:v>
      </x:c>
      <x:c r="W308" t="str">
        <x:v>https://www.tcgplayer.com/search/pokemon/product?productLineName=pokemon&amp;productName=Cyndaquil</x:v>
      </x:c>
    </x:row>
    <x:row r="309">
      <x:c r="A309" t="n">
        <x:v>308</x:v>
      </x:c>
      <x:c r="B309" t="str">
        <x:v>Fire / Commons</x:v>
      </x:c>
      <x:c r="C309" t="str">
        <x:v>Cyndaquil</x:v>
      </x:c>
      <x:c r="D309" t="str">
        <x:v>55/95</x:v>
      </x:c>
      <x:c r="E309" t="str">
        <x:v>Call of Legends</x:v>
      </x:c>
      <x:c r="F309" t="n">
        <x:v>2011</x:v>
      </x:c>
      <x:c r="G309" t="str">
        <x:v>Regular</x:v>
      </x:c>
      <x:c r="H309" t="str">
        <x:v>3 of 3</x:v>
      </x:c>
      <x:c r="I309" t="n">
        <x:v>0.55</x:v>
      </x:c>
      <x:c r="J309" t="n">
        <x:v>0.85</x:v>
      </x:c>
      <x:c r="K309" t="n">
        <x:v>0.7</x:v>
      </x:c>
      <x:c r="L309" t="str">
        <x:v>&lt;$1</x:v>
      </x:c>
      <x:c r="M309" t="str">
        <x:v>Yes</x:v>
      </x:c>
      <x:c r="N309" t="str">
        <x:v>No</x:v>
      </x:c>
      <x:c r="O309" t="str">
        <x:v>No</x:v>
      </x:c>
      <x:c r="P309" t="str">
        <x:v>Clean/NM benchmark unless noted</x:v>
      </x:c>
      <x:c r="Q309" t="n">
        <x:v>0.55</x:v>
      </x:c>
      <x:c r="R309" t="n">
        <x:v>0.85</x:v>
      </x:c>
      <x:c r="S309" t="n">
        <x:v>0.7</x:v>
      </x:c>
      <x:c r="T309" t="str">
        <x:v>Call of Legends Cyndaquil 55/95 regular.</x:v>
      </x:c>
      <x:c r="U309" t="n">
        <x:v>895</x:v>
      </x:c>
      <x:c r="V309" t="str">
        <x:v>Current chat continuation / researched 2026-08-15</x:v>
      </x:c>
      <x:c r="W309" t="str">
        <x:v>https://www.tcgplayer.com/search/pokemon/product?productLineName=pokemon&amp;productName=Cyndaquil</x:v>
      </x:c>
    </x:row>
    <x:row r="310">
      <x:c r="A310" t="n">
        <x:v>309</x:v>
      </x:c>
      <x:c r="B310" t="str">
        <x:v>Fire / Commons</x:v>
      </x:c>
      <x:c r="C310" t="str">
        <x:v>Cyndaquil</x:v>
      </x:c>
      <x:c r="D310" t="str">
        <x:v>59/101</x:v>
      </x:c>
      <x:c r="E310" t="str">
        <x:v>EX Hidden Legends</x:v>
      </x:c>
      <x:c r="F310" t="n">
        <x:v>2004</x:v>
      </x:c>
      <x:c r="G310" t="str">
        <x:v>Regular</x:v>
      </x:c>
      <x:c r="H310" t="str">
        <x:v>1 of 1</x:v>
      </x:c>
      <x:c r="I310" t="n">
        <x:v>0.7</x:v>
      </x:c>
      <x:c r="J310" t="n">
        <x:v>1</x:v>
      </x:c>
      <x:c r="K310" t="n">
        <x:v>0.85</x:v>
      </x:c>
      <x:c r="L310" t="str">
        <x:v>&lt;$1</x:v>
      </x:c>
      <x:c r="M310" t="str">
        <x:v>Yes</x:v>
      </x:c>
      <x:c r="N310" t="str">
        <x:v>No</x:v>
      </x:c>
      <x:c r="O310" t="str">
        <x:v>No</x:v>
      </x:c>
      <x:c r="P310" t="str">
        <x:v>Clean/NM benchmark unless noted</x:v>
      </x:c>
      <x:c r="Q310" t="n">
        <x:v>0.7</x:v>
      </x:c>
      <x:c r="R310" t="n">
        <x:v>1</x:v>
      </x:c>
      <x:c r="S310" t="n">
        <x:v>0.85</x:v>
      </x:c>
      <x:c r="T310" t="str">
        <x:v>EX Hidden Legends Cyndaquil 59/101 regular. TCGplayer market about $0.86 NM.</x:v>
      </x:c>
      <x:c r="U310" t="n">
        <x:v>895</x:v>
      </x:c>
      <x:c r="V310" t="str">
        <x:v>Current chat continuation / resolved 2026-08-15</x:v>
      </x:c>
      <x:c r="W310" t="str">
        <x:v>https://www.tcgplayer.com/search/all/product?irpid=5467356&amp;page=1&amp;q=cyndaquil+59+ex+hidden+legends&amp;sharedid=cardlist&amp;view=grid</x:v>
      </x:c>
    </x:row>
    <x:row r="311">
      <x:c r="A311" t="n">
        <x:v>310</x:v>
      </x:c>
      <x:c r="B311" t="str">
        <x:v>Fire / Commons</x:v>
      </x:c>
      <x:c r="C311" t="str">
        <x:v>Cyndaquil</x:v>
      </x:c>
      <x:c r="D311" t="str">
        <x:v>61/105</x:v>
      </x:c>
      <x:c r="E311" t="str">
        <x:v>Neo Destiny</x:v>
      </x:c>
      <x:c r="F311" t="n">
        <x:v>2002</x:v>
      </x:c>
      <x:c r="G311" t="str">
        <x:v>Regular (Unlimited)</x:v>
      </x:c>
      <x:c r="H311" t="str">
        <x:v>1 of 1</x:v>
      </x:c>
      <x:c r="I311" t="n">
        <x:v>2.5</x:v>
      </x:c>
      <x:c r="J311" t="n">
        <x:v>3</x:v>
      </x:c>
      <x:c r="K311" t="n">
        <x:v>2.75</x:v>
      </x:c>
      <x:c r="L311" t="str">
        <x:v>$1–5</x:v>
      </x:c>
      <x:c r="M311" t="str">
        <x:v>Yes</x:v>
      </x:c>
      <x:c r="N311" t="str">
        <x:v>No</x:v>
      </x:c>
      <x:c r="O311" t="str">
        <x:v>Yes</x:v>
      </x:c>
      <x:c r="P311" t="str">
        <x:v>Clean/NM benchmark unless noted</x:v>
      </x:c>
      <x:c r="Q311" t="n">
        <x:v>2.5</x:v>
      </x:c>
      <x:c r="R311" t="n">
        <x:v>3</x:v>
      </x:c>
      <x:c r="S311" t="n">
        <x:v>2.75</x:v>
      </x:c>
      <x:c r="T311" t="str">
        <x:v>Neo Destiny Cyndaquil 61/105 unlimited regular. TCGplayer NM guide about $2.71.</x:v>
      </x:c>
      <x:c r="U311" t="n">
        <x:v>895</x:v>
      </x:c>
      <x:c r="V311" t="str">
        <x:v>Current chat continuation / resolved 2026-08-15</x:v>
      </x:c>
      <x:c r="W311" t="str">
        <x:v>https://www.tcgplayer.com/categories/trading-and-collectible-card-games/pokemon/price-guides/neo-destiny</x:v>
      </x:c>
    </x:row>
    <x:row r="312">
      <x:c r="A312" t="n">
        <x:v>311</x:v>
      </x:c>
      <x:c r="B312" t="str">
        <x:v>Fire / Commons</x:v>
      </x:c>
      <x:c r="C312" t="str">
        <x:v>Cyndaquil</x:v>
      </x:c>
      <x:c r="D312" t="str">
        <x:v>54/115</x:v>
      </x:c>
      <x:c r="E312" t="str">
        <x:v>EX Unseen Forces</x:v>
      </x:c>
      <x:c r="F312" t="n">
        <x:v>2005</x:v>
      </x:c>
      <x:c r="G312" t="str">
        <x:v>Regular</x:v>
      </x:c>
      <x:c r="H312" t="str">
        <x:v>1 of 1</x:v>
      </x:c>
      <x:c r="I312" t="n">
        <x:v>2.25</x:v>
      </x:c>
      <x:c r="J312" t="n">
        <x:v>2.85</x:v>
      </x:c>
      <x:c r="K312" t="n">
        <x:v>2.55</x:v>
      </x:c>
      <x:c r="L312" t="str">
        <x:v>$1–5</x:v>
      </x:c>
      <x:c r="M312" t="str">
        <x:v>Yes</x:v>
      </x:c>
      <x:c r="N312" t="str">
        <x:v>No</x:v>
      </x:c>
      <x:c r="O312" t="str">
        <x:v>Yes</x:v>
      </x:c>
      <x:c r="P312" t="str">
        <x:v>Clean/NM benchmark unless noted</x:v>
      </x:c>
      <x:c r="Q312" t="n">
        <x:v>2.25</x:v>
      </x:c>
      <x:c r="R312" t="n">
        <x:v>2.85</x:v>
      </x:c>
      <x:c r="S312" t="n">
        <x:v>2.55</x:v>
      </x:c>
      <x:c r="T312" t="str">
        <x:v>EX Unseen Forces Cyndaquil 54/115 regular. TCGplayer NM market about $2.56.</x:v>
      </x:c>
      <x:c r="U312" t="n">
        <x:v>895</x:v>
      </x:c>
      <x:c r="V312" t="str">
        <x:v>Current chat continuation / researched 2026-08-15</x:v>
      </x:c>
      <x:c r="W312" t="str">
        <x:v>https://www.tcgplayer.com/search/pokemon/product?productLineName=pokemon&amp;q=cyndaquil+unseen+forces+54</x:v>
      </x:c>
    </x:row>
    <x:row r="313">
      <x:c r="A313" t="n">
        <x:v>312</x:v>
      </x:c>
      <x:c r="B313" t="str">
        <x:v>Fire / Commons</x:v>
      </x:c>
      <x:c r="C313" t="str">
        <x:v>Charmander</x:v>
      </x:c>
      <x:c r="D313" t="str">
        <x:v>17/113</x:v>
      </x:c>
      <x:c r="E313" t="str">
        <x:v>Legendary Treasures</x:v>
      </x:c>
      <x:c r="F313" t="n">
        <x:v>2013</x:v>
      </x:c>
      <x:c r="G313" t="str">
        <x:v>Regular</x:v>
      </x:c>
      <x:c r="H313" t="str">
        <x:v>1 of 2</x:v>
      </x:c>
      <x:c r="I313" t="n">
        <x:v>1.4</x:v>
      </x:c>
      <x:c r="J313" t="n">
        <x:v>1.8</x:v>
      </x:c>
      <x:c r="K313" t="n">
        <x:v>1.6</x:v>
      </x:c>
      <x:c r="L313" t="str">
        <x:v>$1–5</x:v>
      </x:c>
      <x:c r="M313" t="str">
        <x:v>Yes</x:v>
      </x:c>
      <x:c r="N313" t="str">
        <x:v>No</x:v>
      </x:c>
      <x:c r="O313" t="str">
        <x:v>Yes</x:v>
      </x:c>
      <x:c r="P313" t="str">
        <x:v>Clean/NM benchmark unless noted</x:v>
      </x:c>
      <x:c r="Q313" t="n">
        <x:v>1.4</x:v>
      </x:c>
      <x:c r="R313" t="n">
        <x:v>1.8</x:v>
      </x:c>
      <x:c r="S313" t="n">
        <x:v>1.6</x:v>
      </x:c>
      <x:c r="T313" t="str">
        <x:v>Legendary Treasures Charmander 17/113 regular. Current market about $1.55 NM.</x:v>
      </x:c>
      <x:c r="U313" t="n">
        <x:v>896</x:v>
      </x:c>
      <x:c r="V313" t="str">
        <x:v>Current chat continuation / researched 2026-08-15</x:v>
      </x:c>
      <x:c r="W313" t="str">
        <x:v>https://www.tcgplayer.com/search/pokemon/product?page=1&amp;productLineName=pokemon&amp;q=Legendary+Treasures&amp;view=list</x:v>
      </x:c>
    </x:row>
    <x:row r="314">
      <x:c r="A314" t="n">
        <x:v>313</x:v>
      </x:c>
      <x:c r="B314" t="str">
        <x:v>Fire / Commons</x:v>
      </x:c>
      <x:c r="C314" t="str">
        <x:v>Charmander</x:v>
      </x:c>
      <x:c r="D314" t="str">
        <x:v>17/113</x:v>
      </x:c>
      <x:c r="E314" t="str">
        <x:v>Legendary Treasures</x:v>
      </x:c>
      <x:c r="F314" t="n">
        <x:v>2013</x:v>
      </x:c>
      <x:c r="G314" t="str">
        <x:v>Regular</x:v>
      </x:c>
      <x:c r="H314" t="str">
        <x:v>2 of 2</x:v>
      </x:c>
      <x:c r="I314" t="n">
        <x:v>1.4</x:v>
      </x:c>
      <x:c r="J314" t="n">
        <x:v>1.8</x:v>
      </x:c>
      <x:c r="K314" t="n">
        <x:v>1.6</x:v>
      </x:c>
      <x:c r="L314" t="str">
        <x:v>$1–5</x:v>
      </x:c>
      <x:c r="M314" t="str">
        <x:v>Yes</x:v>
      </x:c>
      <x:c r="N314" t="str">
        <x:v>No</x:v>
      </x:c>
      <x:c r="O314" t="str">
        <x:v>Yes</x:v>
      </x:c>
      <x:c r="P314" t="str">
        <x:v>Clean/NM benchmark unless noted</x:v>
      </x:c>
      <x:c r="Q314" t="n">
        <x:v>1.4</x:v>
      </x:c>
      <x:c r="R314" t="n">
        <x:v>1.8</x:v>
      </x:c>
      <x:c r="S314" t="n">
        <x:v>1.6</x:v>
      </x:c>
      <x:c r="T314" t="str">
        <x:v>Legendary Treasures Charmander 17/113 regular. Current market about $1.55 NM.</x:v>
      </x:c>
      <x:c r="U314" t="n">
        <x:v>896</x:v>
      </x:c>
      <x:c r="V314" t="str">
        <x:v>Current chat continuation / researched 2026-08-15</x:v>
      </x:c>
      <x:c r="W314" t="str">
        <x:v>https://www.tcgplayer.com/search/pokemon/product?page=1&amp;productLineName=pokemon&amp;q=Legendary+Treasures&amp;view=list</x:v>
      </x:c>
    </x:row>
    <x:row r="315">
      <x:c r="A315" t="n">
        <x:v>314</x:v>
      </x:c>
      <x:c r="B315" t="str">
        <x:v>Fire / Commons</x:v>
      </x:c>
      <x:c r="C315" t="str">
        <x:v>Charmander</x:v>
      </x:c>
      <x:c r="D315" t="str">
        <x:v>70/110</x:v>
      </x:c>
      <x:c r="E315" t="str">
        <x:v>Legendary Collection</x:v>
      </x:c>
      <x:c r="F315" t="n">
        <x:v>2002</x:v>
      </x:c>
      <x:c r="G315" t="str">
        <x:v>Regular</x:v>
      </x:c>
      <x:c r="H315" t="str">
        <x:v>1 of 1</x:v>
      </x:c>
      <x:c r="I315" t="n">
        <x:v>1.8</x:v>
      </x:c>
      <x:c r="J315" t="n">
        <x:v>2.5</x:v>
      </x:c>
      <x:c r="K315" t="n">
        <x:v>2.15</x:v>
      </x:c>
      <x:c r="L315" t="str">
        <x:v>$1–5</x:v>
      </x:c>
      <x:c r="M315" t="str">
        <x:v>Yes</x:v>
      </x:c>
      <x:c r="N315" t="str">
        <x:v>No</x:v>
      </x:c>
      <x:c r="O315" t="str">
        <x:v>Yes</x:v>
      </x:c>
      <x:c r="P315" t="str">
        <x:v>Clean/NM benchmark unless noted</x:v>
      </x:c>
      <x:c r="Q315" t="n">
        <x:v>1.8</x:v>
      </x:c>
      <x:c r="R315" t="n">
        <x:v>2.5</x:v>
      </x:c>
      <x:c r="S315" t="n">
        <x:v>2.15</x:v>
      </x:c>
      <x:c r="T315" t="str">
        <x:v>Legendary Collection Charmander 70/110 regular. Current market about $2.0–2.2 NM. Reverse holo is dramatically more valuable.</x:v>
      </x:c>
      <x:c r="U315" t="n">
        <x:v>896</x:v>
      </x:c>
      <x:c r="V315" t="str">
        <x:v>Current chat continuation / researched 2026-08-15</x:v>
      </x:c>
      <x:c r="W315" t="str">
        <x:v>https://www.tcgplayer.com/search/pokemon/product?productLineName=pokemon&amp;q=charmander+legendary+collection+70</x:v>
      </x:c>
    </x:row>
    <x:row r="316">
      <x:c r="A316" t="n">
        <x:v>315</x:v>
      </x:c>
      <x:c r="B316" t="str">
        <x:v>Fire / Commons</x:v>
      </x:c>
      <x:c r="C316" t="str">
        <x:v>Charmander</x:v>
      </x:c>
      <x:c r="D316" t="str">
        <x:v>59/99</x:v>
      </x:c>
      <x:c r="E316" t="str">
        <x:v>Arceus</x:v>
      </x:c>
      <x:c r="F316" t="n">
        <x:v>2009</x:v>
      </x:c>
      <x:c r="G316" t="str">
        <x:v>Reverse Holo</x:v>
      </x:c>
      <x:c r="H316" t="str">
        <x:v>1 of 2</x:v>
      </x:c>
      <x:c r="I316" t="n">
        <x:v>75</x:v>
      </x:c>
      <x:c r="J316" t="n">
        <x:v>90</x:v>
      </x:c>
      <x:c r="K316" t="n">
        <x:v>82.5</x:v>
      </x:c>
      <x:c r="L316" t="str">
        <x:v>$20+</x:v>
      </x:c>
      <x:c r="M316" t="str">
        <x:v>Yes</x:v>
      </x:c>
      <x:c r="N316" t="str">
        <x:v>Yes</x:v>
      </x:c>
      <x:c r="O316" t="str">
        <x:v>Yes</x:v>
      </x:c>
      <x:c r="P316" t="str">
        <x:v>Clean/NM benchmark unless noted</x:v>
      </x:c>
      <x:c r="Q316" t="n">
        <x:v>75</x:v>
      </x:c>
      <x:c r="R316" t="n">
        <x:v>90</x:v>
      </x:c>
      <x:c r="S316" t="n">
        <x:v>82.5</x:v>
      </x:c>
      <x:c r="T316" t="str">
        <x:v>Corrected by user: Arceus Charmander 59/99 is reverse holo. TCGplayer reverse-holo NM price guide was about $85.50 at research time.</x:v>
      </x:c>
      <x:c r="U316" t="n">
        <x:v>897</x:v>
      </x:c>
      <x:c r="V316" t="str">
        <x:v>Current chat continuation / corrected 2026-08-15</x:v>
      </x:c>
      <x:c r="W316" t="str">
        <x:v>https://www.tcgplayer.com/categories/trading-collectible-card-games/pokemon/price-guides/arceus</x:v>
      </x:c>
    </x:row>
    <x:row r="317">
      <x:c r="A317" t="n">
        <x:v>316</x:v>
      </x:c>
      <x:c r="B317" t="str">
        <x:v>Fire / Commons</x:v>
      </x:c>
      <x:c r="C317" t="str">
        <x:v>Charmander</x:v>
      </x:c>
      <x:c r="D317" t="str">
        <x:v>18/149</x:v>
      </x:c>
      <x:c r="E317" t="str">
        <x:v>Boundaries Crossed</x:v>
      </x:c>
      <x:c r="F317" t="n">
        <x:v>2012</x:v>
      </x:c>
      <x:c r="G317" t="str">
        <x:v>Regular</x:v>
      </x:c>
      <x:c r="H317" t="str">
        <x:v>1 of 5</x:v>
      </x:c>
      <x:c r="I317" t="n">
        <x:v>2.75</x:v>
      </x:c>
      <x:c r="J317" t="n">
        <x:v>4</x:v>
      </x:c>
      <x:c r="K317" t="n">
        <x:v>3.375</x:v>
      </x:c>
      <x:c r="L317" t="str">
        <x:v>$1–5</x:v>
      </x:c>
      <x:c r="M317" t="str">
        <x:v>Yes</x:v>
      </x:c>
      <x:c r="N317" t="str">
        <x:v>No</x:v>
      </x:c>
      <x:c r="O317" t="str">
        <x:v>Yes</x:v>
      </x:c>
      <x:c r="P317" t="str">
        <x:v>Clean/NM benchmark unless noted</x:v>
      </x:c>
      <x:c r="Q317" t="n">
        <x:v>2.75</x:v>
      </x:c>
      <x:c r="R317" t="n">
        <x:v>4</x:v>
      </x:c>
      <x:c r="S317" t="n">
        <x:v>3.375</x:v>
      </x:c>
      <x:c r="T317" t="str">
        <x:v>Boundaries Crossed Charmander 18/149 regular. User confirmed five total copies; TCGplayer market about $3.16 NM at research time.</x:v>
      </x:c>
      <x:c r="U317" t="n">
        <x:v>898</x:v>
      </x:c>
      <x:c r="V317" t="str">
        <x:v>Current chat continuation / quantity + set confirmed 2026-08-15</x:v>
      </x:c>
      <x:c r="W317" t="str">
        <x:v>https://www.tcgplayer.com/search/pokemon/boundaries-crossed?productLineName=pokemon&amp;setName=boundaries-crossed</x:v>
      </x:c>
    </x:row>
    <x:row r="318">
      <x:c r="A318" t="n">
        <x:v>317</x:v>
      </x:c>
      <x:c r="B318" t="str">
        <x:v>Fire / Commons</x:v>
      </x:c>
      <x:c r="C318" t="str">
        <x:v>Charmander</x:v>
      </x:c>
      <x:c r="D318" t="str">
        <x:v>18/149</x:v>
      </x:c>
      <x:c r="E318" t="str">
        <x:v>Boundaries Crossed</x:v>
      </x:c>
      <x:c r="F318" t="n">
        <x:v>2012</x:v>
      </x:c>
      <x:c r="G318" t="str">
        <x:v>Regular</x:v>
      </x:c>
      <x:c r="H318" t="str">
        <x:v>2 of 5</x:v>
      </x:c>
      <x:c r="I318" t="n">
        <x:v>2.75</x:v>
      </x:c>
      <x:c r="J318" t="n">
        <x:v>4</x:v>
      </x:c>
      <x:c r="K318" t="n">
        <x:v>3.375</x:v>
      </x:c>
      <x:c r="L318" t="str">
        <x:v>$1–5</x:v>
      </x:c>
      <x:c r="M318" t="str">
        <x:v>Yes</x:v>
      </x:c>
      <x:c r="N318" t="str">
        <x:v>No</x:v>
      </x:c>
      <x:c r="O318" t="str">
        <x:v>Yes</x:v>
      </x:c>
      <x:c r="P318" t="str">
        <x:v>Clean/NM benchmark unless noted</x:v>
      </x:c>
      <x:c r="Q318" t="n">
        <x:v>2.75</x:v>
      </x:c>
      <x:c r="R318" t="n">
        <x:v>4</x:v>
      </x:c>
      <x:c r="S318" t="n">
        <x:v>3.375</x:v>
      </x:c>
      <x:c r="T318" t="str">
        <x:v>Boundaries Crossed Charmander 18/149 regular. User confirmed five total copies; TCGplayer market about $3.16 NM at research time.</x:v>
      </x:c>
      <x:c r="U318" t="n">
        <x:v>898</x:v>
      </x:c>
      <x:c r="V318" t="str">
        <x:v>Current chat continuation / quantity + set confirmed 2026-08-15</x:v>
      </x:c>
      <x:c r="W318" t="str">
        <x:v>https://www.tcgplayer.com/search/pokemon/boundaries-crossed?productLineName=pokemon&amp;setName=boundaries-crossed</x:v>
      </x:c>
    </x:row>
    <x:row r="319">
      <x:c r="A319" t="n">
        <x:v>318</x:v>
      </x:c>
      <x:c r="B319" t="str">
        <x:v>Fire / Commons</x:v>
      </x:c>
      <x:c r="C319" t="str">
        <x:v>Charmander</x:v>
      </x:c>
      <x:c r="D319" t="str">
        <x:v>18/149</x:v>
      </x:c>
      <x:c r="E319" t="str">
        <x:v>Boundaries Crossed</x:v>
      </x:c>
      <x:c r="F319" t="n">
        <x:v>2012</x:v>
      </x:c>
      <x:c r="G319" t="str">
        <x:v>Regular</x:v>
      </x:c>
      <x:c r="H319" t="str">
        <x:v>3 of 5</x:v>
      </x:c>
      <x:c r="I319" t="n">
        <x:v>2.75</x:v>
      </x:c>
      <x:c r="J319" t="n">
        <x:v>4</x:v>
      </x:c>
      <x:c r="K319" t="n">
        <x:v>3.375</x:v>
      </x:c>
      <x:c r="L319" t="str">
        <x:v>$1–5</x:v>
      </x:c>
      <x:c r="M319" t="str">
        <x:v>Yes</x:v>
      </x:c>
      <x:c r="N319" t="str">
        <x:v>No</x:v>
      </x:c>
      <x:c r="O319" t="str">
        <x:v>Yes</x:v>
      </x:c>
      <x:c r="P319" t="str">
        <x:v>Clean/NM benchmark unless noted</x:v>
      </x:c>
      <x:c r="Q319" t="n">
        <x:v>2.75</x:v>
      </x:c>
      <x:c r="R319" t="n">
        <x:v>4</x:v>
      </x:c>
      <x:c r="S319" t="n">
        <x:v>3.375</x:v>
      </x:c>
      <x:c r="T319" t="str">
        <x:v>Boundaries Crossed Charmander 18/149 regular. User confirmed five total copies; TCGplayer market about $3.16 NM at research time.</x:v>
      </x:c>
      <x:c r="U319" t="n">
        <x:v>898</x:v>
      </x:c>
      <x:c r="V319" t="str">
        <x:v>Current chat continuation / quantity + set confirmed 2026-08-15</x:v>
      </x:c>
      <x:c r="W319" t="str">
        <x:v>https://www.tcgplayer.com/search/pokemon/boundaries-crossed?productLineName=pokemon&amp;setName=boundaries-crossed</x:v>
      </x:c>
    </x:row>
    <x:row r="320">
      <x:c r="A320" t="n">
        <x:v>319</x:v>
      </x:c>
      <x:c r="B320" t="str">
        <x:v>Fire / Commons</x:v>
      </x:c>
      <x:c r="C320" t="str">
        <x:v>Charmander</x:v>
      </x:c>
      <x:c r="D320" t="str">
        <x:v>18/149</x:v>
      </x:c>
      <x:c r="E320" t="str">
        <x:v>Boundaries Crossed</x:v>
      </x:c>
      <x:c r="F320" t="n">
        <x:v>2012</x:v>
      </x:c>
      <x:c r="G320" t="str">
        <x:v>Regular</x:v>
      </x:c>
      <x:c r="H320" t="str">
        <x:v>4 of 5</x:v>
      </x:c>
      <x:c r="I320" t="n">
        <x:v>2.75</x:v>
      </x:c>
      <x:c r="J320" t="n">
        <x:v>4</x:v>
      </x:c>
      <x:c r="K320" t="n">
        <x:v>3.375</x:v>
      </x:c>
      <x:c r="L320" t="str">
        <x:v>$1–5</x:v>
      </x:c>
      <x:c r="M320" t="str">
        <x:v>Yes</x:v>
      </x:c>
      <x:c r="N320" t="str">
        <x:v>No</x:v>
      </x:c>
      <x:c r="O320" t="str">
        <x:v>Yes</x:v>
      </x:c>
      <x:c r="P320" t="str">
        <x:v>Clean/NM benchmark unless noted</x:v>
      </x:c>
      <x:c r="Q320" t="n">
        <x:v>2.75</x:v>
      </x:c>
      <x:c r="R320" t="n">
        <x:v>4</x:v>
      </x:c>
      <x:c r="S320" t="n">
        <x:v>3.375</x:v>
      </x:c>
      <x:c r="T320" t="str">
        <x:v>Boundaries Crossed Charmander 18/149 regular. User confirmed five total copies; TCGplayer market about $3.16 NM at research time.</x:v>
      </x:c>
      <x:c r="U320" t="n">
        <x:v>898</x:v>
      </x:c>
      <x:c r="V320" t="str">
        <x:v>Current chat continuation / quantity + set confirmed 2026-08-15</x:v>
      </x:c>
      <x:c r="W320" t="str">
        <x:v>https://www.tcgplayer.com/search/pokemon/boundaries-crossed?productLineName=pokemon&amp;setName=boundaries-crossed</x:v>
      </x:c>
    </x:row>
    <x:row r="321">
      <x:c r="A321" t="n">
        <x:v>320</x:v>
      </x:c>
      <x:c r="B321" t="str">
        <x:v>Fire / Commons</x:v>
      </x:c>
      <x:c r="C321" t="str">
        <x:v>Charmander</x:v>
      </x:c>
      <x:c r="D321" t="str">
        <x:v>18/149</x:v>
      </x:c>
      <x:c r="E321" t="str">
        <x:v>Boundaries Crossed</x:v>
      </x:c>
      <x:c r="F321" t="n">
        <x:v>2012</x:v>
      </x:c>
      <x:c r="G321" t="str">
        <x:v>Regular</x:v>
      </x:c>
      <x:c r="H321" t="str">
        <x:v>5 of 5</x:v>
      </x:c>
      <x:c r="I321" t="n">
        <x:v>2.75</x:v>
      </x:c>
      <x:c r="J321" t="n">
        <x:v>4</x:v>
      </x:c>
      <x:c r="K321" t="n">
        <x:v>3.375</x:v>
      </x:c>
      <x:c r="L321" t="str">
        <x:v>$1–5</x:v>
      </x:c>
      <x:c r="M321" t="str">
        <x:v>Yes</x:v>
      </x:c>
      <x:c r="N321" t="str">
        <x:v>No</x:v>
      </x:c>
      <x:c r="O321" t="str">
        <x:v>Yes</x:v>
      </x:c>
      <x:c r="P321" t="str">
        <x:v>Clean/NM benchmark unless noted</x:v>
      </x:c>
      <x:c r="Q321" t="n">
        <x:v>2.75</x:v>
      </x:c>
      <x:c r="R321" t="n">
        <x:v>4</x:v>
      </x:c>
      <x:c r="S321" t="n">
        <x:v>3.375</x:v>
      </x:c>
      <x:c r="T321" t="str">
        <x:v>Boundaries Crossed Charmander 18/149 regular. User confirmed five total copies; TCGplayer market about $3.16 NM at research time.</x:v>
      </x:c>
      <x:c r="U321" t="n">
        <x:v>898</x:v>
      </x:c>
      <x:c r="V321" t="str">
        <x:v>Current chat continuation / quantity + set confirmed 2026-08-15</x:v>
      </x:c>
      <x:c r="W321" t="str">
        <x:v>https://www.tcgplayer.com/search/pokemon/boundaries-crossed?productLineName=pokemon&amp;setName=boundaries-crossed</x:v>
      </x:c>
    </x:row>
    <x:row r="322">
      <x:c r="A322" t="n">
        <x:v>321</x:v>
      </x:c>
      <x:c r="B322" t="str">
        <x:v>Fire / Commons</x:v>
      </x:c>
      <x:c r="C322" t="str">
        <x:v>Tepig</x:v>
      </x:c>
      <x:c r="D322" t="str">
        <x:v>BW07</x:v>
      </x:c>
      <x:c r="E322" t="str">
        <x:v>Black &amp; White Black Star Promos</x:v>
      </x:c>
      <x:c r="F322" t="n">
        <x:v>2011</x:v>
      </x:c>
      <x:c r="G322" t="str">
        <x:v>Promo (Regular)</x:v>
      </x:c>
      <x:c r="H322" t="str">
        <x:v>1 of 2</x:v>
      </x:c>
      <x:c r="I322" t="n">
        <x:v>1.5</x:v>
      </x:c>
      <x:c r="J322" t="n">
        <x:v>2</x:v>
      </x:c>
      <x:c r="K322" t="n">
        <x:v>1.75</x:v>
      </x:c>
      <x:c r="L322" t="str">
        <x:v>$1–5</x:v>
      </x:c>
      <x:c r="M322" t="str">
        <x:v>Yes</x:v>
      </x:c>
      <x:c r="N322" t="str">
        <x:v>No</x:v>
      </x:c>
      <x:c r="O322" t="str">
        <x:v>Yes</x:v>
      </x:c>
      <x:c r="P322" t="str">
        <x:v>Clean/NM benchmark unless noted</x:v>
      </x:c>
      <x:c r="Q322" t="n">
        <x:v>1.5</x:v>
      </x:c>
      <x:c r="R322" t="n">
        <x:v>2</x:v>
      </x:c>
      <x:c r="S322" t="n">
        <x:v>1.75</x:v>
      </x:c>
      <x:c r="T322" t="str">
        <x:v>Black &amp; White promo BW07. TCGplayer market about $1.74–1.75 at research time.</x:v>
      </x:c>
      <x:c r="U322" t="n">
        <x:v>899</x:v>
      </x:c>
      <x:c r="V322" t="str">
        <x:v>Current chat continuation / researched 2026-08-15</x:v>
      </x:c>
      <x:c r="W322" t="str">
        <x:v>https://www.tcgplayer.com/search/pokemon/product?q=Tepig+16+Black+%26+White</x:v>
      </x:c>
    </x:row>
    <x:row r="323">
      <x:c r="A323" t="n">
        <x:v>322</x:v>
      </x:c>
      <x:c r="B323" t="str">
        <x:v>Fire / Commons</x:v>
      </x:c>
      <x:c r="C323" t="str">
        <x:v>Tepig</x:v>
      </x:c>
      <x:c r="D323" t="str">
        <x:v>BW07</x:v>
      </x:c>
      <x:c r="E323" t="str">
        <x:v>Black &amp; White Black Star Promos</x:v>
      </x:c>
      <x:c r="F323" t="n">
        <x:v>2011</x:v>
      </x:c>
      <x:c r="G323" t="str">
        <x:v>Promo (Regular)</x:v>
      </x:c>
      <x:c r="H323" t="str">
        <x:v>2 of 2</x:v>
      </x:c>
      <x:c r="I323" t="n">
        <x:v>1.5</x:v>
      </x:c>
      <x:c r="J323" t="n">
        <x:v>2</x:v>
      </x:c>
      <x:c r="K323" t="n">
        <x:v>1.75</x:v>
      </x:c>
      <x:c r="L323" t="str">
        <x:v>$1–5</x:v>
      </x:c>
      <x:c r="M323" t="str">
        <x:v>Yes</x:v>
      </x:c>
      <x:c r="N323" t="str">
        <x:v>No</x:v>
      </x:c>
      <x:c r="O323" t="str">
        <x:v>Yes</x:v>
      </x:c>
      <x:c r="P323" t="str">
        <x:v>Clean/NM benchmark unless noted</x:v>
      </x:c>
      <x:c r="Q323" t="n">
        <x:v>1.5</x:v>
      </x:c>
      <x:c r="R323" t="n">
        <x:v>2</x:v>
      </x:c>
      <x:c r="S323" t="n">
        <x:v>1.75</x:v>
      </x:c>
      <x:c r="T323" t="str">
        <x:v>Black &amp; White promo BW07. TCGplayer market about $1.74–1.75 at research time.</x:v>
      </x:c>
      <x:c r="U323" t="n">
        <x:v>899</x:v>
      </x:c>
      <x:c r="V323" t="str">
        <x:v>Current chat continuation / researched 2026-08-15</x:v>
      </x:c>
      <x:c r="W323" t="str">
        <x:v>https://www.tcgplayer.com/search/pokemon/product?q=Tepig+16+Black+%26+White</x:v>
      </x:c>
    </x:row>
    <x:row r="324">
      <x:c r="A324" t="n">
        <x:v>323</x:v>
      </x:c>
      <x:c r="B324" t="str">
        <x:v>Fire / Commons</x:v>
      </x:c>
      <x:c r="C324" t="str">
        <x:v>Tepig</x:v>
      </x:c>
      <x:c r="D324" t="str">
        <x:v>16/114</x:v>
      </x:c>
      <x:c r="E324" t="str">
        <x:v>Black &amp; White</x:v>
      </x:c>
      <x:c r="F324" t="n">
        <x:v>2011</x:v>
      </x:c>
      <x:c r="G324" t="str">
        <x:v>Reverse Holo</x:v>
      </x:c>
      <x:c r="H324" t="str">
        <x:v>1 of 2</x:v>
      </x:c>
      <x:c r="I324" t="n">
        <x:v>1.75</x:v>
      </x:c>
      <x:c r="J324" t="n">
        <x:v>3.5</x:v>
      </x:c>
      <x:c r="K324" t="n">
        <x:v>2.625</x:v>
      </x:c>
      <x:c r="L324" t="str">
        <x:v>$1–5</x:v>
      </x:c>
      <x:c r="M324" t="str">
        <x:v>Yes</x:v>
      </x:c>
      <x:c r="N324" t="str">
        <x:v>No</x:v>
      </x:c>
      <x:c r="O324" t="str">
        <x:v>Yes</x:v>
      </x:c>
      <x:c r="P324" t="str">
        <x:v>Clean/NM benchmark unless noted</x:v>
      </x:c>
      <x:c r="Q324" t="n">
        <x:v>1.75</x:v>
      </x:c>
      <x:c r="R324" t="n">
        <x:v>3.5</x:v>
      </x:c>
      <x:c r="S324" t="n">
        <x:v>2.625</x:v>
      </x:c>
      <x:c r="T324" t="str">
        <x:v>Black &amp; White Tepig 16/114 reverse holo. Recent NM sales vary roughly $1.5–5; PriceCharting ungraded around $3.18.</x:v>
      </x:c>
      <x:c r="U324" t="n">
        <x:v>899</x:v>
      </x:c>
      <x:c r="V324" t="str">
        <x:v>Current chat continuation / researched 2026-08-15</x:v>
      </x:c>
      <x:c r="W324" t="str">
        <x:v>https://www.pricecharting.com/game/pokemon-black-%26-white/tepig-reverse-holo-16</x:v>
      </x:c>
    </x:row>
    <x:row r="325">
      <x:c r="A325" t="n">
        <x:v>324</x:v>
      </x:c>
      <x:c r="B325" t="str">
        <x:v>Fire / Commons</x:v>
      </x:c>
      <x:c r="C325" t="str">
        <x:v>Tepig</x:v>
      </x:c>
      <x:c r="D325" t="str">
        <x:v>16/114</x:v>
      </x:c>
      <x:c r="E325" t="str">
        <x:v>Black &amp; White</x:v>
      </x:c>
      <x:c r="F325" t="n">
        <x:v>2011</x:v>
      </x:c>
      <x:c r="G325" t="str">
        <x:v>Reverse Holo</x:v>
      </x:c>
      <x:c r="H325" t="str">
        <x:v>2 of 2</x:v>
      </x:c>
      <x:c r="I325" t="n">
        <x:v>1.75</x:v>
      </x:c>
      <x:c r="J325" t="n">
        <x:v>3.5</x:v>
      </x:c>
      <x:c r="K325" t="n">
        <x:v>2.625</x:v>
      </x:c>
      <x:c r="L325" t="str">
        <x:v>$1–5</x:v>
      </x:c>
      <x:c r="M325" t="str">
        <x:v>Yes</x:v>
      </x:c>
      <x:c r="N325" t="str">
        <x:v>No</x:v>
      </x:c>
      <x:c r="O325" t="str">
        <x:v>Yes</x:v>
      </x:c>
      <x:c r="P325" t="str">
        <x:v>Clean/NM benchmark unless noted</x:v>
      </x:c>
      <x:c r="Q325" t="n">
        <x:v>1.75</x:v>
      </x:c>
      <x:c r="R325" t="n">
        <x:v>3.5</x:v>
      </x:c>
      <x:c r="S325" t="n">
        <x:v>2.625</x:v>
      </x:c>
      <x:c r="T325" t="str">
        <x:v>Black &amp; White Tepig 16/114 reverse holo. Recent NM sales vary roughly $1.5–5; PriceCharting ungraded around $3.18.</x:v>
      </x:c>
      <x:c r="U325" t="n">
        <x:v>899</x:v>
      </x:c>
      <x:c r="V325" t="str">
        <x:v>Current chat continuation / researched 2026-08-15</x:v>
      </x:c>
      <x:c r="W325" t="str">
        <x:v>https://www.pricecharting.com/game/pokemon-black-%26-white/tepig-reverse-holo-16</x:v>
      </x:c>
    </x:row>
    <x:row r="326">
      <x:c r="A326" t="n">
        <x:v>325</x:v>
      </x:c>
      <x:c r="B326" t="str">
        <x:v>Fire / Commons</x:v>
      </x:c>
      <x:c r="C326" t="str">
        <x:v>Tepig</x:v>
      </x:c>
      <x:c r="D326" t="str">
        <x:v>24/149</x:v>
      </x:c>
      <x:c r="E326" t="str">
        <x:v>Boundaries Crossed</x:v>
      </x:c>
      <x:c r="F326" t="n">
        <x:v>2012</x:v>
      </x:c>
      <x:c r="G326" t="str">
        <x:v>Reverse Holo</x:v>
      </x:c>
      <x:c r="H326" t="str">
        <x:v>1 of 1</x:v>
      </x:c>
      <x:c r="I326" t="n">
        <x:v>4</x:v>
      </x:c>
      <x:c r="J326" t="n">
        <x:v>5.5</x:v>
      </x:c>
      <x:c r="K326" t="n">
        <x:v>4.75</x:v>
      </x:c>
      <x:c r="L326" t="str">
        <x:v>$1–5</x:v>
      </x:c>
      <x:c r="M326" t="str">
        <x:v>Yes</x:v>
      </x:c>
      <x:c r="N326" t="str">
        <x:v>No</x:v>
      </x:c>
      <x:c r="O326" t="str">
        <x:v>Yes</x:v>
      </x:c>
      <x:c r="P326" t="str">
        <x:v>Clean/NM benchmark unless noted</x:v>
      </x:c>
      <x:c r="Q326" t="n">
        <x:v>4</x:v>
      </x:c>
      <x:c r="R326" t="n">
        <x:v>5.5</x:v>
      </x:c>
      <x:c r="S326" t="n">
        <x:v>4.75</x:v>
      </x:c>
      <x:c r="T326" t="str">
        <x:v>Boundaries Crossed Tepig 24/149 reverse holo. Current trackers around $4.18–5.19 raw.</x:v>
      </x:c>
      <x:c r="U326" t="n">
        <x:v>899</x:v>
      </x:c>
      <x:c r="V326" t="str">
        <x:v>Current chat continuation / researched 2026-08-15</x:v>
      </x:c>
      <x:c r="W326" t="str">
        <x:v>https://www.pricecharting.com/game/pokemon-boundaries-crossed/tepig-reverse-holo-24</x:v>
      </x:c>
    </x:row>
    <x:row r="327">
      <x:c r="A327" t="n">
        <x:v>326</x:v>
      </x:c>
      <x:c r="B327" t="str">
        <x:v>Fire / Commons</x:v>
      </x:c>
      <x:c r="C327" t="str">
        <x:v>Torchic</x:v>
      </x:c>
      <x:c r="D327" t="str">
        <x:v>74/109</x:v>
      </x:c>
      <x:c r="E327" t="str">
        <x:v>World Championships 2004 — Blaziken Tech (Chris Fulop)</x:v>
      </x:c>
      <x:c r="F327" t="n">
        <x:v>2004</x:v>
      </x:c>
      <x:c r="G327" t="str">
        <x:v>World Championships replica</x:v>
      </x:c>
      <x:c r="H327" t="str">
        <x:v>1 of 2</x:v>
      </x:c>
      <x:c r="I327" t="n">
        <x:v>1.5</x:v>
      </x:c>
      <x:c r="J327" t="n">
        <x:v>3</x:v>
      </x:c>
      <x:c r="K327" t="n">
        <x:v>2.25</x:v>
      </x:c>
      <x:c r="L327" t="str">
        <x:v>$1–5</x:v>
      </x:c>
      <x:c r="M327" t="str">
        <x:v>Yes</x:v>
      </x:c>
      <x:c r="N327" t="str">
        <x:v>No</x:v>
      </x:c>
      <x:c r="O327" t="str">
        <x:v>Yes</x:v>
      </x:c>
      <x:c r="P327" t="str">
        <x:v>Clean/NM benchmark unless noted</x:v>
      </x:c>
      <x:c r="Q327" t="n">
        <x:v>1.5</x:v>
      </x:c>
      <x:c r="R327" t="n">
        <x:v>3</x:v>
      </x:c>
      <x:c r="S327" t="n">
        <x:v>2.25</x:v>
      </x:c>
      <x:c r="T327" t="str">
        <x:v>2004 World Championships replica from Chris Fulop's 'Blaziken Tech' deck, using the EX Ruby &amp; Sapphire Torchic 74/109 card. Different gray World Championships back / player-signature treatment. Current market evidence supports roughly $1.50–3.00 raw NM.</x:v>
      </x:c>
      <x:c r="U327" t="n">
        <x:v>900</x:v>
      </x:c>
      <x:c r="V327" t="str">
        <x:v>Current chat continuation / World Championships correction 2026-08-15</x:v>
      </x:c>
      <x:c r="W327" t="str">
        <x:v>https://tier1games.com/products/torchic-74-109-blaziken-tech-world-championships-2004</x:v>
      </x:c>
    </x:row>
    <x:row r="328">
      <x:c r="A328" t="n">
        <x:v>327</x:v>
      </x:c>
      <x:c r="B328" t="str">
        <x:v>Fire / Commons</x:v>
      </x:c>
      <x:c r="C328" t="str">
        <x:v>Torchic</x:v>
      </x:c>
      <x:c r="D328" t="str">
        <x:v>74/109</x:v>
      </x:c>
      <x:c r="E328" t="str">
        <x:v>World Championships 2004 — Blaziken Tech (Chris Fulop)</x:v>
      </x:c>
      <x:c r="F328" t="n">
        <x:v>2004</x:v>
      </x:c>
      <x:c r="G328" t="str">
        <x:v>World Championships replica</x:v>
      </x:c>
      <x:c r="H328" t="str">
        <x:v>2 of 2</x:v>
      </x:c>
      <x:c r="I328" t="n">
        <x:v>1.5</x:v>
      </x:c>
      <x:c r="J328" t="n">
        <x:v>3</x:v>
      </x:c>
      <x:c r="K328" t="n">
        <x:v>2.25</x:v>
      </x:c>
      <x:c r="L328" t="str">
        <x:v>$1–5</x:v>
      </x:c>
      <x:c r="M328" t="str">
        <x:v>Yes</x:v>
      </x:c>
      <x:c r="N328" t="str">
        <x:v>No</x:v>
      </x:c>
      <x:c r="O328" t="str">
        <x:v>Yes</x:v>
      </x:c>
      <x:c r="P328" t="str">
        <x:v>Clean/NM benchmark unless noted</x:v>
      </x:c>
      <x:c r="Q328" t="n">
        <x:v>1.5</x:v>
      </x:c>
      <x:c r="R328" t="n">
        <x:v>3</x:v>
      </x:c>
      <x:c r="S328" t="n">
        <x:v>2.25</x:v>
      </x:c>
      <x:c r="T328" t="str">
        <x:v>2004 World Championships replica from Chris Fulop's 'Blaziken Tech' deck, using the EX Ruby &amp; Sapphire Torchic 74/109 card. Different gray World Championships back / player-signature treatment. Current market evidence supports roughly $1.50–3.00 raw NM.</x:v>
      </x:c>
      <x:c r="U328" t="n">
        <x:v>900</x:v>
      </x:c>
      <x:c r="V328" t="str">
        <x:v>Current chat continuation / World Championships correction 2026-08-15</x:v>
      </x:c>
      <x:c r="W328" t="str">
        <x:v>https://tier1games.com/products/torchic-74-109-blaziken-tech-world-championships-2004</x:v>
      </x:c>
    </x:row>
    <x:row r="329">
      <x:c r="A329" t="n">
        <x:v>328</x:v>
      </x:c>
      <x:c r="B329" t="str">
        <x:v>Fire / Commons</x:v>
      </x:c>
      <x:c r="C329" t="str">
        <x:v>Torchic</x:v>
      </x:c>
      <x:c r="D329" t="str">
        <x:v>RC5/RC25</x:v>
      </x:c>
      <x:c r="E329" t="str">
        <x:v>Legendary Treasures: Radiant Collection</x:v>
      </x:c>
      <x:c r="F329" t="n">
        <x:v>2013</x:v>
      </x:c>
      <x:c r="G329" t="str">
        <x:v>Holofoil</x:v>
      </x:c>
      <x:c r="H329" t="str">
        <x:v>1 of 3</x:v>
      </x:c>
      <x:c r="I329" t="n">
        <x:v>7</x:v>
      </x:c>
      <x:c r="J329" t="n">
        <x:v>8.5</x:v>
      </x:c>
      <x:c r="K329" t="n">
        <x:v>7.75</x:v>
      </x:c>
      <x:c r="L329" t="str">
        <x:v>$5–20</x:v>
      </x:c>
      <x:c r="M329" t="str">
        <x:v>Yes</x:v>
      </x:c>
      <x:c r="N329" t="str">
        <x:v>No</x:v>
      </x:c>
      <x:c r="O329" t="str">
        <x:v>Yes</x:v>
      </x:c>
      <x:c r="P329" t="str">
        <x:v>Clean/NM benchmark unless noted</x:v>
      </x:c>
      <x:c r="Q329" t="n">
        <x:v>7</x:v>
      </x:c>
      <x:c r="R329" t="n">
        <x:v>8.5</x:v>
      </x:c>
      <x:c r="S329" t="n">
        <x:v>7.75</x:v>
      </x:c>
      <x:c r="T329" t="str">
        <x:v>Legendary Treasures Radiant Collection Torchic RC5/RC25 holofoil. TCGplayer market about $8.03 NM at research time.</x:v>
      </x:c>
      <x:c r="U329" t="n">
        <x:v>900</x:v>
      </x:c>
      <x:c r="V329" t="str">
        <x:v>Current chat continuation / researched 2026-08-15</x:v>
      </x:c>
      <x:c r="W329" t="str">
        <x:v>https://www.tcgplayer.com/search/pokemon/legendary-treasures-radiant-collection?page=1&amp;productLineName=pokemon&amp;productTypeName=Cards&amp;setName=legendary-treasures-radiant-collection&amp;view=grid</x:v>
      </x:c>
    </x:row>
    <x:row r="330">
      <x:c r="A330" t="n">
        <x:v>329</x:v>
      </x:c>
      <x:c r="B330" t="str">
        <x:v>Fire / Commons</x:v>
      </x:c>
      <x:c r="C330" t="str">
        <x:v>Torchic</x:v>
      </x:c>
      <x:c r="D330" t="str">
        <x:v>RC5/RC25</x:v>
      </x:c>
      <x:c r="E330" t="str">
        <x:v>Legendary Treasures: Radiant Collection</x:v>
      </x:c>
      <x:c r="F330" t="n">
        <x:v>2013</x:v>
      </x:c>
      <x:c r="G330" t="str">
        <x:v>Holofoil</x:v>
      </x:c>
      <x:c r="H330" t="str">
        <x:v>2 of 3</x:v>
      </x:c>
      <x:c r="I330" t="n">
        <x:v>7</x:v>
      </x:c>
      <x:c r="J330" t="n">
        <x:v>8.5</x:v>
      </x:c>
      <x:c r="K330" t="n">
        <x:v>7.75</x:v>
      </x:c>
      <x:c r="L330" t="str">
        <x:v>$5–20</x:v>
      </x:c>
      <x:c r="M330" t="str">
        <x:v>Yes</x:v>
      </x:c>
      <x:c r="N330" t="str">
        <x:v>No</x:v>
      </x:c>
      <x:c r="O330" t="str">
        <x:v>Yes</x:v>
      </x:c>
      <x:c r="P330" t="str">
        <x:v>Clean/NM benchmark unless noted</x:v>
      </x:c>
      <x:c r="Q330" t="n">
        <x:v>7</x:v>
      </x:c>
      <x:c r="R330" t="n">
        <x:v>8.5</x:v>
      </x:c>
      <x:c r="S330" t="n">
        <x:v>7.75</x:v>
      </x:c>
      <x:c r="T330" t="str">
        <x:v>Legendary Treasures Radiant Collection Torchic RC5/RC25 holofoil. TCGplayer market about $8.03 NM at research time.</x:v>
      </x:c>
      <x:c r="U330" t="n">
        <x:v>900</x:v>
      </x:c>
      <x:c r="V330" t="str">
        <x:v>Current chat continuation / researched 2026-08-15</x:v>
      </x:c>
      <x:c r="W330" t="str">
        <x:v>https://www.tcgplayer.com/search/pokemon/legendary-treasures-radiant-collection?page=1&amp;productLineName=pokemon&amp;productTypeName=Cards&amp;setName=legendary-treasures-radiant-collection&amp;view=grid</x:v>
      </x:c>
    </x:row>
    <x:row r="331">
      <x:c r="A331" t="n">
        <x:v>330</x:v>
      </x:c>
      <x:c r="B331" t="str">
        <x:v>Fire / Commons</x:v>
      </x:c>
      <x:c r="C331" t="str">
        <x:v>Torchic</x:v>
      </x:c>
      <x:c r="D331" t="str">
        <x:v>RC5/RC25</x:v>
      </x:c>
      <x:c r="E331" t="str">
        <x:v>Legendary Treasures: Radiant Collection</x:v>
      </x:c>
      <x:c r="F331" t="n">
        <x:v>2013</x:v>
      </x:c>
      <x:c r="G331" t="str">
        <x:v>Holofoil</x:v>
      </x:c>
      <x:c r="H331" t="str">
        <x:v>3 of 3</x:v>
      </x:c>
      <x:c r="I331" t="n">
        <x:v>7</x:v>
      </x:c>
      <x:c r="J331" t="n">
        <x:v>8.5</x:v>
      </x:c>
      <x:c r="K331" t="n">
        <x:v>7.75</x:v>
      </x:c>
      <x:c r="L331" t="str">
        <x:v>$5–20</x:v>
      </x:c>
      <x:c r="M331" t="str">
        <x:v>Yes</x:v>
      </x:c>
      <x:c r="N331" t="str">
        <x:v>No</x:v>
      </x:c>
      <x:c r="O331" t="str">
        <x:v>Yes</x:v>
      </x:c>
      <x:c r="P331" t="str">
        <x:v>Clean/NM benchmark unless noted</x:v>
      </x:c>
      <x:c r="Q331" t="n">
        <x:v>7</x:v>
      </x:c>
      <x:c r="R331" t="n">
        <x:v>8.5</x:v>
      </x:c>
      <x:c r="S331" t="n">
        <x:v>7.75</x:v>
      </x:c>
      <x:c r="T331" t="str">
        <x:v>Legendary Treasures Radiant Collection Torchic RC5/RC25 holofoil. TCGplayer market about $8.03 NM at research time.</x:v>
      </x:c>
      <x:c r="U331" t="n">
        <x:v>900</x:v>
      </x:c>
      <x:c r="V331" t="str">
        <x:v>Current chat continuation / researched 2026-08-15</x:v>
      </x:c>
      <x:c r="W331" t="str">
        <x:v>https://www.tcgplayer.com/search/pokemon/legendary-treasures-radiant-collection?page=1&amp;productLineName=pokemon&amp;productTypeName=Cards&amp;setName=legendary-treasures-radiant-collection&amp;view=grid</x:v>
      </x:c>
    </x:row>
    <x:row r="332">
      <x:c r="A332" t="n">
        <x:v>331</x:v>
      </x:c>
      <x:c r="B332" t="str">
        <x:v>Fire / Commons</x:v>
      </x:c>
      <x:c r="C332" t="str">
        <x:v>Pignite</x:v>
      </x:c>
      <x:c r="D332" t="str">
        <x:v>4/12</x:v>
      </x:c>
      <x:c r="E332" t="str">
        <x:v>McDonald's Promos 2012</x:v>
      </x:c>
      <x:c r="F332" t="n">
        <x:v>2012</x:v>
      </x:c>
      <x:c r="G332" t="str">
        <x:v>Holofoil Promo</x:v>
      </x:c>
      <x:c r="H332" t="str">
        <x:v>1 of 1</x:v>
      </x:c>
      <x:c r="I332" t="n">
        <x:v>12</x:v>
      </x:c>
      <x:c r="J332" t="n">
        <x:v>15</x:v>
      </x:c>
      <x:c r="K332" t="n">
        <x:v>13.5</x:v>
      </x:c>
      <x:c r="L332" t="str">
        <x:v>$5–20</x:v>
      </x:c>
      <x:c r="M332" t="str">
        <x:v>Yes</x:v>
      </x:c>
      <x:c r="N332" t="str">
        <x:v>Yes</x:v>
      </x:c>
      <x:c r="O332" t="str">
        <x:v>Yes</x:v>
      </x:c>
      <x:c r="P332" t="str">
        <x:v>Clean/NM benchmark unless noted</x:v>
      </x:c>
      <x:c r="Q332" t="n">
        <x:v>12</x:v>
      </x:c>
      <x:c r="R332" t="n">
        <x:v>15</x:v>
      </x:c>
      <x:c r="S332" t="n">
        <x:v>13.5</x:v>
      </x:c>
      <x:c r="T332" t="str">
        <x:v>2012 McDonald's promo Pignite 4/12 holofoil. TCGplayer NM market about $13.19.</x:v>
      </x:c>
      <x:c r="U332" t="n">
        <x:v>901</x:v>
      </x:c>
      <x:c r="V332" t="str">
        <x:v>Current chat continuation / researched 2026-08-15</x:v>
      </x:c>
      <x:c r="W332" t="str">
        <x:v>https://www.tcgplayer.com/categories/trading-and-collectible-card-games/pokemon/price-guides/mcdonalds-promos-2012</x:v>
      </x:c>
    </x:row>
    <x:row r="333">
      <x:c r="A333" t="n">
        <x:v>332</x:v>
      </x:c>
      <x:c r="B333" t="str">
        <x:v>Fire / Commons</x:v>
      </x:c>
      <x:c r="C333" t="str">
        <x:v>Chimchar</x:v>
      </x:c>
      <x:c r="D333" t="str">
        <x:v>97/147</x:v>
      </x:c>
      <x:c r="E333" t="str">
        <x:v>Supreme Victors</x:v>
      </x:c>
      <x:c r="F333" t="n">
        <x:v>2009</x:v>
      </x:c>
      <x:c r="G333" t="str">
        <x:v>Regular</x:v>
      </x:c>
      <x:c r="H333" t="str">
        <x:v>1 of 1</x:v>
      </x:c>
      <x:c r="I333" t="n">
        <x:v>0.35</x:v>
      </x:c>
      <x:c r="J333" t="n">
        <x:v>0.65</x:v>
      </x:c>
      <x:c r="K333" t="n">
        <x:v>0.5</x:v>
      </x:c>
      <x:c r="L333" t="str">
        <x:v>&lt;$1</x:v>
      </x:c>
      <x:c r="M333" t="str">
        <x:v>Yes</x:v>
      </x:c>
      <x:c r="N333" t="str">
        <x:v>No</x:v>
      </x:c>
      <x:c r="O333" t="str">
        <x:v>No</x:v>
      </x:c>
      <x:c r="P333" t="str">
        <x:v>Clean/NM benchmark unless noted</x:v>
      </x:c>
      <x:c r="Q333" t="n">
        <x:v>0.35</x:v>
      </x:c>
      <x:c r="R333" t="n">
        <x:v>0.65</x:v>
      </x:c>
      <x:c r="S333" t="n">
        <x:v>0.5</x:v>
      </x:c>
      <x:c r="T333" t="str">
        <x:v>Chimchar LV.11 97/147 regular. TCGplayer NM market about $0.48; sleeved due to age/clean condition.</x:v>
      </x:c>
      <x:c r="U333" t="n">
        <x:v>901</x:v>
      </x:c>
      <x:c r="V333" t="str">
        <x:v>Current chat continuation / researched 2026-08-15</x:v>
      </x:c>
      <x:c r="W333" t="str">
        <x:v>https://www.tcgplayer.com/search/pokemon/product?Language=English&amp;page=1&amp;productLineName=pokemon&amp;productName=Chimchar&amp;view=grid</x:v>
      </x:c>
    </x:row>
    <x:row r="334">
      <x:c r="A334" t="n">
        <x:v>333</x:v>
      </x:c>
      <x:c r="B334" t="str">
        <x:v>Fire / Commons</x:v>
      </x:c>
      <x:c r="C334" t="str">
        <x:v>Chimchar</x:v>
      </x:c>
      <x:c r="D334" t="str">
        <x:v>15/135</x:v>
      </x:c>
      <x:c r="E334" t="str">
        <x:v>Plasma Storm</x:v>
      </x:c>
      <x:c r="F334" t="n">
        <x:v>2013</x:v>
      </x:c>
      <x:c r="G334" t="str">
        <x:v>Reverse Holo</x:v>
      </x:c>
      <x:c r="H334" t="str">
        <x:v>1 of 1</x:v>
      </x:c>
      <x:c r="I334" t="n">
        <x:v>3</x:v>
      </x:c>
      <x:c r="J334" t="n">
        <x:v>4</x:v>
      </x:c>
      <x:c r="K334" t="n">
        <x:v>3.5</x:v>
      </x:c>
      <x:c r="L334" t="str">
        <x:v>$1–5</x:v>
      </x:c>
      <x:c r="M334" t="str">
        <x:v>Yes</x:v>
      </x:c>
      <x:c r="N334" t="str">
        <x:v>No</x:v>
      </x:c>
      <x:c r="O334" t="str">
        <x:v>Yes</x:v>
      </x:c>
      <x:c r="P334" t="str">
        <x:v>Clean/NM benchmark unless noted</x:v>
      </x:c>
      <x:c r="Q334" t="n">
        <x:v>3</x:v>
      </x:c>
      <x:c r="R334" t="n">
        <x:v>4</x:v>
      </x:c>
      <x:c r="S334" t="n">
        <x:v>3.5</x:v>
      </x:c>
      <x:c r="T334" t="str">
        <x:v>Plasma Storm Chimchar 15/135 reverse holo. TCGplayer NM price guide about $3.35.</x:v>
      </x:c>
      <x:c r="U334" t="n">
        <x:v>901</x:v>
      </x:c>
      <x:c r="V334" t="str">
        <x:v>Current chat continuation / researched 2026-08-15</x:v>
      </x:c>
      <x:c r="W334" t="str">
        <x:v>https://www.tcgplayer.com/categories/trading-and-collectible-card-games/pokemon/price-guides/plasma-storm</x:v>
      </x:c>
    </x:row>
    <x:row r="335">
      <x:c r="A335" t="n">
        <x:v>334</x:v>
      </x:c>
      <x:c r="B335" t="str">
        <x:v>Fire / Commons</x:v>
      </x:c>
      <x:c r="C335" t="str">
        <x:v>Pansear</x:v>
      </x:c>
      <x:c r="D335" t="str">
        <x:v>18/98</x:v>
      </x:c>
      <x:c r="E335" t="str">
        <x:v>Emerging Powers</x:v>
      </x:c>
      <x:c r="F335" t="n">
        <x:v>2011</x:v>
      </x:c>
      <x:c r="G335" t="str">
        <x:v>Reverse Holo</x:v>
      </x:c>
      <x:c r="H335" t="str">
        <x:v>1 of 1</x:v>
      </x:c>
      <x:c r="I335" t="n">
        <x:v>0.9</x:v>
      </x:c>
      <x:c r="J335" t="n">
        <x:v>1.6</x:v>
      </x:c>
      <x:c r="K335" t="n">
        <x:v>1.25</x:v>
      </x:c>
      <x:c r="L335" t="str">
        <x:v>$1–5</x:v>
      </x:c>
      <x:c r="M335" t="str">
        <x:v>Yes</x:v>
      </x:c>
      <x:c r="N335" t="str">
        <x:v>No</x:v>
      </x:c>
      <x:c r="O335" t="str">
        <x:v>Yes</x:v>
      </x:c>
      <x:c r="P335" t="str">
        <x:v>Clean/NM benchmark unless noted</x:v>
      </x:c>
      <x:c r="Q335" t="n">
        <x:v>0.9</x:v>
      </x:c>
      <x:c r="R335" t="n">
        <x:v>1.6</x:v>
      </x:c>
      <x:c r="S335" t="n">
        <x:v>1.25</x:v>
      </x:c>
      <x:c r="T335" t="str">
        <x:v>Emerging Powers Pansear 18/98 reverse holo. Recent raw market around $1.2–1.4.</x:v>
      </x:c>
      <x:c r="U335" t="n">
        <x:v>902</x:v>
      </x:c>
      <x:c r="V335" t="str">
        <x:v>Current chat continuation / researched 2026-08-15</x:v>
      </x:c>
      <x:c r="W335" t="str">
        <x:v>https://www.pricecharting.com/game/pokemon-emerging-powers/pansear-reverse-holo-18</x:v>
      </x:c>
    </x:row>
    <x:row r="336">
      <x:c r="A336" t="n">
        <x:v>335</x:v>
      </x:c>
      <x:c r="B336" t="str">
        <x:v>Fire / Commons</x:v>
      </x:c>
      <x:c r="C336" t="str">
        <x:v>Houndour</x:v>
      </x:c>
      <x:c r="D336" t="str">
        <x:v>59/109</x:v>
      </x:c>
      <x:c r="E336" t="str">
        <x:v>EX Team Rocket Returns</x:v>
      </x:c>
      <x:c r="F336" t="n">
        <x:v>2004</x:v>
      </x:c>
      <x:c r="G336" t="str">
        <x:v>Regular</x:v>
      </x:c>
      <x:c r="H336" t="str">
        <x:v>1 of 1</x:v>
      </x:c>
      <x:c r="I336" t="n">
        <x:v>2.5</x:v>
      </x:c>
      <x:c r="J336" t="n">
        <x:v>3.2</x:v>
      </x:c>
      <x:c r="K336" t="n">
        <x:v>2.85</x:v>
      </x:c>
      <x:c r="L336" t="str">
        <x:v>$1–5</x:v>
      </x:c>
      <x:c r="M336" t="str">
        <x:v>Yes</x:v>
      </x:c>
      <x:c r="N336" t="str">
        <x:v>No</x:v>
      </x:c>
      <x:c r="O336" t="str">
        <x:v>Yes</x:v>
      </x:c>
      <x:c r="P336" t="str">
        <x:v>Clean/NM benchmark unless noted</x:v>
      </x:c>
      <x:c r="Q336" t="n">
        <x:v>2.5</x:v>
      </x:c>
      <x:c r="R336" t="n">
        <x:v>3.2</x:v>
      </x:c>
      <x:c r="S336" t="n">
        <x:v>2.85</x:v>
      </x:c>
      <x:c r="T336" t="str">
        <x:v>EX Team Rocket Returns Houndour 59/109 regular. Identified from Fire sorting; TCGplayer market about $2.86 NM.</x:v>
      </x:c>
      <x:c r="U336" t="n">
        <x:v>902</x:v>
      </x:c>
      <x:c r="V336" t="str">
        <x:v>Current chat continuation / researched 2026-08-15</x:v>
      </x:c>
      <x:c r="W336" t="str">
        <x:v>https://www.tcgplayer.com/search/pokemon/product?productLineName=pokemon&amp;q=Houndour+Team+Rocket+Returns</x:v>
      </x:c>
    </x:row>
    <x:row r="337">
      <x:c r="A337" t="n">
        <x:v>336</x:v>
      </x:c>
      <x:c r="B337" t="str">
        <x:v>Fire / Commons</x:v>
      </x:c>
      <x:c r="C337" t="str">
        <x:v>Vulpix</x:v>
      </x:c>
      <x:c r="D337" t="str">
        <x:v>18/124</x:v>
      </x:c>
      <x:c r="E337" t="str">
        <x:v>Dragons Exalted</x:v>
      </x:c>
      <x:c r="F337" t="n">
        <x:v>2012</x:v>
      </x:c>
      <x:c r="G337" t="str">
        <x:v>Reverse Holo</x:v>
      </x:c>
      <x:c r="H337" t="str">
        <x:v>1 of 1</x:v>
      </x:c>
      <x:c r="I337" t="n">
        <x:v>14</x:v>
      </x:c>
      <x:c r="J337" t="n">
        <x:v>17</x:v>
      </x:c>
      <x:c r="K337" t="n">
        <x:v>15.5</x:v>
      </x:c>
      <x:c r="L337" t="str">
        <x:v>$5–20</x:v>
      </x:c>
      <x:c r="M337" t="str">
        <x:v>Yes</x:v>
      </x:c>
      <x:c r="N337" t="str">
        <x:v>Yes</x:v>
      </x:c>
      <x:c r="O337" t="str">
        <x:v>Yes</x:v>
      </x:c>
      <x:c r="P337" t="str">
        <x:v>Clean/NM benchmark unless noted</x:v>
      </x:c>
      <x:c r="Q337" t="n">
        <x:v>14</x:v>
      </x:c>
      <x:c r="R337" t="n">
        <x:v>17</x:v>
      </x:c>
      <x:c r="S337" t="n">
        <x:v>15.5</x:v>
      </x:c>
      <x:c r="T337" t="str">
        <x:v>Dragons Exalted Vulpix 18/124 reverse holo. TCGplayer NM price guide about $15.74.</x:v>
      </x:c>
      <x:c r="U337" t="n">
        <x:v>903</x:v>
      </x:c>
      <x:c r="V337" t="str">
        <x:v>Current chat continuation / researched 2026-08-15</x:v>
      </x:c>
      <x:c r="W337" t="str">
        <x:v>https://www.tcgplayer.com/categories/trading-collectible-card-games/pokemon/price-guides/dragons-exalted</x:v>
      </x:c>
    </x:row>
    <x:row r="338">
      <x:c r="A338" t="n">
        <x:v>337</x:v>
      </x:c>
      <x:c r="B338" t="str">
        <x:v>Fire / Commons</x:v>
      </x:c>
      <x:c r="C338" t="str">
        <x:v>Magmar</x:v>
      </x:c>
      <x:c r="D338" t="str">
        <x:v>20/124</x:v>
      </x:c>
      <x:c r="E338" t="str">
        <x:v>Dragons Exalted</x:v>
      </x:c>
      <x:c r="F338" t="n">
        <x:v>2012</x:v>
      </x:c>
      <x:c r="G338" t="str">
        <x:v>Reverse Holo</x:v>
      </x:c>
      <x:c r="H338" t="str">
        <x:v>1 of 1</x:v>
      </x:c>
      <x:c r="I338" t="n">
        <x:v>3.5</x:v>
      </x:c>
      <x:c r="J338" t="n">
        <x:v>4.1</x:v>
      </x:c>
      <x:c r="K338" t="n">
        <x:v>3.8</x:v>
      </x:c>
      <x:c r="L338" t="str">
        <x:v>$1–5</x:v>
      </x:c>
      <x:c r="M338" t="str">
        <x:v>Yes</x:v>
      </x:c>
      <x:c r="N338" t="str">
        <x:v>No</x:v>
      </x:c>
      <x:c r="O338" t="str">
        <x:v>Yes</x:v>
      </x:c>
      <x:c r="P338" t="str">
        <x:v>Clean/NM benchmark unless noted</x:v>
      </x:c>
      <x:c r="Q338" t="n">
        <x:v>3.5</x:v>
      </x:c>
      <x:c r="R338" t="n">
        <x:v>4.1</x:v>
      </x:c>
      <x:c r="S338" t="n">
        <x:v>3.8</x:v>
      </x:c>
      <x:c r="T338" t="str">
        <x:v>Dragons Exalted Magmar 20/124 reverse holo. TCGplayer NM price guide about $3.79.</x:v>
      </x:c>
      <x:c r="U338" t="n">
        <x:v>903</x:v>
      </x:c>
      <x:c r="V338" t="str">
        <x:v>Current chat continuation / researched 2026-08-15</x:v>
      </x:c>
      <x:c r="W338" t="str">
        <x:v>https://www.tcgplayer.com/categories/trading-collectible-card-games/pokemon/price-guides/dragons-exalted</x:v>
      </x:c>
    </x:row>
    <x:row r="339">
      <x:c r="A339" t="n">
        <x:v>338</x:v>
      </x:c>
      <x:c r="B339" t="str">
        <x:v>Fire / Commons</x:v>
      </x:c>
      <x:c r="C339" t="str">
        <x:v>Numel</x:v>
      </x:c>
      <x:c r="D339" t="str">
        <x:v>21/149</x:v>
      </x:c>
      <x:c r="E339" t="str">
        <x:v>Boundaries Crossed</x:v>
      </x:c>
      <x:c r="F339" t="n">
        <x:v>2012</x:v>
      </x:c>
      <x:c r="G339" t="str">
        <x:v>Reverse Holo</x:v>
      </x:c>
      <x:c r="H339" t="str">
        <x:v>1 of 2</x:v>
      </x:c>
      <x:c r="I339" t="n">
        <x:v>0.55</x:v>
      </x:c>
      <x:c r="J339" t="n">
        <x:v>0.85</x:v>
      </x:c>
      <x:c r="K339" t="n">
        <x:v>0.7</x:v>
      </x:c>
      <x:c r="L339" t="str">
        <x:v>&lt;$1</x:v>
      </x:c>
      <x:c r="M339" t="str">
        <x:v>Yes</x:v>
      </x:c>
      <x:c r="N339" t="str">
        <x:v>No</x:v>
      </x:c>
      <x:c r="O339" t="str">
        <x:v>No</x:v>
      </x:c>
      <x:c r="P339" t="str">
        <x:v>Clean/NM benchmark unless noted</x:v>
      </x:c>
      <x:c r="Q339" t="n">
        <x:v>0.55</x:v>
      </x:c>
      <x:c r="R339" t="n">
        <x:v>0.85</x:v>
      </x:c>
      <x:c r="S339" t="n">
        <x:v>0.7</x:v>
      </x:c>
      <x:c r="T339" t="str">
        <x:v>Boundaries Crossed Numel 21/149 reverse holo. TCGplayer NM price guide about $0.70.</x:v>
      </x:c>
      <x:c r="U339" t="n">
        <x:v>903</x:v>
      </x:c>
      <x:c r="V339" t="str">
        <x:v>Current chat continuation / researched 2026-08-15</x:v>
      </x:c>
      <x:c r="W339" t="str">
        <x:v>https://www.tcgplayer.com/categories/trading-collectible-card-games/pokemon/price-guides/boundaries-crossed</x:v>
      </x:c>
    </x:row>
    <x:row r="340">
      <x:c r="A340" t="n">
        <x:v>339</x:v>
      </x:c>
      <x:c r="B340" t="str">
        <x:v>Fire / Commons</x:v>
      </x:c>
      <x:c r="C340" t="str">
        <x:v>Numel</x:v>
      </x:c>
      <x:c r="D340" t="str">
        <x:v>21/149</x:v>
      </x:c>
      <x:c r="E340" t="str">
        <x:v>Boundaries Crossed</x:v>
      </x:c>
      <x:c r="F340" t="n">
        <x:v>2012</x:v>
      </x:c>
      <x:c r="G340" t="str">
        <x:v>Reverse Holo</x:v>
      </x:c>
      <x:c r="H340" t="str">
        <x:v>2 of 2</x:v>
      </x:c>
      <x:c r="I340" t="n">
        <x:v>0.55</x:v>
      </x:c>
      <x:c r="J340" t="n">
        <x:v>0.85</x:v>
      </x:c>
      <x:c r="K340" t="n">
        <x:v>0.7</x:v>
      </x:c>
      <x:c r="L340" t="str">
        <x:v>&lt;$1</x:v>
      </x:c>
      <x:c r="M340" t="str">
        <x:v>Yes</x:v>
      </x:c>
      <x:c r="N340" t="str">
        <x:v>No</x:v>
      </x:c>
      <x:c r="O340" t="str">
        <x:v>No</x:v>
      </x:c>
      <x:c r="P340" t="str">
        <x:v>Clean/NM benchmark unless noted</x:v>
      </x:c>
      <x:c r="Q340" t="n">
        <x:v>0.55</x:v>
      </x:c>
      <x:c r="R340" t="n">
        <x:v>0.85</x:v>
      </x:c>
      <x:c r="S340" t="n">
        <x:v>0.7</x:v>
      </x:c>
      <x:c r="T340" t="str">
        <x:v>Boundaries Crossed Numel 21/149 reverse holo. TCGplayer NM price guide about $0.70.</x:v>
      </x:c>
      <x:c r="U340" t="n">
        <x:v>903</x:v>
      </x:c>
      <x:c r="V340" t="str">
        <x:v>Current chat continuation / researched 2026-08-15</x:v>
      </x:c>
      <x:c r="W340" t="str">
        <x:v>https://www.tcgplayer.com/categories/trading-collectible-card-games/pokemon/price-guides/boundaries-crossed</x:v>
      </x:c>
    </x:row>
    <x:row r="341">
      <x:c r="A341" t="n">
        <x:v>340</x:v>
      </x:c>
      <x:c r="B341" t="str">
        <x:v>Fire / Commons</x:v>
      </x:c>
      <x:c r="C341" t="str">
        <x:v>Pansear</x:v>
      </x:c>
      <x:c r="D341" t="str">
        <x:v>15/99</x:v>
      </x:c>
      <x:c r="E341" t="str">
        <x:v>Next Destinies</x:v>
      </x:c>
      <x:c r="F341" t="n">
        <x:v>2012</x:v>
      </x:c>
      <x:c r="G341" t="str">
        <x:v>Reverse Holo</x:v>
      </x:c>
      <x:c r="H341" t="str">
        <x:v>1 of 1</x:v>
      </x:c>
      <x:c r="I341" t="n">
        <x:v>0.7</x:v>
      </x:c>
      <x:c r="J341" t="n">
        <x:v>1.1</x:v>
      </x:c>
      <x:c r="K341" t="n">
        <x:v>0.9</x:v>
      </x:c>
      <x:c r="L341" t="str">
        <x:v>&lt;$1</x:v>
      </x:c>
      <x:c r="M341" t="str">
        <x:v>Yes</x:v>
      </x:c>
      <x:c r="N341" t="str">
        <x:v>No</x:v>
      </x:c>
      <x:c r="O341" t="str">
        <x:v>No</x:v>
      </x:c>
      <x:c r="P341" t="str">
        <x:v>Clean/NM benchmark unless noted</x:v>
      </x:c>
      <x:c r="Q341" t="n">
        <x:v>0.7</x:v>
      </x:c>
      <x:c r="R341" t="n">
        <x:v>1.1</x:v>
      </x:c>
      <x:c r="S341" t="n">
        <x:v>0.9</x:v>
      </x:c>
      <x:c r="T341" t="str">
        <x:v>Next Destinies Pansear 15/99 reverse holo. TCGplayer comp about $0.71; PriceCharting ungraded about $0.99, so kept below the $1+ logging cutoff.</x:v>
      </x:c>
      <x:c r="U341" t="n">
        <x:v>904</x:v>
      </x:c>
      <x:c r="V341" t="str">
        <x:v>Current chat continuation / researched 2026-08-15</x:v>
      </x:c>
      <x:c r="W341" t="str">
        <x:v>https://www.pricecharting.com/game/pokemon-next-destinies/pansear-reverse-holo-15</x:v>
      </x:c>
    </x:row>
    <x:row r="342">
      <x:c r="A342" t="n">
        <x:v>341</x:v>
      </x:c>
      <x:c r="B342" t="str">
        <x:v>Fire / Commons</x:v>
      </x:c>
      <x:c r="C342" t="str">
        <x:v>Larvesta</x:v>
      </x:c>
      <x:c r="D342" t="str">
        <x:v>20/108</x:v>
      </x:c>
      <x:c r="E342" t="str">
        <x:v>Dark Explorers</x:v>
      </x:c>
      <x:c r="F342" t="n">
        <x:v>2012</x:v>
      </x:c>
      <x:c r="G342" t="str">
        <x:v>Reverse Holo</x:v>
      </x:c>
      <x:c r="H342" t="str">
        <x:v>1 of 1</x:v>
      </x:c>
      <x:c r="I342" t="n">
        <x:v>2.25</x:v>
      </x:c>
      <x:c r="J342" t="n">
        <x:v>3</x:v>
      </x:c>
      <x:c r="K342" t="n">
        <x:v>2.625</x:v>
      </x:c>
      <x:c r="L342" t="str">
        <x:v>$1–5</x:v>
      </x:c>
      <x:c r="M342" t="str">
        <x:v>Yes</x:v>
      </x:c>
      <x:c r="N342" t="str">
        <x:v>No</x:v>
      </x:c>
      <x:c r="O342" t="str">
        <x:v>Yes</x:v>
      </x:c>
      <x:c r="P342" t="str">
        <x:v>Clean/NM benchmark unless noted</x:v>
      </x:c>
      <x:c r="Q342" t="n">
        <x:v>2.25</x:v>
      </x:c>
      <x:c r="R342" t="n">
        <x:v>3</x:v>
      </x:c>
      <x:c r="S342" t="n">
        <x:v>2.625</x:v>
      </x:c>
      <x:c r="T342" t="str">
        <x:v>Dark Explorers Larvesta 20/108 reverse holo. TCGplayer NM price guide about $2.66.</x:v>
      </x:c>
      <x:c r="U342" t="n">
        <x:v>904</x:v>
      </x:c>
      <x:c r="V342" t="str">
        <x:v>Current chat continuation / researched 2026-08-15</x:v>
      </x:c>
      <x:c r="W342" t="str">
        <x:v>https://www.tcgplayer.com/categories/trading-and-collectible-card-games/pokemon/price-guides/dark-explorers</x:v>
      </x:c>
    </x:row>
    <x:row r="343">
      <x:c r="A343" t="n">
        <x:v>342</x:v>
      </x:c>
      <x:c r="B343" t="str">
        <x:v>Fire / Commons</x:v>
      </x:c>
      <x:c r="C343" t="str">
        <x:v>Larvesta</x:v>
      </x:c>
      <x:c r="D343" t="str">
        <x:v>21/108</x:v>
      </x:c>
      <x:c r="E343" t="str">
        <x:v>Dark Explorers</x:v>
      </x:c>
      <x:c r="F343" t="n">
        <x:v>2012</x:v>
      </x:c>
      <x:c r="G343" t="str">
        <x:v>Reverse Holo</x:v>
      </x:c>
      <x:c r="H343" t="str">
        <x:v>1 of 1</x:v>
      </x:c>
      <x:c r="I343" t="n">
        <x:v>2.75</x:v>
      </x:c>
      <x:c r="J343" t="n">
        <x:v>3.5</x:v>
      </x:c>
      <x:c r="K343" t="n">
        <x:v>3.125</x:v>
      </x:c>
      <x:c r="L343" t="str">
        <x:v>$1–5</x:v>
      </x:c>
      <x:c r="M343" t="str">
        <x:v>Yes</x:v>
      </x:c>
      <x:c r="N343" t="str">
        <x:v>No</x:v>
      </x:c>
      <x:c r="O343" t="str">
        <x:v>Yes</x:v>
      </x:c>
      <x:c r="P343" t="str">
        <x:v>Clean/NM benchmark unless noted</x:v>
      </x:c>
      <x:c r="Q343" t="n">
        <x:v>2.75</x:v>
      </x:c>
      <x:c r="R343" t="n">
        <x:v>3.5</x:v>
      </x:c>
      <x:c r="S343" t="n">
        <x:v>3.125</x:v>
      </x:c>
      <x:c r="T343" t="str">
        <x:v>Dark Explorers Larvesta 21/108 reverse holo. TCGplayer NM price guide about $2.99.</x:v>
      </x:c>
      <x:c r="U343" t="n">
        <x:v>904</x:v>
      </x:c>
      <x:c r="V343" t="str">
        <x:v>Current chat continuation / researched 2026-08-15</x:v>
      </x:c>
      <x:c r="W343" t="str">
        <x:v>https://www.tcgplayer.com/categories/trading-and-collectible-card-games/pokemon/price-guides/dark-explorers</x:v>
      </x:c>
    </x:row>
    <x:row r="344">
      <x:c r="A344" t="n">
        <x:v>343</x:v>
      </x:c>
      <x:c r="B344" t="str">
        <x:v>Fire / Uncommons</x:v>
      </x:c>
      <x:c r="C344" t="str">
        <x:v>Flareon</x:v>
      </x:c>
      <x:c r="D344" t="str">
        <x:v>44/95</x:v>
      </x:c>
      <x:c r="E344" t="str">
        <x:v>Call of Legends</x:v>
      </x:c>
      <x:c r="F344" t="n">
        <x:v>2011</x:v>
      </x:c>
      <x:c r="G344" t="str">
        <x:v>Regular</x:v>
      </x:c>
      <x:c r="H344" t="str">
        <x:v>1 of 1</x:v>
      </x:c>
      <x:c r="I344" t="n">
        <x:v>6.5</x:v>
      </x:c>
      <x:c r="J344" t="n">
        <x:v>8.5</x:v>
      </x:c>
      <x:c r="K344" t="n">
        <x:v>7.5</x:v>
      </x:c>
      <x:c r="L344" t="str">
        <x:v>$5–20</x:v>
      </x:c>
      <x:c r="M344" t="str">
        <x:v>Yes</x:v>
      </x:c>
      <x:c r="N344" t="str">
        <x:v>No</x:v>
      </x:c>
      <x:c r="O344" t="str">
        <x:v>Yes</x:v>
      </x:c>
      <x:c r="P344" t="str">
        <x:v>Clean/NM benchmark unless noted</x:v>
      </x:c>
      <x:c r="Q344" t="n">
        <x:v>6.5</x:v>
      </x:c>
      <x:c r="R344" t="n">
        <x:v>8.5</x:v>
      </x:c>
      <x:c r="S344" t="n">
        <x:v>7.5</x:v>
      </x:c>
      <x:c r="T344" t="str">
        <x:v>Call of Legends Flareon 44/95 regular. Current TCGplayer market roughly $7–8.</x:v>
      </x:c>
      <x:c r="U344" t="n">
        <x:v>905</x:v>
      </x:c>
      <x:c r="V344" t="str">
        <x:v>Current chat continuation / researched 2026-08-15</x:v>
      </x:c>
      <x:c r="W344" t="str">
        <x:v>https://www.tcgplayer.com/search/pokemon/call-of-legends?productLineName=pokemon&amp;setName=call-of-legends</x:v>
      </x:c>
    </x:row>
    <x:row r="345">
      <x:c r="A345" t="n">
        <x:v>344</x:v>
      </x:c>
      <x:c r="B345" t="str">
        <x:v>Fire / Uncommons</x:v>
      </x:c>
      <x:c r="C345" t="str">
        <x:v>Flareon</x:v>
      </x:c>
      <x:c r="D345" t="str">
        <x:v>44/95</x:v>
      </x:c>
      <x:c r="E345" t="str">
        <x:v>Call of Legends</x:v>
      </x:c>
      <x:c r="F345" t="n">
        <x:v>2011</x:v>
      </x:c>
      <x:c r="G345" t="str">
        <x:v>Reverse Holo</x:v>
      </x:c>
      <x:c r="H345" t="str">
        <x:v>1 of 1</x:v>
      </x:c>
      <x:c r="I345" t="n">
        <x:v>12</x:v>
      </x:c>
      <x:c r="J345" t="n">
        <x:v>18</x:v>
      </x:c>
      <x:c r="K345" t="n">
        <x:v>15</x:v>
      </x:c>
      <x:c r="L345" t="str">
        <x:v>$5–20</x:v>
      </x:c>
      <x:c r="M345" t="str">
        <x:v>Yes</x:v>
      </x:c>
      <x:c r="N345" t="str">
        <x:v>Yes</x:v>
      </x:c>
      <x:c r="O345" t="str">
        <x:v>Yes</x:v>
      </x:c>
      <x:c r="P345" t="str">
        <x:v>Clean/NM benchmark unless noted</x:v>
      </x:c>
      <x:c r="Q345" t="n">
        <x:v>12</x:v>
      </x:c>
      <x:c r="R345" t="n">
        <x:v>18</x:v>
      </x:c>
      <x:c r="S345" t="n">
        <x:v>15</x:v>
      </x:c>
      <x:c r="T345" t="str">
        <x:v>Call of Legends Flareon 44/95 reverse holo. PriceCharting ungraded about $14.99; current sales vary materially.</x:v>
      </x:c>
      <x:c r="U345" t="n">
        <x:v>905</x:v>
      </x:c>
      <x:c r="V345" t="str">
        <x:v>Current chat continuation / researched 2026-08-15</x:v>
      </x:c>
      <x:c r="W345" t="str">
        <x:v>https://www.pricecharting.com/game/pokemon-call-of-legends/flareon-reverse-holo-44</x:v>
      </x:c>
    </x:row>
    <x:row r="346">
      <x:c r="A346" t="n">
        <x:v>345</x:v>
      </x:c>
      <x:c r="B346" t="str">
        <x:v>Fire / Uncommons</x:v>
      </x:c>
      <x:c r="C346" t="str">
        <x:v>Flareon</x:v>
      </x:c>
      <x:c r="D346" t="str">
        <x:v>12/108</x:v>
      </x:c>
      <x:c r="E346" t="str">
        <x:v>Dark Explorers</x:v>
      </x:c>
      <x:c r="F346" t="n">
        <x:v>2012</x:v>
      </x:c>
      <x:c r="G346" t="str">
        <x:v>Regular</x:v>
      </x:c>
      <x:c r="H346" t="str">
        <x:v>1 of 1</x:v>
      </x:c>
      <x:c r="I346" t="n">
        <x:v>3.5</x:v>
      </x:c>
      <x:c r="J346" t="n">
        <x:v>5</x:v>
      </x:c>
      <x:c r="K346" t="n">
        <x:v>4.25</x:v>
      </x:c>
      <x:c r="L346" t="str">
        <x:v>$1–5</x:v>
      </x:c>
      <x:c r="M346" t="str">
        <x:v>Yes</x:v>
      </x:c>
      <x:c r="N346" t="str">
        <x:v>No</x:v>
      </x:c>
      <x:c r="O346" t="str">
        <x:v>Yes</x:v>
      </x:c>
      <x:c r="P346" t="str">
        <x:v>Clean/NM benchmark unless noted</x:v>
      </x:c>
      <x:c r="Q346" t="n">
        <x:v>3.5</x:v>
      </x:c>
      <x:c r="R346" t="n">
        <x:v>5</x:v>
      </x:c>
      <x:c r="S346" t="n">
        <x:v>4.25</x:v>
      </x:c>
      <x:c r="T346" t="str">
        <x:v>Dark Explorers Flareon 12/108 regular. Current market roughly $4.</x:v>
      </x:c>
      <x:c r="U346" t="n">
        <x:v>905</x:v>
      </x:c>
      <x:c r="V346" t="str">
        <x:v>Current chat continuation / researched 2026-08-15</x:v>
      </x:c>
      <x:c r="W346" t="str">
        <x:v>https://www.tcgplayer.com/categories/trading-and-collectible-card-games/pokemon/price-guides/dark-explorers</x:v>
      </x:c>
    </x:row>
    <x:row r="347">
      <x:c r="A347" t="n">
        <x:v>346</x:v>
      </x:c>
      <x:c r="B347" t="str">
        <x:v>Fire / Uncommons</x:v>
      </x:c>
      <x:c r="C347" t="str">
        <x:v>Flareon</x:v>
      </x:c>
      <x:c r="D347" t="str">
        <x:v>12/108</x:v>
      </x:c>
      <x:c r="E347" t="str">
        <x:v>Dark Explorers</x:v>
      </x:c>
      <x:c r="F347" t="n">
        <x:v>2012</x:v>
      </x:c>
      <x:c r="G347" t="str">
        <x:v>Reverse Holo</x:v>
      </x:c>
      <x:c r="H347" t="str">
        <x:v>1 of 1</x:v>
      </x:c>
      <x:c r="I347" t="n">
        <x:v>14</x:v>
      </x:c>
      <x:c r="J347" t="n">
        <x:v>18</x:v>
      </x:c>
      <x:c r="K347" t="n">
        <x:v>16</x:v>
      </x:c>
      <x:c r="L347" t="str">
        <x:v>$5–20</x:v>
      </x:c>
      <x:c r="M347" t="str">
        <x:v>Yes</x:v>
      </x:c>
      <x:c r="N347" t="str">
        <x:v>Yes</x:v>
      </x:c>
      <x:c r="O347" t="str">
        <x:v>Yes</x:v>
      </x:c>
      <x:c r="P347" t="str">
        <x:v>Clean/NM benchmark unless noted</x:v>
      </x:c>
      <x:c r="Q347" t="n">
        <x:v>14</x:v>
      </x:c>
      <x:c r="R347" t="n">
        <x:v>18</x:v>
      </x:c>
      <x:c r="S347" t="n">
        <x:v>16</x:v>
      </x:c>
      <x:c r="T347" t="str">
        <x:v>Dark Explorers Flareon 12/108 reverse holo. TCGplayer NM price guide about $17.72; recent raw sales mostly around the mid-teens.</x:v>
      </x:c>
      <x:c r="U347" t="n">
        <x:v>905</x:v>
      </x:c>
      <x:c r="V347" t="str">
        <x:v>Current chat continuation / researched 2026-08-15</x:v>
      </x:c>
      <x:c r="W347" t="str">
        <x:v>https://www.tcgplayer.com/categories/trading-and-collectible-card-games/pokemon/price-guides/dark-explorers</x:v>
      </x:c>
    </x:row>
    <x:row r="348">
      <x:c r="A348" t="n">
        <x:v>347</x:v>
      </x:c>
      <x:c r="B348" t="str">
        <x:v>Fire / Uncommons</x:v>
      </x:c>
      <x:c r="C348" t="str">
        <x:v>Flareon</x:v>
      </x:c>
      <x:c r="D348" t="str">
        <x:v>12/116</x:v>
      </x:c>
      <x:c r="E348" t="str">
        <x:v>Plasma Freeze</x:v>
      </x:c>
      <x:c r="F348" t="n">
        <x:v>2013</x:v>
      </x:c>
      <x:c r="G348" t="str">
        <x:v>Regular (Team Plasma)</x:v>
      </x:c>
      <x:c r="H348" t="str">
        <x:v>1 of 2</x:v>
      </x:c>
      <x:c r="I348" t="n">
        <x:v>4</x:v>
      </x:c>
      <x:c r="J348" t="n">
        <x:v>6</x:v>
      </x:c>
      <x:c r="K348" t="n">
        <x:v>5</x:v>
      </x:c>
      <x:c r="L348" t="str">
        <x:v>$5–20</x:v>
      </x:c>
      <x:c r="M348" t="str">
        <x:v>Yes</x:v>
      </x:c>
      <x:c r="N348" t="str">
        <x:v>No</x:v>
      </x:c>
      <x:c r="O348" t="str">
        <x:v>Yes</x:v>
      </x:c>
      <x:c r="P348" t="str">
        <x:v>Clean/NM benchmark unless noted</x:v>
      </x:c>
      <x:c r="Q348" t="n">
        <x:v>4</x:v>
      </x:c>
      <x:c r="R348" t="n">
        <x:v>6</x:v>
      </x:c>
      <x:c r="S348" t="n">
        <x:v>5</x:v>
      </x:c>
      <x:c r="T348" t="str">
        <x:v>Plasma Freeze Flareon (Team Plasma) 12/116 regular. TCGplayer NM market about $5.01.</x:v>
      </x:c>
      <x:c r="U348" t="n">
        <x:v>905</x:v>
      </x:c>
      <x:c r="V348" t="str">
        <x:v>Current chat continuation / researched 2026-08-15</x:v>
      </x:c>
      <x:c r="W348" t="str">
        <x:v>https://www.tcgplayer.com/product/85502/pokemon-plasma-freeze-flareon-team-plasma</x:v>
      </x:c>
    </x:row>
    <x:row r="349">
      <x:c r="A349" t="n">
        <x:v>348</x:v>
      </x:c>
      <x:c r="B349" t="str">
        <x:v>Fire / Uncommons</x:v>
      </x:c>
      <x:c r="C349" t="str">
        <x:v>Light Ninetales</x:v>
      </x:c>
      <x:c r="D349" t="str">
        <x:v>50/105</x:v>
      </x:c>
      <x:c r="E349" t="str">
        <x:v>Neo Destiny</x:v>
      </x:c>
      <x:c r="F349" t="n">
        <x:v>2002</x:v>
      </x:c>
      <x:c r="G349" t="str">
        <x:v>Regular (Unlimited assumed)</x:v>
      </x:c>
      <x:c r="H349" t="str">
        <x:v>1 of 1</x:v>
      </x:c>
      <x:c r="I349" t="n">
        <x:v>16</x:v>
      </x:c>
      <x:c r="J349" t="n">
        <x:v>26</x:v>
      </x:c>
      <x:c r="K349" t="n">
        <x:v>21</x:v>
      </x:c>
      <x:c r="L349" t="str">
        <x:v>$20+</x:v>
      </x:c>
      <x:c r="M349" t="str">
        <x:v>Yes</x:v>
      </x:c>
      <x:c r="N349" t="str">
        <x:v>Yes</x:v>
      </x:c>
      <x:c r="O349" t="str">
        <x:v>Yes</x:v>
      </x:c>
      <x:c r="P349" t="str">
        <x:v>Clean/NM benchmark unless noted</x:v>
      </x:c>
      <x:c r="Q349" t="n">
        <x:v>16</x:v>
      </x:c>
      <x:c r="R349" t="n">
        <x:v>26</x:v>
      </x:c>
      <x:c r="S349" t="n">
        <x:v>21</x:v>
      </x:c>
      <x:c r="T349" t="str">
        <x:v>Neo Destiny Light Ninetales 50/105. Logged as Unlimited unless a 1st Edition stamp is identified. Recent raw/NM sales generally ~$16–26; 1st Edition is materially higher.</x:v>
      </x:c>
      <x:c r="U349" t="n">
        <x:v>906</x:v>
      </x:c>
      <x:c r="V349" t="str">
        <x:v>Current chat continuation / researched 2026-08-15</x:v>
      </x:c>
      <x:c r="W349" t="str">
        <x:v>https://www.pricecharting.com/game/pokemon-neo-destiny/light-ninetales-50</x:v>
      </x:c>
    </x:row>
    <x:row r="350">
      <x:c r="A350" t="n">
        <x:v>349</x:v>
      </x:c>
      <x:c r="B350" t="str">
        <x:v>Fire / Uncommons</x:v>
      </x:c>
      <x:c r="C350" t="str">
        <x:v>Charmeleon</x:v>
      </x:c>
      <x:c r="D350" t="str">
        <x:v>35/99</x:v>
      </x:c>
      <x:c r="E350" t="str">
        <x:v>Arceus</x:v>
      </x:c>
      <x:c r="F350" t="n">
        <x:v>2009</x:v>
      </x:c>
      <x:c r="G350" t="str">
        <x:v>Regular (LV.31)</x:v>
      </x:c>
      <x:c r="H350" t="str">
        <x:v>1 of 1</x:v>
      </x:c>
      <x:c r="I350" t="n">
        <x:v>1.5</x:v>
      </x:c>
      <x:c r="J350" t="n">
        <x:v>2.2</x:v>
      </x:c>
      <x:c r="K350" t="n">
        <x:v>1.85</x:v>
      </x:c>
      <x:c r="L350" t="str">
        <x:v>$1–5</x:v>
      </x:c>
      <x:c r="M350" t="str">
        <x:v>Yes</x:v>
      </x:c>
      <x:c r="N350" t="str">
        <x:v>No</x:v>
      </x:c>
      <x:c r="O350" t="str">
        <x:v>Yes</x:v>
      </x:c>
      <x:c r="P350" t="str">
        <x:v>Clean/NM benchmark unless noted</x:v>
      </x:c>
      <x:c r="Q350" t="n">
        <x:v>1.5</x:v>
      </x:c>
      <x:c r="R350" t="n">
        <x:v>2.2</x:v>
      </x:c>
      <x:c r="S350" t="n">
        <x:v>1.85</x:v>
      </x:c>
      <x:c r="T350" t="str">
        <x:v>Arceus Charmeleon 35/99, LV.31. Current TCGplayer market about $1.89 NM.</x:v>
      </x:c>
      <x:c r="U350" t="n">
        <x:v>907</x:v>
      </x:c>
      <x:c r="V350" t="str">
        <x:v>Current chat continuation / researched 2026-08-15</x:v>
      </x:c>
      <x:c r="W350" t="str">
        <x:v>https://www.tcgplayer.com/search/pokemon/product?Language=English&amp;page=1&amp;productLineName=pokemon&amp;productName=Charmeleon&amp;view=grid</x:v>
      </x:c>
    </x:row>
    <x:row r="351">
      <x:c r="A351" t="n">
        <x:v>350</x:v>
      </x:c>
      <x:c r="B351" t="str">
        <x:v>Fire / Uncommons</x:v>
      </x:c>
      <x:c r="C351" t="str">
        <x:v>Charmeleon</x:v>
      </x:c>
      <x:c r="D351" t="str">
        <x:v>18/113</x:v>
      </x:c>
      <x:c r="E351" t="str">
        <x:v>Legendary Treasures</x:v>
      </x:c>
      <x:c r="F351" t="n">
        <x:v>2013</x:v>
      </x:c>
      <x:c r="G351" t="str">
        <x:v>Regular</x:v>
      </x:c>
      <x:c r="H351" t="str">
        <x:v>1 of 1</x:v>
      </x:c>
      <x:c r="I351" t="n">
        <x:v>7</x:v>
      </x:c>
      <x:c r="J351" t="n">
        <x:v>9</x:v>
      </x:c>
      <x:c r="K351" t="n">
        <x:v>8</x:v>
      </x:c>
      <x:c r="L351" t="str">
        <x:v>$5–20</x:v>
      </x:c>
      <x:c r="M351" t="str">
        <x:v>Yes</x:v>
      </x:c>
      <x:c r="N351" t="str">
        <x:v>No</x:v>
      </x:c>
      <x:c r="O351" t="str">
        <x:v>Yes</x:v>
      </x:c>
      <x:c r="P351" t="str">
        <x:v>Clean/NM benchmark unless noted</x:v>
      </x:c>
      <x:c r="Q351" t="n">
        <x:v>7</x:v>
      </x:c>
      <x:c r="R351" t="n">
        <x:v>9</x:v>
      </x:c>
      <x:c r="S351" t="n">
        <x:v>8</x:v>
      </x:c>
      <x:c r="T351" t="str">
        <x:v>Legendary Treasures Charmeleon 18/113 regular. Current TCGplayer market about $8.02 NM.</x:v>
      </x:c>
      <x:c r="U351" t="n">
        <x:v>907</x:v>
      </x:c>
      <x:c r="V351" t="str">
        <x:v>Current chat continuation / researched 2026-08-15</x:v>
      </x:c>
      <x:c r="W351" t="str">
        <x:v>https://www.tcgplayer.com/search/pokemon/legendary-treasures?productLineName=pokemon&amp;setName=legendary-treasures</x:v>
      </x:c>
    </x:row>
    <x:row r="352">
      <x:c r="A352" t="n">
        <x:v>351</x:v>
      </x:c>
      <x:c r="B352" t="str">
        <x:v>Fire / Uncommons</x:v>
      </x:c>
      <x:c r="C352" t="str">
        <x:v>Charmeleon</x:v>
      </x:c>
      <x:c r="D352" t="str">
        <x:v>24/102</x:v>
      </x:c>
      <x:c r="E352" t="str">
        <x:v>Base Set</x:v>
      </x:c>
      <x:c r="F352" t="n">
        <x:v>1999</x:v>
      </x:c>
      <x:c r="G352" t="str">
        <x:v>Regular (Unlimited assumed)</x:v>
      </x:c>
      <x:c r="H352" t="str">
        <x:v>1 of 1</x:v>
      </x:c>
      <x:c r="I352" t="n">
        <x:v>2</x:v>
      </x:c>
      <x:c r="J352" t="n">
        <x:v>3</x:v>
      </x:c>
      <x:c r="K352" t="n">
        <x:v>2.5</x:v>
      </x:c>
      <x:c r="L352" t="str">
        <x:v>$1–5</x:v>
      </x:c>
      <x:c r="M352" t="str">
        <x:v>Yes</x:v>
      </x:c>
      <x:c r="N352" t="str">
        <x:v>No</x:v>
      </x:c>
      <x:c r="O352" t="str">
        <x:v>Yes</x:v>
      </x:c>
      <x:c r="P352" t="str">
        <x:v>Clean/NM benchmark unless noted</x:v>
      </x:c>
      <x:c r="Q352" t="n">
        <x:v>2</x:v>
      </x:c>
      <x:c r="R352" t="n">
        <x:v>3</x:v>
      </x:c>
      <x:c r="S352" t="n">
        <x:v>2.5</x:v>
      </x:c>
      <x:c r="T352" t="str">
        <x:v>Base Set Charmeleon 24/102, Unlimited assumed. Current TCGplayer market about $2.42 NM. Reprice if Shadowless or 1st Edition.</x:v>
      </x:c>
      <x:c r="U352" t="n">
        <x:v>907</x:v>
      </x:c>
      <x:c r="V352" t="str">
        <x:v>Current chat continuation / researched 2026-08-15</x:v>
      </x:c>
      <x:c r="W352" t="str">
        <x:v>https://www.tcgplayer.com/search/all/product?irgwc=1&amp;irpid=5467356&amp;q=charmeleon+24+base+set+unlimited&amp;sharedid=cardlist&amp;view=grid</x:v>
      </x:c>
    </x:row>
    <x:row r="353">
      <x:c r="A353" t="n">
        <x:v>352</x:v>
      </x:c>
      <x:c r="B353" t="str">
        <x:v>Fire / Uncommons</x:v>
      </x:c>
      <x:c r="C353" t="str">
        <x:v>Blaine's Charmeleon</x:v>
      </x:c>
      <x:c r="D353" t="str">
        <x:v>31/132</x:v>
      </x:c>
      <x:c r="E353" t="str">
        <x:v>Gym Challenge</x:v>
      </x:c>
      <x:c r="F353" t="n">
        <x:v>2000</x:v>
      </x:c>
      <x:c r="G353" t="str">
        <x:v>Regular (Unlimited assumed)</x:v>
      </x:c>
      <x:c r="H353" t="str">
        <x:v>1 of 1</x:v>
      </x:c>
      <x:c r="I353" t="n">
        <x:v>17</x:v>
      </x:c>
      <x:c r="J353" t="n">
        <x:v>21</x:v>
      </x:c>
      <x:c r="K353" t="n">
        <x:v>19</x:v>
      </x:c>
      <x:c r="L353" t="str">
        <x:v>$5–20</x:v>
      </x:c>
      <x:c r="M353" t="str">
        <x:v>Yes</x:v>
      </x:c>
      <x:c r="N353" t="str">
        <x:v>Yes</x:v>
      </x:c>
      <x:c r="O353" t="str">
        <x:v>Yes</x:v>
      </x:c>
      <x:c r="P353" t="str">
        <x:v>Clean/NM benchmark unless noted</x:v>
      </x:c>
      <x:c r="Q353" t="n">
        <x:v>17</x:v>
      </x:c>
      <x:c r="R353" t="n">
        <x:v>21</x:v>
      </x:c>
      <x:c r="S353" t="n">
        <x:v>19</x:v>
      </x:c>
      <x:c r="T353" t="str">
        <x:v>Gym Challenge Blaine's Charmeleon 31/132, Unlimited assumed. Current TCGplayer market about $18.9–19.8 NM. Reprice if 1st Edition.</x:v>
      </x:c>
      <x:c r="U353" t="n">
        <x:v>907</x:v>
      </x:c>
      <x:c r="V353" t="str">
        <x:v>Current chat continuation / researched 2026-08-15</x:v>
      </x:c>
      <x:c r="W353" t="str">
        <x:v>https://www.tcgplayer.com/search/pokemon/all?page=1&amp;productLineName=pokemon&amp;q=Blaine%27s+Charmeleon+Gym+Challenge&amp;setName=all&amp;view=grid</x:v>
      </x:c>
    </x:row>
    <x:row r="354">
      <x:c r="A354" t="n">
        <x:v>353</x:v>
      </x:c>
      <x:c r="B354" t="str">
        <x:v>Fire / Uncommons</x:v>
      </x:c>
      <x:c r="C354" t="str">
        <x:v>Charmeleon</x:v>
      </x:c>
      <x:c r="D354" t="str">
        <x:v>19/149</x:v>
      </x:c>
      <x:c r="E354" t="str">
        <x:v>Boundaries Crossed</x:v>
      </x:c>
      <x:c r="F354" t="n">
        <x:v>2012</x:v>
      </x:c>
      <x:c r="G354" t="str">
        <x:v>Regular</x:v>
      </x:c>
      <x:c r="H354" t="str">
        <x:v>1 of 8</x:v>
      </x:c>
      <x:c r="I354" t="n">
        <x:v>1.75</x:v>
      </x:c>
      <x:c r="J354" t="n">
        <x:v>2.75</x:v>
      </x:c>
      <x:c r="K354" t="n">
        <x:v>2.25</x:v>
      </x:c>
      <x:c r="L354" t="str">
        <x:v>$1–5</x:v>
      </x:c>
      <x:c r="M354" t="str">
        <x:v>Yes</x:v>
      </x:c>
      <x:c r="N354" t="str">
        <x:v>No</x:v>
      </x:c>
      <x:c r="O354" t="str">
        <x:v>Yes</x:v>
      </x:c>
      <x:c r="P354" t="str">
        <x:v>Clean/NM benchmark unless noted</x:v>
      </x:c>
      <x:c r="Q354" t="n">
        <x:v>1.75</x:v>
      </x:c>
      <x:c r="R354" t="n">
        <x:v>2.75</x:v>
      </x:c>
      <x:c r="S354" t="n">
        <x:v>2.25</x:v>
      </x:c>
      <x:c r="T354" t="str">
        <x:v>Boundaries Crossed Charmeleon 19/149 regular. Current TCGplayer market about $2.20–2.21 NM.</x:v>
      </x:c>
      <x:c r="U354" t="n">
        <x:v>907</x:v>
      </x:c>
      <x:c r="V354" t="str">
        <x:v>Current chat continuation / researched 2026-08-15</x:v>
      </x:c>
      <x:c r="W354" t="str">
        <x:v>https://www.tcgplayer.com/search/pokemon/boundaries-crossed?Language=English&amp;page=2&amp;productLineName=pokemon&amp;setName=boundaries-crossed&amp;view=grid</x:v>
      </x:c>
    </x:row>
    <x:row r="355">
      <x:c r="A355" t="n">
        <x:v>354</x:v>
      </x:c>
      <x:c r="B355" t="str">
        <x:v>Fire / Uncommons</x:v>
      </x:c>
      <x:c r="C355" t="str">
        <x:v>Charmeleon</x:v>
      </x:c>
      <x:c r="D355" t="str">
        <x:v>19/149</x:v>
      </x:c>
      <x:c r="E355" t="str">
        <x:v>Boundaries Crossed</x:v>
      </x:c>
      <x:c r="F355" t="n">
        <x:v>2012</x:v>
      </x:c>
      <x:c r="G355" t="str">
        <x:v>Regular</x:v>
      </x:c>
      <x:c r="H355" t="str">
        <x:v>2 of 8</x:v>
      </x:c>
      <x:c r="I355" t="n">
        <x:v>1.75</x:v>
      </x:c>
      <x:c r="J355" t="n">
        <x:v>2.75</x:v>
      </x:c>
      <x:c r="K355" t="n">
        <x:v>2.25</x:v>
      </x:c>
      <x:c r="L355" t="str">
        <x:v>$1–5</x:v>
      </x:c>
      <x:c r="M355" t="str">
        <x:v>Yes</x:v>
      </x:c>
      <x:c r="N355" t="str">
        <x:v>No</x:v>
      </x:c>
      <x:c r="O355" t="str">
        <x:v>Yes</x:v>
      </x:c>
      <x:c r="P355" t="str">
        <x:v>Clean/NM benchmark unless noted</x:v>
      </x:c>
      <x:c r="Q355" t="n">
        <x:v>1.75</x:v>
      </x:c>
      <x:c r="R355" t="n">
        <x:v>2.75</x:v>
      </x:c>
      <x:c r="S355" t="n">
        <x:v>2.25</x:v>
      </x:c>
      <x:c r="T355" t="str">
        <x:v>Boundaries Crossed Charmeleon 19/149 regular. Current TCGplayer market about $2.20–2.21 NM.</x:v>
      </x:c>
      <x:c r="U355" t="n">
        <x:v>907</x:v>
      </x:c>
      <x:c r="V355" t="str">
        <x:v>Current chat continuation / researched 2026-08-15</x:v>
      </x:c>
      <x:c r="W355" t="str">
        <x:v>https://www.tcgplayer.com/search/pokemon/boundaries-crossed?Language=English&amp;page=2&amp;productLineName=pokemon&amp;setName=boundaries-crossed&amp;view=grid</x:v>
      </x:c>
    </x:row>
    <x:row r="356">
      <x:c r="A356" t="n">
        <x:v>355</x:v>
      </x:c>
      <x:c r="B356" t="str">
        <x:v>Fire / Uncommons</x:v>
      </x:c>
      <x:c r="C356" t="str">
        <x:v>Charmeleon</x:v>
      </x:c>
      <x:c r="D356" t="str">
        <x:v>19/149</x:v>
      </x:c>
      <x:c r="E356" t="str">
        <x:v>Boundaries Crossed</x:v>
      </x:c>
      <x:c r="F356" t="n">
        <x:v>2012</x:v>
      </x:c>
      <x:c r="G356" t="str">
        <x:v>Regular</x:v>
      </x:c>
      <x:c r="H356" t="str">
        <x:v>3 of 8</x:v>
      </x:c>
      <x:c r="I356" t="n">
        <x:v>1.75</x:v>
      </x:c>
      <x:c r="J356" t="n">
        <x:v>2.75</x:v>
      </x:c>
      <x:c r="K356" t="n">
        <x:v>2.25</x:v>
      </x:c>
      <x:c r="L356" t="str">
        <x:v>$1–5</x:v>
      </x:c>
      <x:c r="M356" t="str">
        <x:v>Yes</x:v>
      </x:c>
      <x:c r="N356" t="str">
        <x:v>No</x:v>
      </x:c>
      <x:c r="O356" t="str">
        <x:v>Yes</x:v>
      </x:c>
      <x:c r="P356" t="str">
        <x:v>Clean/NM benchmark unless noted</x:v>
      </x:c>
      <x:c r="Q356" t="n">
        <x:v>1.75</x:v>
      </x:c>
      <x:c r="R356" t="n">
        <x:v>2.75</x:v>
      </x:c>
      <x:c r="S356" t="n">
        <x:v>2.25</x:v>
      </x:c>
      <x:c r="T356" t="str">
        <x:v>Boundaries Crossed Charmeleon 19/149 regular. Current TCGplayer market about $2.20–2.21 NM.</x:v>
      </x:c>
      <x:c r="U356" t="n">
        <x:v>907</x:v>
      </x:c>
      <x:c r="V356" t="str">
        <x:v>Current chat continuation / researched 2026-08-15</x:v>
      </x:c>
      <x:c r="W356" t="str">
        <x:v>https://www.tcgplayer.com/search/pokemon/boundaries-crossed?Language=English&amp;page=2&amp;productLineName=pokemon&amp;setName=boundaries-crossed&amp;view=grid</x:v>
      </x:c>
    </x:row>
    <x:row r="357">
      <x:c r="A357" t="n">
        <x:v>356</x:v>
      </x:c>
      <x:c r="B357" t="str">
        <x:v>Fire / Uncommons</x:v>
      </x:c>
      <x:c r="C357" t="str">
        <x:v>Charmeleon</x:v>
      </x:c>
      <x:c r="D357" t="str">
        <x:v>19/149</x:v>
      </x:c>
      <x:c r="E357" t="str">
        <x:v>Boundaries Crossed</x:v>
      </x:c>
      <x:c r="F357" t="n">
        <x:v>2012</x:v>
      </x:c>
      <x:c r="G357" t="str">
        <x:v>Regular</x:v>
      </x:c>
      <x:c r="H357" t="str">
        <x:v>4 of 8</x:v>
      </x:c>
      <x:c r="I357" t="n">
        <x:v>1.75</x:v>
      </x:c>
      <x:c r="J357" t="n">
        <x:v>2.75</x:v>
      </x:c>
      <x:c r="K357" t="n">
        <x:v>2.25</x:v>
      </x:c>
      <x:c r="L357" t="str">
        <x:v>$1–5</x:v>
      </x:c>
      <x:c r="M357" t="str">
        <x:v>Yes</x:v>
      </x:c>
      <x:c r="N357" t="str">
        <x:v>No</x:v>
      </x:c>
      <x:c r="O357" t="str">
        <x:v>Yes</x:v>
      </x:c>
      <x:c r="P357" t="str">
        <x:v>Clean/NM benchmark unless noted</x:v>
      </x:c>
      <x:c r="Q357" t="n">
        <x:v>1.75</x:v>
      </x:c>
      <x:c r="R357" t="n">
        <x:v>2.75</x:v>
      </x:c>
      <x:c r="S357" t="n">
        <x:v>2.25</x:v>
      </x:c>
      <x:c r="T357" t="str">
        <x:v>Boundaries Crossed Charmeleon 19/149 regular. Current TCGplayer market about $2.20–2.21 NM.</x:v>
      </x:c>
      <x:c r="U357" t="n">
        <x:v>907</x:v>
      </x:c>
      <x:c r="V357" t="str">
        <x:v>Current chat continuation / researched 2026-08-15</x:v>
      </x:c>
      <x:c r="W357" t="str">
        <x:v>https://www.tcgplayer.com/search/pokemon/boundaries-crossed?Language=English&amp;page=2&amp;productLineName=pokemon&amp;setName=boundaries-crossed&amp;view=grid</x:v>
      </x:c>
    </x:row>
    <x:row r="358">
      <x:c r="A358" t="n">
        <x:v>357</x:v>
      </x:c>
      <x:c r="B358" t="str">
        <x:v>Fire / Uncommons</x:v>
      </x:c>
      <x:c r="C358" t="str">
        <x:v>Charmeleon</x:v>
      </x:c>
      <x:c r="D358" t="str">
        <x:v>19/149</x:v>
      </x:c>
      <x:c r="E358" t="str">
        <x:v>Boundaries Crossed</x:v>
      </x:c>
      <x:c r="F358" t="n">
        <x:v>2012</x:v>
      </x:c>
      <x:c r="G358" t="str">
        <x:v>Regular</x:v>
      </x:c>
      <x:c r="H358" t="str">
        <x:v>5 of 8</x:v>
      </x:c>
      <x:c r="I358" t="n">
        <x:v>1.75</x:v>
      </x:c>
      <x:c r="J358" t="n">
        <x:v>2.75</x:v>
      </x:c>
      <x:c r="K358" t="n">
        <x:v>2.25</x:v>
      </x:c>
      <x:c r="L358" t="str">
        <x:v>$1–5</x:v>
      </x:c>
      <x:c r="M358" t="str">
        <x:v>Yes</x:v>
      </x:c>
      <x:c r="N358" t="str">
        <x:v>No</x:v>
      </x:c>
      <x:c r="O358" t="str">
        <x:v>Yes</x:v>
      </x:c>
      <x:c r="P358" t="str">
        <x:v>Clean/NM benchmark unless noted</x:v>
      </x:c>
      <x:c r="Q358" t="n">
        <x:v>1.75</x:v>
      </x:c>
      <x:c r="R358" t="n">
        <x:v>2.75</x:v>
      </x:c>
      <x:c r="S358" t="n">
        <x:v>2.25</x:v>
      </x:c>
      <x:c r="T358" t="str">
        <x:v>Boundaries Crossed Charmeleon 19/149 regular. Current TCGplayer market about $2.20–2.21 NM.</x:v>
      </x:c>
      <x:c r="U358" t="n">
        <x:v>907</x:v>
      </x:c>
      <x:c r="V358" t="str">
        <x:v>Current chat continuation / researched 2026-08-15</x:v>
      </x:c>
      <x:c r="W358" t="str">
        <x:v>https://www.tcgplayer.com/search/pokemon/boundaries-crossed?Language=English&amp;page=2&amp;productLineName=pokemon&amp;setName=boundaries-crossed&amp;view=grid</x:v>
      </x:c>
    </x:row>
    <x:row r="359">
      <x:c r="A359" t="n">
        <x:v>358</x:v>
      </x:c>
      <x:c r="B359" t="str">
        <x:v>Fire / Uncommons</x:v>
      </x:c>
      <x:c r="C359" t="str">
        <x:v>Charmeleon</x:v>
      </x:c>
      <x:c r="D359" t="str">
        <x:v>19/149</x:v>
      </x:c>
      <x:c r="E359" t="str">
        <x:v>Boundaries Crossed</x:v>
      </x:c>
      <x:c r="F359" t="n">
        <x:v>2012</x:v>
      </x:c>
      <x:c r="G359" t="str">
        <x:v>Regular</x:v>
      </x:c>
      <x:c r="H359" t="str">
        <x:v>6 of 8</x:v>
      </x:c>
      <x:c r="I359" t="n">
        <x:v>1.75</x:v>
      </x:c>
      <x:c r="J359" t="n">
        <x:v>2.75</x:v>
      </x:c>
      <x:c r="K359" t="n">
        <x:v>2.25</x:v>
      </x:c>
      <x:c r="L359" t="str">
        <x:v>$1–5</x:v>
      </x:c>
      <x:c r="M359" t="str">
        <x:v>Yes</x:v>
      </x:c>
      <x:c r="N359" t="str">
        <x:v>No</x:v>
      </x:c>
      <x:c r="O359" t="str">
        <x:v>Yes</x:v>
      </x:c>
      <x:c r="P359" t="str">
        <x:v>Clean/NM benchmark unless noted</x:v>
      </x:c>
      <x:c r="Q359" t="n">
        <x:v>1.75</x:v>
      </x:c>
      <x:c r="R359" t="n">
        <x:v>2.75</x:v>
      </x:c>
      <x:c r="S359" t="n">
        <x:v>2.25</x:v>
      </x:c>
      <x:c r="T359" t="str">
        <x:v>Boundaries Crossed Charmeleon 19/149 regular. Current TCGplayer market about $2.20–2.21 NM.</x:v>
      </x:c>
      <x:c r="U359" t="n">
        <x:v>907</x:v>
      </x:c>
      <x:c r="V359" t="str">
        <x:v>Current chat continuation / researched 2026-08-15</x:v>
      </x:c>
      <x:c r="W359" t="str">
        <x:v>https://www.tcgplayer.com/search/pokemon/boundaries-crossed?Language=English&amp;page=2&amp;productLineName=pokemon&amp;setName=boundaries-crossed&amp;view=grid</x:v>
      </x:c>
    </x:row>
    <x:row r="360">
      <x:c r="A360" t="n">
        <x:v>359</x:v>
      </x:c>
      <x:c r="B360" t="str">
        <x:v>Fire / Uncommons</x:v>
      </x:c>
      <x:c r="C360" t="str">
        <x:v>Charmeleon</x:v>
      </x:c>
      <x:c r="D360" t="str">
        <x:v>19/149</x:v>
      </x:c>
      <x:c r="E360" t="str">
        <x:v>Boundaries Crossed</x:v>
      </x:c>
      <x:c r="F360" t="n">
        <x:v>2012</x:v>
      </x:c>
      <x:c r="G360" t="str">
        <x:v>Regular</x:v>
      </x:c>
      <x:c r="H360" t="str">
        <x:v>7 of 8</x:v>
      </x:c>
      <x:c r="I360" t="n">
        <x:v>1.75</x:v>
      </x:c>
      <x:c r="J360" t="n">
        <x:v>2.75</x:v>
      </x:c>
      <x:c r="K360" t="n">
        <x:v>2.25</x:v>
      </x:c>
      <x:c r="L360" t="str">
        <x:v>$1–5</x:v>
      </x:c>
      <x:c r="M360" t="str">
        <x:v>Yes</x:v>
      </x:c>
      <x:c r="N360" t="str">
        <x:v>No</x:v>
      </x:c>
      <x:c r="O360" t="str">
        <x:v>Yes</x:v>
      </x:c>
      <x:c r="P360" t="str">
        <x:v>Clean/NM benchmark unless noted</x:v>
      </x:c>
      <x:c r="Q360" t="n">
        <x:v>1.75</x:v>
      </x:c>
      <x:c r="R360" t="n">
        <x:v>2.75</x:v>
      </x:c>
      <x:c r="S360" t="n">
        <x:v>2.25</x:v>
      </x:c>
      <x:c r="T360" t="str">
        <x:v>Boundaries Crossed Charmeleon 19/149 regular. Current TCGplayer market about $2.20–2.21 NM.</x:v>
      </x:c>
      <x:c r="U360" t="n">
        <x:v>907</x:v>
      </x:c>
      <x:c r="V360" t="str">
        <x:v>Current chat continuation / researched 2026-08-15</x:v>
      </x:c>
      <x:c r="W360" t="str">
        <x:v>https://www.tcgplayer.com/search/pokemon/boundaries-crossed?Language=English&amp;page=2&amp;productLineName=pokemon&amp;setName=boundaries-crossed&amp;view=grid</x:v>
      </x:c>
    </x:row>
    <x:row r="361">
      <x:c r="A361" t="n">
        <x:v>360</x:v>
      </x:c>
      <x:c r="B361" t="str">
        <x:v>Fire / Uncommons</x:v>
      </x:c>
      <x:c r="C361" t="str">
        <x:v>Growlithe</x:v>
      </x:c>
      <x:c r="D361" t="str">
        <x:v>RC4/RC25</x:v>
      </x:c>
      <x:c r="E361" t="str">
        <x:v>Legendary Treasures: Radiant Collection</x:v>
      </x:c>
      <x:c r="F361" t="n">
        <x:v>2013</x:v>
      </x:c>
      <x:c r="G361" t="str">
        <x:v>Holofoil / Radiant Collection</x:v>
      </x:c>
      <x:c r="H361" t="str">
        <x:v>1 of 2</x:v>
      </x:c>
      <x:c r="I361" t="n">
        <x:v>19</x:v>
      </x:c>
      <x:c r="J361" t="n">
        <x:v>24</x:v>
      </x:c>
      <x:c r="K361" t="n">
        <x:v>21.5</x:v>
      </x:c>
      <x:c r="L361" t="str">
        <x:v>$20+</x:v>
      </x:c>
      <x:c r="M361" t="str">
        <x:v>Yes</x:v>
      </x:c>
      <x:c r="N361" t="str">
        <x:v>Yes</x:v>
      </x:c>
      <x:c r="O361" t="str">
        <x:v>Yes</x:v>
      </x:c>
      <x:c r="P361" t="str">
        <x:v>Clean/NM benchmark unless noted</x:v>
      </x:c>
      <x:c r="Q361" t="n">
        <x:v>19</x:v>
      </x:c>
      <x:c r="R361" t="n">
        <x:v>24</x:v>
      </x:c>
      <x:c r="S361" t="n">
        <x:v>21.5</x:v>
      </x:c>
      <x:c r="T361" t="str">
        <x:v>Legendary Treasures Radiant Collection Growlithe RC4/RC25. TCGplayer market about $21.25 NM at research time.</x:v>
      </x:c>
      <x:c r="U361" t="n">
        <x:v>908</x:v>
      </x:c>
      <x:c r="V361" t="str">
        <x:v>Current chat continuation / researched 2026-08-15</x:v>
      </x:c>
      <x:c r="W361" t="str">
        <x:v>https://www.tcgplayer.com/search/pokemon/product?q=Growlithe+Legendary+Treasures+RC4</x:v>
      </x:c>
    </x:row>
    <x:row r="362">
      <x:c r="A362" t="n">
        <x:v>361</x:v>
      </x:c>
      <x:c r="B362" t="str">
        <x:v>Fire / Uncommons</x:v>
      </x:c>
      <x:c r="C362" t="str">
        <x:v>Growlithe</x:v>
      </x:c>
      <x:c r="D362" t="str">
        <x:v>RC4/RC25</x:v>
      </x:c>
      <x:c r="E362" t="str">
        <x:v>Legendary Treasures: Radiant Collection</x:v>
      </x:c>
      <x:c r="F362" t="n">
        <x:v>2013</x:v>
      </x:c>
      <x:c r="G362" t="str">
        <x:v>Holofoil / Radiant Collection</x:v>
      </x:c>
      <x:c r="H362" t="str">
        <x:v>2 of 2</x:v>
      </x:c>
      <x:c r="I362" t="n">
        <x:v>19</x:v>
      </x:c>
      <x:c r="J362" t="n">
        <x:v>24</x:v>
      </x:c>
      <x:c r="K362" t="n">
        <x:v>21.5</x:v>
      </x:c>
      <x:c r="L362" t="str">
        <x:v>$20+</x:v>
      </x:c>
      <x:c r="M362" t="str">
        <x:v>Yes</x:v>
      </x:c>
      <x:c r="N362" t="str">
        <x:v>Yes</x:v>
      </x:c>
      <x:c r="O362" t="str">
        <x:v>Yes</x:v>
      </x:c>
      <x:c r="P362" t="str">
        <x:v>Clean/NM benchmark unless noted</x:v>
      </x:c>
      <x:c r="Q362" t="n">
        <x:v>19</x:v>
      </x:c>
      <x:c r="R362" t="n">
        <x:v>24</x:v>
      </x:c>
      <x:c r="S362" t="n">
        <x:v>21.5</x:v>
      </x:c>
      <x:c r="T362" t="str">
        <x:v>Legendary Treasures Radiant Collection Growlithe RC4/RC25. TCGplayer market about $21.25 NM at research time.</x:v>
      </x:c>
      <x:c r="U362" t="n">
        <x:v>908</x:v>
      </x:c>
      <x:c r="V362" t="str">
        <x:v>Current chat continuation / researched 2026-08-15</x:v>
      </x:c>
      <x:c r="W362" t="str">
        <x:v>https://www.tcgplayer.com/search/pokemon/product?q=Growlithe+Legendary+Treasures+RC4</x:v>
      </x:c>
    </x:row>
    <x:row r="363">
      <x:c r="A363" t="n">
        <x:v>362</x:v>
      </x:c>
      <x:c r="B363" t="str">
        <x:v>Fire / Uncommons</x:v>
      </x:c>
      <x:c r="C363" t="str">
        <x:v>Arcanine</x:v>
      </x:c>
      <x:c r="D363" t="str">
        <x:v>13/99</x:v>
      </x:c>
      <x:c r="E363" t="str">
        <x:v>Next Destinies</x:v>
      </x:c>
      <x:c r="F363" t="n">
        <x:v>2012</x:v>
      </x:c>
      <x:c r="G363" t="str">
        <x:v>Reverse Holo</x:v>
      </x:c>
      <x:c r="H363" t="str">
        <x:v>1 of 2</x:v>
      </x:c>
      <x:c r="I363" t="n">
        <x:v>8.5</x:v>
      </x:c>
      <x:c r="J363" t="n">
        <x:v>11</x:v>
      </x:c>
      <x:c r="K363" t="n">
        <x:v>9.75</x:v>
      </x:c>
      <x:c r="L363" t="str">
        <x:v>$5–20</x:v>
      </x:c>
      <x:c r="M363" t="str">
        <x:v>Yes</x:v>
      </x:c>
      <x:c r="N363" t="str">
        <x:v>No</x:v>
      </x:c>
      <x:c r="O363" t="str">
        <x:v>Yes</x:v>
      </x:c>
      <x:c r="P363" t="str">
        <x:v>Clean/NM benchmark unless noted</x:v>
      </x:c>
      <x:c r="Q363" t="n">
        <x:v>8.5</x:v>
      </x:c>
      <x:c r="R363" t="n">
        <x:v>11</x:v>
      </x:c>
      <x:c r="S363" t="n">
        <x:v>9.75</x:v>
      </x:c>
      <x:c r="T363" t="str">
        <x:v>Next Destinies Arcanine 13/99 reverse holo. TCGplayer NM market about $9.60; recent TCGplayer NM sales mostly around $8.86–10.99.</x:v>
      </x:c>
      <x:c r="U363" t="n">
        <x:v>908</x:v>
      </x:c>
      <x:c r="V363" t="str">
        <x:v>Current chat continuation / researched 2026-08-15</x:v>
      </x:c>
      <x:c r="W363" t="str">
        <x:v>https://www.tcgplayer.com/categories/trading-and-collectible-card-games/pokemon/price-guides/next-destinies</x:v>
      </x:c>
    </x:row>
    <x:row r="364">
      <x:c r="A364" t="n">
        <x:v>363</x:v>
      </x:c>
      <x:c r="B364" t="str">
        <x:v>Fire / Uncommons</x:v>
      </x:c>
      <x:c r="C364" t="str">
        <x:v>Arcanine</x:v>
      </x:c>
      <x:c r="D364" t="str">
        <x:v>13/99</x:v>
      </x:c>
      <x:c r="E364" t="str">
        <x:v>Next Destinies</x:v>
      </x:c>
      <x:c r="F364" t="n">
        <x:v>2012</x:v>
      </x:c>
      <x:c r="G364" t="str">
        <x:v>Reverse Holo</x:v>
      </x:c>
      <x:c r="H364" t="str">
        <x:v>2 of 2</x:v>
      </x:c>
      <x:c r="I364" t="n">
        <x:v>8.5</x:v>
      </x:c>
      <x:c r="J364" t="n">
        <x:v>11</x:v>
      </x:c>
      <x:c r="K364" t="n">
        <x:v>9.75</x:v>
      </x:c>
      <x:c r="L364" t="str">
        <x:v>$5–20</x:v>
      </x:c>
      <x:c r="M364" t="str">
        <x:v>Yes</x:v>
      </x:c>
      <x:c r="N364" t="str">
        <x:v>No</x:v>
      </x:c>
      <x:c r="O364" t="str">
        <x:v>Yes</x:v>
      </x:c>
      <x:c r="P364" t="str">
        <x:v>Clean/NM benchmark unless noted</x:v>
      </x:c>
      <x:c r="Q364" t="n">
        <x:v>8.5</x:v>
      </x:c>
      <x:c r="R364" t="n">
        <x:v>11</x:v>
      </x:c>
      <x:c r="S364" t="n">
        <x:v>9.75</x:v>
      </x:c>
      <x:c r="T364" t="str">
        <x:v>Next Destinies Arcanine 13/99 reverse holo. TCGplayer NM market about $9.60; recent TCGplayer NM sales mostly around $8.86–10.99.</x:v>
      </x:c>
      <x:c r="U364" t="n">
        <x:v>908</x:v>
      </x:c>
      <x:c r="V364" t="str">
        <x:v>Current chat continuation / researched 2026-08-15</x:v>
      </x:c>
      <x:c r="W364" t="str">
        <x:v>https://www.tcgplayer.com/categories/trading-and-collectible-card-games/pokemon/price-guides/next-destinies</x:v>
      </x:c>
    </x:row>
    <x:row r="365">
      <x:c r="A365" t="n">
        <x:v>364</x:v>
      </x:c>
      <x:c r="B365" t="str">
        <x:v>Fire / Uncommons</x:v>
      </x:c>
      <x:c r="C365" t="str">
        <x:v>Quilava</x:v>
      </x:c>
      <x:c r="D365" t="str">
        <x:v>47/111</x:v>
      </x:c>
      <x:c r="E365" t="str">
        <x:v>Neo Genesis</x:v>
      </x:c>
      <x:c r="F365" t="n">
        <x:v>2000</x:v>
      </x:c>
      <x:c r="G365" t="str">
        <x:v>Regular (Unlimited assumed)</x:v>
      </x:c>
      <x:c r="H365" t="str">
        <x:v>1 of 1</x:v>
      </x:c>
      <x:c r="I365" t="n">
        <x:v>4.5</x:v>
      </x:c>
      <x:c r="J365" t="n">
        <x:v>10</x:v>
      </x:c>
      <x:c r="K365" t="n">
        <x:v>7.25</x:v>
      </x:c>
      <x:c r="L365" t="str">
        <x:v>$5–20</x:v>
      </x:c>
      <x:c r="M365" t="str">
        <x:v>Yes</x:v>
      </x:c>
      <x:c r="N365" t="str">
        <x:v>No</x:v>
      </x:c>
      <x:c r="O365" t="str">
        <x:v>Yes</x:v>
      </x:c>
      <x:c r="P365" t="str">
        <x:v>Clean/NM benchmark unless noted</x:v>
      </x:c>
      <x:c r="Q365" t="n">
        <x:v>4.5</x:v>
      </x:c>
      <x:c r="R365" t="n">
        <x:v>10</x:v>
      </x:c>
      <x:c r="S365" t="n">
        <x:v>7.25</x:v>
      </x:c>
      <x:c r="T365" t="str">
        <x:v>Neo Genesis Quilava 47/111. Unlimited assumed unless a 1st Edition stamp is identified. Current market evidence ranges roughly $4.5–10 for clean raw copies.</x:v>
      </x:c>
      <x:c r="U365" t="n">
        <x:v>909</x:v>
      </x:c>
      <x:c r="V365" t="str">
        <x:v>Current chat continuation / researched 2026-08-15</x:v>
      </x:c>
      <x:c r="W365" t="str">
        <x:v>https://www.tcgplayer.com/search/pokemon/product?productLineName=pokemon&amp;q=Quilava+Neo+Genesis</x:v>
      </x:c>
    </x:row>
    <x:row r="366">
      <x:c r="A366" t="n">
        <x:v>365</x:v>
      </x:c>
      <x:c r="B366" t="str">
        <x:v>Fire / Uncommons</x:v>
      </x:c>
      <x:c r="C366" t="str">
        <x:v>Quilava</x:v>
      </x:c>
      <x:c r="D366" t="str">
        <x:v>49/95</x:v>
      </x:c>
      <x:c r="E366" t="str">
        <x:v>Call of Legends</x:v>
      </x:c>
      <x:c r="F366" t="n">
        <x:v>2011</x:v>
      </x:c>
      <x:c r="G366" t="str">
        <x:v>Regular</x:v>
      </x:c>
      <x:c r="H366" t="str">
        <x:v>1 of 2</x:v>
      </x:c>
      <x:c r="I366" t="n">
        <x:v>0.75</x:v>
      </x:c>
      <x:c r="J366" t="n">
        <x:v>1.1</x:v>
      </x:c>
      <x:c r="K366" t="n">
        <x:v>0.925</x:v>
      </x:c>
      <x:c r="L366" t="str">
        <x:v>&lt;$1</x:v>
      </x:c>
      <x:c r="M366" t="str">
        <x:v>Yes</x:v>
      </x:c>
      <x:c r="N366" t="str">
        <x:v>No</x:v>
      </x:c>
      <x:c r="O366" t="str">
        <x:v>No</x:v>
      </x:c>
      <x:c r="P366" t="str">
        <x:v>Clean/NM benchmark unless noted</x:v>
      </x:c>
      <x:c r="Q366" t="n">
        <x:v>0.75</x:v>
      </x:c>
      <x:c r="R366" t="n">
        <x:v>1.1</x:v>
      </x:c>
      <x:c r="S366" t="n">
        <x:v>0.925</x:v>
      </x:c>
      <x:c r="T366" t="str">
        <x:v>Call of Legends Quilava 49/95 regular. Current NM market is just under $1, so it remains outside the $1+ tab.</x:v>
      </x:c>
      <x:c r="U366" t="n">
        <x:v>909</x:v>
      </x:c>
      <x:c r="V366" t="str">
        <x:v>Current chat continuation / resolved 2026-08-15</x:v>
      </x:c>
      <x:c r="W366" t="str">
        <x:v>https://www.tcgplayer.com/search/pokemon/product?productLineName=pokemon&amp;q=Quilava+Call+of+Legends+49</x:v>
      </x:c>
    </x:row>
    <x:row r="367">
      <x:c r="A367" t="n">
        <x:v>366</x:v>
      </x:c>
      <x:c r="B367" t="str">
        <x:v>Fire / Uncommons</x:v>
      </x:c>
      <x:c r="C367" t="str">
        <x:v>Quilava</x:v>
      </x:c>
      <x:c r="D367" t="str">
        <x:v>49/95</x:v>
      </x:c>
      <x:c r="E367" t="str">
        <x:v>Call of Legends</x:v>
      </x:c>
      <x:c r="F367" t="n">
        <x:v>2011</x:v>
      </x:c>
      <x:c r="G367" t="str">
        <x:v>Regular</x:v>
      </x:c>
      <x:c r="H367" t="str">
        <x:v>2 of 2</x:v>
      </x:c>
      <x:c r="I367" t="n">
        <x:v>0.75</x:v>
      </x:c>
      <x:c r="J367" t="n">
        <x:v>1.1</x:v>
      </x:c>
      <x:c r="K367" t="n">
        <x:v>0.925</x:v>
      </x:c>
      <x:c r="L367" t="str">
        <x:v>&lt;$1</x:v>
      </x:c>
      <x:c r="M367" t="str">
        <x:v>Yes</x:v>
      </x:c>
      <x:c r="N367" t="str">
        <x:v>No</x:v>
      </x:c>
      <x:c r="O367" t="str">
        <x:v>No</x:v>
      </x:c>
      <x:c r="P367" t="str">
        <x:v>Clean/NM benchmark unless noted</x:v>
      </x:c>
      <x:c r="Q367" t="n">
        <x:v>0.75</x:v>
      </x:c>
      <x:c r="R367" t="n">
        <x:v>1.1</x:v>
      </x:c>
      <x:c r="S367" t="n">
        <x:v>0.925</x:v>
      </x:c>
      <x:c r="T367" t="str">
        <x:v>Call of Legends Quilava 49/95 regular. Current NM market is just under $1, so it remains outside the $1+ tab.</x:v>
      </x:c>
      <x:c r="U367" t="n">
        <x:v>909</x:v>
      </x:c>
      <x:c r="V367" t="str">
        <x:v>Current chat continuation / resolved 2026-08-15</x:v>
      </x:c>
      <x:c r="W367" t="str">
        <x:v>https://www.tcgplayer.com/search/pokemon/product?productLineName=pokemon&amp;q=Quilava+Call+of+Legends+49</x:v>
      </x:c>
    </x:row>
    <x:row r="368">
      <x:c r="A368" t="n">
        <x:v>367</x:v>
      </x:c>
      <x:c r="B368" t="str">
        <x:v>Fire / Uncommons</x:v>
      </x:c>
      <x:c r="C368" t="str">
        <x:v>Simisear</x:v>
      </x:c>
      <x:c r="D368" t="str">
        <x:v>17/101</x:v>
      </x:c>
      <x:c r="E368" t="str">
        <x:v>Noble Victories</x:v>
      </x:c>
      <x:c r="F368" t="n">
        <x:v>2011</x:v>
      </x:c>
      <x:c r="G368" t="str">
        <x:v>Reverse Holo</x:v>
      </x:c>
      <x:c r="H368" t="str">
        <x:v>1 of 1</x:v>
      </x:c>
      <x:c r="I368" t="n">
        <x:v>0.45</x:v>
      </x:c>
      <x:c r="J368" t="n">
        <x:v>0.8</x:v>
      </x:c>
      <x:c r="K368" t="n">
        <x:v>0.625</x:v>
      </x:c>
      <x:c r="L368" t="str">
        <x:v>&lt;$1</x:v>
      </x:c>
      <x:c r="M368" t="str">
        <x:v>Yes</x:v>
      </x:c>
      <x:c r="N368" t="str">
        <x:v>No</x:v>
      </x:c>
      <x:c r="O368" t="str">
        <x:v>No</x:v>
      </x:c>
      <x:c r="P368" t="str">
        <x:v>Clean/NM benchmark unless noted</x:v>
      </x:c>
      <x:c r="Q368" t="n">
        <x:v>0.45</x:v>
      </x:c>
      <x:c r="R368" t="n">
        <x:v>0.8</x:v>
      </x:c>
      <x:c r="S368" t="n">
        <x:v>0.625</x:v>
      </x:c>
      <x:c r="T368" t="str">
        <x:v>Noble Victories Simisear 17/101 reverse holo. TCGplayer/PriceCharting NM comps are roughly $0.65–0.75.</x:v>
      </x:c>
      <x:c r="U368" t="n">
        <x:v>910</x:v>
      </x:c>
      <x:c r="V368" t="str">
        <x:v>Current chat continuation / researched 2026-08-15</x:v>
      </x:c>
      <x:c r="W368" t="str">
        <x:v>https://www.pricecharting.com/game/pokemon-noble-victories/simisear-reverse-holo-17</x:v>
      </x:c>
    </x:row>
    <x:row r="369">
      <x:c r="A369" t="n">
        <x:v>368</x:v>
      </x:c>
      <x:c r="B369" t="str">
        <x:v>Fire / Uncommons</x:v>
      </x:c>
      <x:c r="C369" t="str">
        <x:v>Simisear</x:v>
      </x:c>
      <x:c r="D369" t="str">
        <x:v>22/114</x:v>
      </x:c>
      <x:c r="E369" t="str">
        <x:v>Black &amp; White</x:v>
      </x:c>
      <x:c r="F369" t="n">
        <x:v>2011</x:v>
      </x:c>
      <x:c r="G369" t="str">
        <x:v>Reverse Holo</x:v>
      </x:c>
      <x:c r="H369" t="str">
        <x:v>1 of 1</x:v>
      </x:c>
      <x:c r="I369" t="n">
        <x:v>0.5</x:v>
      </x:c>
      <x:c r="J369" t="n">
        <x:v>2.1</x:v>
      </x:c>
      <x:c r="K369" t="n">
        <x:v>1.3</x:v>
      </x:c>
      <x:c r="L369" t="str">
        <x:v>$1–5</x:v>
      </x:c>
      <x:c r="M369" t="str">
        <x:v>Yes</x:v>
      </x:c>
      <x:c r="N369" t="str">
        <x:v>No</x:v>
      </x:c>
      <x:c r="O369" t="str">
        <x:v>Yes</x:v>
      </x:c>
      <x:c r="P369" t="str">
        <x:v>Clean/NM benchmark unless noted</x:v>
      </x:c>
      <x:c r="Q369" t="n">
        <x:v>0.5</x:v>
      </x:c>
      <x:c r="R369" t="n">
        <x:v>2.1</x:v>
      </x:c>
      <x:c r="S369" t="n">
        <x:v>1.3</x:v>
      </x:c>
      <x:c r="T369" t="str">
        <x:v>Black &amp; White Simisear 22/114 reverse holo. TCGplayer market is around $0.59, but recent NM eBay sales are frequently ~$1.95–2.11; treated as an about-$1+ separator card.</x:v>
      </x:c>
      <x:c r="U369" t="n">
        <x:v>910</x:v>
      </x:c>
      <x:c r="V369" t="str">
        <x:v>Current chat continuation / researched 2026-08-15</x:v>
      </x:c>
      <x:c r="W369" t="str">
        <x:v>https://www.pricecharting.com/game/pokemon-black-%26-white/simisear-reverse-holo-22</x:v>
      </x:c>
    </x:row>
    <x:row r="370">
      <x:c r="A370" t="n">
        <x:v>369</x:v>
      </x:c>
      <x:c r="B370" t="str">
        <x:v>Fire / Uncommons</x:v>
      </x:c>
      <x:c r="C370" t="str">
        <x:v>Pignite</x:v>
      </x:c>
      <x:c r="D370" t="str">
        <x:v>17/114</x:v>
      </x:c>
      <x:c r="E370" t="str">
        <x:v>Black &amp; White</x:v>
      </x:c>
      <x:c r="F370" t="n">
        <x:v>2011</x:v>
      </x:c>
      <x:c r="G370" t="str">
        <x:v>Cracked Ice Holofoil</x:v>
      </x:c>
      <x:c r="H370" t="str">
        <x:v>1 of 1</x:v>
      </x:c>
      <x:c r="I370" t="n">
        <x:v>7.5</x:v>
      </x:c>
      <x:c r="J370" t="n">
        <x:v>11.5</x:v>
      </x:c>
      <x:c r="K370" t="n">
        <x:v>9.5</x:v>
      </x:c>
      <x:c r="L370" t="str">
        <x:v>$5–20</x:v>
      </x:c>
      <x:c r="M370" t="str">
        <x:v>Yes</x:v>
      </x:c>
      <x:c r="N370" t="str">
        <x:v>No</x:v>
      </x:c>
      <x:c r="O370" t="str">
        <x:v>Yes</x:v>
      </x:c>
      <x:c r="P370" t="str">
        <x:v>Clean/NM benchmark unless noted</x:v>
      </x:c>
      <x:c r="Q370" t="n">
        <x:v>7.5</x:v>
      </x:c>
      <x:c r="R370" t="n">
        <x:v>11.5</x:v>
      </x:c>
      <x:c r="S370" t="n">
        <x:v>9.5</x:v>
      </x:c>
      <x:c r="T370" t="str">
        <x:v>Black &amp; White Pignite 17/114 Cracked Ice Holofoil. User described as holo. Current market tracker around $9.00 NM; reverse holo is a separate printing.</x:v>
      </x:c>
      <x:c r="U370" t="n">
        <x:v>911</x:v>
      </x:c>
      <x:c r="V370" t="str">
        <x:v>Current chat continuation / researched 2026-08-15</x:v>
      </x:c>
      <x:c r="W370" t="str">
        <x:v>https://pokescope.app/card/bw1-17/</x:v>
      </x:c>
    </x:row>
    <x:row r="371">
      <x:c r="A371" t="n">
        <x:v>370</x:v>
      </x:c>
      <x:c r="B371" t="str">
        <x:v>Fire / Uncommons</x:v>
      </x:c>
      <x:c r="C371" t="str">
        <x:v>Combusken</x:v>
      </x:c>
      <x:c r="D371" t="str">
        <x:v>16/108</x:v>
      </x:c>
      <x:c r="E371" t="str">
        <x:v>Dark Explorers</x:v>
      </x:c>
      <x:c r="F371" t="n">
        <x:v>2012</x:v>
      </x:c>
      <x:c r="G371" t="str">
        <x:v>Regular</x:v>
      </x:c>
      <x:c r="H371" t="str">
        <x:v>1 of 2</x:v>
      </x:c>
      <x:c r="I371" t="n">
        <x:v>0.6</x:v>
      </x:c>
      <x:c r="J371" t="n">
        <x:v>1</x:v>
      </x:c>
      <x:c r="K371" t="n">
        <x:v>0.8</x:v>
      </x:c>
      <x:c r="L371" t="str">
        <x:v>&lt;$1</x:v>
      </x:c>
      <x:c r="M371" t="str">
        <x:v>Yes</x:v>
      </x:c>
      <x:c r="N371" t="str">
        <x:v>No</x:v>
      </x:c>
      <x:c r="O371" t="str">
        <x:v>No</x:v>
      </x:c>
      <x:c r="P371" t="str">
        <x:v>Clean/NM benchmark unless noted</x:v>
      </x:c>
      <x:c r="Q371" t="n">
        <x:v>0.6</x:v>
      </x:c>
      <x:c r="R371" t="n">
        <x:v>1</x:v>
      </x:c>
      <x:c r="S371" t="n">
        <x:v>0.8</x:v>
      </x:c>
      <x:c r="T371" t="str">
        <x:v>Dark Explorers Combusken 16/108 regular. TCGplayer market about $0.82 NM.</x:v>
      </x:c>
      <x:c r="U371" t="n">
        <x:v>912</x:v>
      </x:c>
      <x:c r="V371" t="str">
        <x:v>Current chat continuation / researched 2026-08-15</x:v>
      </x:c>
      <x:c r="W371" t="str">
        <x:v>https://www.tcgplayer.com/search/pokemon/product?page=1&amp;productLineName=pokemon&amp;productName=Combusken&amp;view=grid</x:v>
      </x:c>
    </x:row>
    <x:row r="372">
      <x:c r="A372" t="n">
        <x:v>371</x:v>
      </x:c>
      <x:c r="B372" t="str">
        <x:v>Fire / Uncommons</x:v>
      </x:c>
      <x:c r="C372" t="str">
        <x:v>Combusken</x:v>
      </x:c>
      <x:c r="D372" t="str">
        <x:v>16/108</x:v>
      </x:c>
      <x:c r="E372" t="str">
        <x:v>Dark Explorers</x:v>
      </x:c>
      <x:c r="F372" t="n">
        <x:v>2012</x:v>
      </x:c>
      <x:c r="G372" t="str">
        <x:v>Regular</x:v>
      </x:c>
      <x:c r="H372" t="str">
        <x:v>2 of 2</x:v>
      </x:c>
      <x:c r="I372" t="n">
        <x:v>0.6</x:v>
      </x:c>
      <x:c r="J372" t="n">
        <x:v>1</x:v>
      </x:c>
      <x:c r="K372" t="n">
        <x:v>0.8</x:v>
      </x:c>
      <x:c r="L372" t="str">
        <x:v>&lt;$1</x:v>
      </x:c>
      <x:c r="M372" t="str">
        <x:v>Yes</x:v>
      </x:c>
      <x:c r="N372" t="str">
        <x:v>No</x:v>
      </x:c>
      <x:c r="O372" t="str">
        <x:v>No</x:v>
      </x:c>
      <x:c r="P372" t="str">
        <x:v>Clean/NM benchmark unless noted</x:v>
      </x:c>
      <x:c r="Q372" t="n">
        <x:v>0.6</x:v>
      </x:c>
      <x:c r="R372" t="n">
        <x:v>1</x:v>
      </x:c>
      <x:c r="S372" t="n">
        <x:v>0.8</x:v>
      </x:c>
      <x:c r="T372" t="str">
        <x:v>Dark Explorers Combusken 16/108 regular. TCGplayer market about $0.82 NM.</x:v>
      </x:c>
      <x:c r="U372" t="n">
        <x:v>912</x:v>
      </x:c>
      <x:c r="V372" t="str">
        <x:v>Current chat continuation / researched 2026-08-15</x:v>
      </x:c>
      <x:c r="W372" t="str">
        <x:v>https://www.tcgplayer.com/search/pokemon/product?page=1&amp;productLineName=pokemon&amp;productName=Combusken&amp;view=grid</x:v>
      </x:c>
    </x:row>
    <x:row r="373">
      <x:c r="A373" t="n">
        <x:v>372</x:v>
      </x:c>
      <x:c r="B373" t="str">
        <x:v>Fire / Uncommons</x:v>
      </x:c>
      <x:c r="C373" t="str">
        <x:v>Combusken</x:v>
      </x:c>
      <x:c r="D373" t="str">
        <x:v>16/108</x:v>
      </x:c>
      <x:c r="E373" t="str">
        <x:v>Dark Explorers</x:v>
      </x:c>
      <x:c r="F373" t="n">
        <x:v>2012</x:v>
      </x:c>
      <x:c r="G373" t="str">
        <x:v>Reverse Holo</x:v>
      </x:c>
      <x:c r="H373" t="str">
        <x:v>1 of 1</x:v>
      </x:c>
      <x:c r="I373" t="n">
        <x:v>2</x:v>
      </x:c>
      <x:c r="J373" t="n">
        <x:v>4</x:v>
      </x:c>
      <x:c r="K373" t="n">
        <x:v>3</x:v>
      </x:c>
      <x:c r="L373" t="str">
        <x:v>$1–5</x:v>
      </x:c>
      <x:c r="M373" t="str">
        <x:v>Yes</x:v>
      </x:c>
      <x:c r="N373" t="str">
        <x:v>No</x:v>
      </x:c>
      <x:c r="O373" t="str">
        <x:v>Yes</x:v>
      </x:c>
      <x:c r="P373" t="str">
        <x:v>Clean/NM benchmark unless noted</x:v>
      </x:c>
      <x:c r="Q373" t="n">
        <x:v>2</x:v>
      </x:c>
      <x:c r="R373" t="n">
        <x:v>4</x:v>
      </x:c>
      <x:c r="S373" t="n">
        <x:v>3</x:v>
      </x:c>
      <x:c r="T373" t="str">
        <x:v>Dark Explorers Combusken 16/108 reverse holo. TCGplayer NM is about $2.16; PriceCharting raw tracking is closer to the mid-$3s.</x:v>
      </x:c>
      <x:c r="U373" t="n">
        <x:v>912</x:v>
      </x:c>
      <x:c r="V373" t="str">
        <x:v>Current chat continuation / researched 2026-08-15</x:v>
      </x:c>
      <x:c r="W373" t="str">
        <x:v>https://www.tcgplayer.com/categories/trading-and-collectible-card-games/pokemon/price-guides/dark-explorers</x:v>
      </x:c>
    </x:row>
    <x:row r="374">
      <x:c r="A374" t="n">
        <x:v>373</x:v>
      </x:c>
      <x:c r="B374" t="str">
        <x:v>Fire / Uncommons</x:v>
      </x:c>
      <x:c r="C374" t="str">
        <x:v>Combusken</x:v>
      </x:c>
      <x:c r="D374" t="str">
        <x:v>28/109</x:v>
      </x:c>
      <x:c r="E374" t="str">
        <x:v>World Championships 2004 — Blaziken Tech (Chris Fulop)</x:v>
      </x:c>
      <x:c r="F374" t="n">
        <x:v>2004</x:v>
      </x:c>
      <x:c r="G374" t="str">
        <x:v>World Championships replica</x:v>
      </x:c>
      <x:c r="H374" t="str">
        <x:v>1 of 1</x:v>
      </x:c>
      <x:c r="I374" t="n">
        <x:v>2.5</x:v>
      </x:c>
      <x:c r="J374" t="n">
        <x:v>3.2</x:v>
      </x:c>
      <x:c r="K374" t="n">
        <x:v>2.85</x:v>
      </x:c>
      <x:c r="L374" t="str">
        <x:v>$1–5</x:v>
      </x:c>
      <x:c r="M374" t="str">
        <x:v>Yes</x:v>
      </x:c>
      <x:c r="N374" t="str">
        <x:v>No</x:v>
      </x:c>
      <x:c r="O374" t="str">
        <x:v>Yes</x:v>
      </x:c>
      <x:c r="P374" t="str">
        <x:v>Clean/NM benchmark unless noted</x:v>
      </x:c>
      <x:c r="Q374" t="n">
        <x:v>2.5</x:v>
      </x:c>
      <x:c r="R374" t="n">
        <x:v>3.2</x:v>
      </x:c>
      <x:c r="S374" t="n">
        <x:v>2.85</x:v>
      </x:c>
      <x:c r="T374" t="str">
        <x:v>2004 World Championships Blaziken Tech (Chris Fulop) replica of Combusken 28/109. TCGplayer World Championship Decks market about $2.73.</x:v>
      </x:c>
      <x:c r="U374" t="n">
        <x:v>912</x:v>
      </x:c>
      <x:c r="V374" t="str">
        <x:v>Current chat correction / researched 2026-08-15</x:v>
      </x:c>
      <x:c r="W374" t="str">
        <x:v>https://www.tcgplayer.com/search/pokemon/world-championship-decks?productLineName=pokemon&amp;setName=world-championship-decks&amp;view=grid</x:v>
      </x:c>
    </x:row>
    <x:row r="375">
      <x:c r="A375" t="n">
        <x:v>374</x:v>
      </x:c>
      <x:c r="B375" t="str">
        <x:v>Fire / Uncommons</x:v>
      </x:c>
      <x:c r="C375" t="str">
        <x:v>Combusken</x:v>
      </x:c>
      <x:c r="D375" t="str">
        <x:v>45/127</x:v>
      </x:c>
      <x:c r="E375" t="str">
        <x:v>Platinum</x:v>
      </x:c>
      <x:c r="F375" t="n">
        <x:v>2009</x:v>
      </x:c>
      <x:c r="G375" t="str">
        <x:v>Regular</x:v>
      </x:c>
      <x:c r="H375" t="str">
        <x:v>1 of 1</x:v>
      </x:c>
      <x:c r="I375" t="n">
        <x:v>0.45</x:v>
      </x:c>
      <x:c r="J375" t="n">
        <x:v>0.85</x:v>
      </x:c>
      <x:c r="K375" t="n">
        <x:v>0.65</x:v>
      </x:c>
      <x:c r="L375" t="str">
        <x:v>&lt;$1</x:v>
      </x:c>
      <x:c r="M375" t="str">
        <x:v>Yes</x:v>
      </x:c>
      <x:c r="N375" t="str">
        <x:v>No</x:v>
      </x:c>
      <x:c r="O375" t="str">
        <x:v>No</x:v>
      </x:c>
      <x:c r="P375" t="str">
        <x:v>Clean/NM benchmark unless noted</x:v>
      </x:c>
      <x:c r="Q375" t="n">
        <x:v>0.45</x:v>
      </x:c>
      <x:c r="R375" t="n">
        <x:v>0.85</x:v>
      </x:c>
      <x:c r="S375" t="n">
        <x:v>0.65</x:v>
      </x:c>
      <x:c r="T375" t="str">
        <x:v>Platinum Combusken 45/127 regular. TCGplayer/PriceCharting raw market roughly $0.55–0.75.</x:v>
      </x:c>
      <x:c r="U375" t="n">
        <x:v>912</x:v>
      </x:c>
      <x:c r="V375" t="str">
        <x:v>Current chat continuation / researched 2026-08-15</x:v>
      </x:c>
      <x:c r="W375" t="str">
        <x:v>https://www.pricecharting.com/game/pokemon-platinum/combusken-45</x:v>
      </x:c>
    </x:row>
    <x:row r="376">
      <x:c r="A376" t="n">
        <x:v>375</x:v>
      </x:c>
      <x:c r="B376" t="str">
        <x:v>Fire / Uncommons</x:v>
      </x:c>
      <x:c r="C376" t="str">
        <x:v>Magmar</x:v>
      </x:c>
      <x:c r="D376" t="str">
        <x:v>39/62</x:v>
      </x:c>
      <x:c r="E376" t="str">
        <x:v>Fossil</x:v>
      </x:c>
      <x:c r="F376" t="n">
        <x:v>1999</x:v>
      </x:c>
      <x:c r="G376" t="str">
        <x:v>Regular (Unlimited assumed)</x:v>
      </x:c>
      <x:c r="H376" t="str">
        <x:v>1 of 1</x:v>
      </x:c>
      <x:c r="I376" t="n">
        <x:v>1</x:v>
      </x:c>
      <x:c r="J376" t="n">
        <x:v>1.5</x:v>
      </x:c>
      <x:c r="K376" t="n">
        <x:v>1.25</x:v>
      </x:c>
      <x:c r="L376" t="str">
        <x:v>$1–5</x:v>
      </x:c>
      <x:c r="M376" t="str">
        <x:v>Yes</x:v>
      </x:c>
      <x:c r="N376" t="str">
        <x:v>No</x:v>
      </x:c>
      <x:c r="O376" t="str">
        <x:v>Yes</x:v>
      </x:c>
      <x:c r="P376" t="str">
        <x:v>Clean/NM benchmark unless noted</x:v>
      </x:c>
      <x:c r="Q376" t="n">
        <x:v>1</x:v>
      </x:c>
      <x:c r="R376" t="n">
        <x:v>1.5</x:v>
      </x:c>
      <x:c r="S376" t="n">
        <x:v>1.25</x:v>
      </x:c>
      <x:c r="T376" t="str">
        <x:v>Fossil Magmar 39/62, Unlimited assumed. TCGplayer Fossil price guide shows about $1.12 NM. Reprice if 1st Edition.</x:v>
      </x:c>
      <x:c r="U376" t="n">
        <x:v>913</x:v>
      </x:c>
      <x:c r="V376" t="str">
        <x:v>Current chat continuation / researched 2026-08-15</x:v>
      </x:c>
      <x:c r="W376" t="str">
        <x:v>https://www.tcgplayer.com/categories/trading-and-collectible-card-games/pokemon/price-guides/fossil</x:v>
      </x:c>
    </x:row>
    <x:row r="377">
      <x:c r="A377" t="n">
        <x:v>376</x:v>
      </x:c>
      <x:c r="B377" t="str">
        <x:v>Fire / Uncommons</x:v>
      </x:c>
      <x:c r="C377" t="str">
        <x:v>Magmar</x:v>
      </x:c>
      <x:c r="D377" t="str">
        <x:v>86/165</x:v>
      </x:c>
      <x:c r="E377" t="str">
        <x:v>Expedition</x:v>
      </x:c>
      <x:c r="F377" t="n">
        <x:v>2002</x:v>
      </x:c>
      <x:c r="G377" t="str">
        <x:v>Regular</x:v>
      </x:c>
      <x:c r="H377" t="str">
        <x:v>1 of 1</x:v>
      </x:c>
      <x:c r="I377" t="n">
        <x:v>6.5</x:v>
      </x:c>
      <x:c r="J377" t="n">
        <x:v>8</x:v>
      </x:c>
      <x:c r="K377" t="n">
        <x:v>7.25</x:v>
      </x:c>
      <x:c r="L377" t="str">
        <x:v>$5–20</x:v>
      </x:c>
      <x:c r="M377" t="str">
        <x:v>Yes</x:v>
      </x:c>
      <x:c r="N377" t="str">
        <x:v>No</x:v>
      </x:c>
      <x:c r="O377" t="str">
        <x:v>Yes</x:v>
      </x:c>
      <x:c r="P377" t="str">
        <x:v>Clean/NM benchmark unless noted</x:v>
      </x:c>
      <x:c r="Q377" t="n">
        <x:v>6.5</x:v>
      </x:c>
      <x:c r="R377" t="n">
        <x:v>8</x:v>
      </x:c>
      <x:c r="S377" t="n">
        <x:v>7.25</x:v>
      </x:c>
      <x:c r="T377" t="str">
        <x:v>Expedition Magmar 86/165 regular. Current TCGplayer market about $7.18–7.29. Reverse holo is a separate, much more valuable printing.</x:v>
      </x:c>
      <x:c r="U377" t="n">
        <x:v>913</x:v>
      </x:c>
      <x:c r="V377" t="str">
        <x:v>Current chat continuation / researched 2026-08-15</x:v>
      </x:c>
      <x:c r="W377" t="str">
        <x:v>https://www.tcgplayer.com/search/pokemon/product?productLineName=pokemon&amp;q=Magmar&amp;view=grid</x:v>
      </x:c>
    </x:row>
    <x:row r="378">
      <x:c r="A378" t="n">
        <x:v>377</x:v>
      </x:c>
      <x:c r="B378" t="str">
        <x:v>Fire / Uncommons</x:v>
      </x:c>
      <x:c r="C378" t="str">
        <x:v>Blaine's Magmar</x:v>
      </x:c>
      <x:c r="D378" t="str">
        <x:v>37/132</x:v>
      </x:c>
      <x:c r="E378" t="str">
        <x:v>Gym Heroes</x:v>
      </x:c>
      <x:c r="F378" t="n">
        <x:v>2000</x:v>
      </x:c>
      <x:c r="G378" t="str">
        <x:v>Regular (Unlimited assumed)</x:v>
      </x:c>
      <x:c r="H378" t="str">
        <x:v>1 of 1</x:v>
      </x:c>
      <x:c r="I378" t="n">
        <x:v>3</x:v>
      </x:c>
      <x:c r="J378" t="n">
        <x:v>5.5</x:v>
      </x:c>
      <x:c r="K378" t="n">
        <x:v>4.25</x:v>
      </x:c>
      <x:c r="L378" t="str">
        <x:v>$1–5</x:v>
      </x:c>
      <x:c r="M378" t="str">
        <x:v>Yes</x:v>
      </x:c>
      <x:c r="N378" t="str">
        <x:v>No</x:v>
      </x:c>
      <x:c r="O378" t="str">
        <x:v>Yes</x:v>
      </x:c>
      <x:c r="P378" t="str">
        <x:v>Clean/NM benchmark unless noted</x:v>
      </x:c>
      <x:c r="Q378" t="n">
        <x:v>3</x:v>
      </x:c>
      <x:c r="R378" t="n">
        <x:v>5.5</x:v>
      </x:c>
      <x:c r="S378" t="n">
        <x:v>4.25</x:v>
      </x:c>
      <x:c r="T378" t="str">
        <x:v>Gym Heroes Blaine's Magmar 37/132, Unlimited assumed. PriceCharting ungraded is about $3.30; recent NM TCGplayer/eBay sales commonly fall around $3–6. Reprice if 1st Edition.</x:v>
      </x:c>
      <x:c r="U378" t="n">
        <x:v>913</x:v>
      </x:c>
      <x:c r="V378" t="str">
        <x:v>Current chat continuation / researched 2026-08-15</x:v>
      </x:c>
      <x:c r="W378" t="str">
        <x:v>https://www.pricecharting.com/game/pokemon-gym-heroes/blaine%27s-magmar-37</x:v>
      </x:c>
    </x:row>
    <x:row r="379">
      <x:c r="A379" t="n">
        <x:v>378</x:v>
      </x:c>
      <x:c r="B379" t="str">
        <x:v>Fire / Uncommons</x:v>
      </x:c>
      <x:c r="C379" t="str">
        <x:v>Rapidash</x:v>
      </x:c>
      <x:c r="D379" t="str">
        <x:v>52/113</x:v>
      </x:c>
      <x:c r="E379" t="str">
        <x:v>EX Delta Species</x:v>
      </x:c>
      <x:c r="F379" t="n">
        <x:v>2005</x:v>
      </x:c>
      <x:c r="G379" t="str">
        <x:v>Regular</x:v>
      </x:c>
      <x:c r="H379" t="str">
        <x:v>1 of 1</x:v>
      </x:c>
      <x:c r="I379" t="n">
        <x:v>1.5</x:v>
      </x:c>
      <x:c r="J379" t="n">
        <x:v>2.5</x:v>
      </x:c>
      <x:c r="K379" t="n">
        <x:v>2</x:v>
      </x:c>
      <x:c r="L379" t="str">
        <x:v>$1–5</x:v>
      </x:c>
      <x:c r="M379" t="str">
        <x:v>Yes</x:v>
      </x:c>
      <x:c r="N379" t="str">
        <x:v>No</x:v>
      </x:c>
      <x:c r="O379" t="str">
        <x:v>Yes</x:v>
      </x:c>
      <x:c r="P379" t="str">
        <x:v>Clean/NM benchmark unless noted</x:v>
      </x:c>
      <x:c r="Q379" t="n">
        <x:v>1.5</x:v>
      </x:c>
      <x:c r="R379" t="n">
        <x:v>2.5</x:v>
      </x:c>
      <x:c r="S379" t="n">
        <x:v>2</x:v>
      </x:c>
      <x:c r="T379" t="str">
        <x:v>EX Delta Species Rapidash 52/113 regular. TCGplayer NM market about $1.96.</x:v>
      </x:c>
      <x:c r="U379" t="n">
        <x:v>914</x:v>
      </x:c>
      <x:c r="V379" t="str">
        <x:v>Current chat continuation / researched 2026-08-15</x:v>
      </x:c>
      <x:c r="W379" t="str">
        <x:v>https://www.tcgplayer.com/product/88582/pokemon-ex-delta-species-rapidash</x:v>
      </x:c>
    </x:row>
    <x:row r="380">
      <x:c r="A380" t="n">
        <x:v>379</x:v>
      </x:c>
      <x:c r="B380" t="str">
        <x:v>Fire / Uncommons</x:v>
      </x:c>
      <x:c r="C380" t="str">
        <x:v>Rapidash E4</x:v>
      </x:c>
      <x:c r="D380" t="str">
        <x:v>47/111</x:v>
      </x:c>
      <x:c r="E380" t="str">
        <x:v>Rising Rivals</x:v>
      </x:c>
      <x:c r="F380" t="n">
        <x:v>2009</x:v>
      </x:c>
      <x:c r="G380" t="str">
        <x:v>Regular (LV.53)</x:v>
      </x:c>
      <x:c r="H380" t="str">
        <x:v>1 of 2</x:v>
      </x:c>
      <x:c r="I380" t="n">
        <x:v>0.8</x:v>
      </x:c>
      <x:c r="J380" t="n">
        <x:v>1.3</x:v>
      </x:c>
      <x:c r="K380" t="n">
        <x:v>1.05</x:v>
      </x:c>
      <x:c r="L380" t="str">
        <x:v>$1–5</x:v>
      </x:c>
      <x:c r="M380" t="str">
        <x:v>Yes</x:v>
      </x:c>
      <x:c r="N380" t="str">
        <x:v>No</x:v>
      </x:c>
      <x:c r="O380" t="str">
        <x:v>Yes</x:v>
      </x:c>
      <x:c r="P380" t="str">
        <x:v>Clean/NM benchmark unless noted</x:v>
      </x:c>
      <x:c r="Q380" t="n">
        <x:v>0.8</x:v>
      </x:c>
      <x:c r="R380" t="n">
        <x:v>1.3</x:v>
      </x:c>
      <x:c r="S380" t="n">
        <x:v>1.05</x:v>
      </x:c>
      <x:c r="T380" t="str">
        <x:v>Rising Rivals Rapidash E4 47/111, LV.53 regular. TCGplayer market about $1.00–1.05.</x:v>
      </x:c>
      <x:c r="U380" t="n">
        <x:v>914</x:v>
      </x:c>
      <x:c r="V380" t="str">
        <x:v>Current chat continuation / researched 2026-08-15</x:v>
      </x:c>
      <x:c r="W380" t="str">
        <x:v>https://www.tcgplayer.com/search/all/product?q=rapidash+e4+47+rising+rivals&amp;view=grid</x:v>
      </x:c>
    </x:row>
    <x:row r="381">
      <x:c r="A381" t="n">
        <x:v>380</x:v>
      </x:c>
      <x:c r="B381" t="str">
        <x:v>Fire / Uncommons</x:v>
      </x:c>
      <x:c r="C381" t="str">
        <x:v>Rapidash E4</x:v>
      </x:c>
      <x:c r="D381" t="str">
        <x:v>47/111</x:v>
      </x:c>
      <x:c r="E381" t="str">
        <x:v>Rising Rivals</x:v>
      </x:c>
      <x:c r="F381" t="n">
        <x:v>2009</x:v>
      </x:c>
      <x:c r="G381" t="str">
        <x:v>Regular (LV.53)</x:v>
      </x:c>
      <x:c r="H381" t="str">
        <x:v>2 of 2</x:v>
      </x:c>
      <x:c r="I381" t="n">
        <x:v>0.8</x:v>
      </x:c>
      <x:c r="J381" t="n">
        <x:v>1.3</x:v>
      </x:c>
      <x:c r="K381" t="n">
        <x:v>1.05</x:v>
      </x:c>
      <x:c r="L381" t="str">
        <x:v>$1–5</x:v>
      </x:c>
      <x:c r="M381" t="str">
        <x:v>Yes</x:v>
      </x:c>
      <x:c r="N381" t="str">
        <x:v>No</x:v>
      </x:c>
      <x:c r="O381" t="str">
        <x:v>Yes</x:v>
      </x:c>
      <x:c r="P381" t="str">
        <x:v>Clean/NM benchmark unless noted</x:v>
      </x:c>
      <x:c r="Q381" t="n">
        <x:v>0.8</x:v>
      </x:c>
      <x:c r="R381" t="n">
        <x:v>1.3</x:v>
      </x:c>
      <x:c r="S381" t="n">
        <x:v>1.05</x:v>
      </x:c>
      <x:c r="T381" t="str">
        <x:v>Rising Rivals Rapidash E4 47/111, LV.53 regular. TCGplayer market about $1.00–1.05.</x:v>
      </x:c>
      <x:c r="U381" t="n">
        <x:v>914</x:v>
      </x:c>
      <x:c r="V381" t="str">
        <x:v>Current chat continuation / researched 2026-08-15</x:v>
      </x:c>
      <x:c r="W381" t="str">
        <x:v>https://www.tcgplayer.com/search/all/product?q=rapidash+e4+47+rising+rivals&amp;view=grid</x:v>
      </x:c>
    </x:row>
    <x:row r="382">
      <x:c r="A382" t="n">
        <x:v>381</x:v>
      </x:c>
      <x:c r="B382" t="str">
        <x:v>Fire / Commons</x:v>
      </x:c>
      <x:c r="C382" t="str">
        <x:v>Ponyta / Charmander mash-up</x:v>
      </x:c>
      <x:c r="D382" t="str">
        <x:v>72/99</x:v>
      </x:c>
      <x:c r="E382" t="str">
        <x:v>Counterfeit / novelty — Arceus-style numbering</x:v>
      </x:c>
      <x:c r="F382" t="n">
        <x:v>2009</x:v>
      </x:c>
      <x:c r="G382" t="str">
        <x:v>Holofoil — suspected counterfeit</x:v>
      </x:c>
      <x:c r="H382" t="str">
        <x:v>1 of 1</x:v>
      </x:c>
      <x:c r="I382" t="n">
        <x:v>0</x:v>
      </x:c>
      <x:c r="J382" t="n">
        <x:v>0</x:v>
      </x:c>
      <x:c r="K382" t="n">
        <x:v>0</x:v>
      </x:c>
      <x:c r="L382" t="str">
        <x:v>Counterfeit</x:v>
      </x:c>
      <x:c r="M382" t="str">
        <x:v>No</x:v>
      </x:c>
      <x:c r="N382" t="str">
        <x:v>No</x:v>
      </x:c>
      <x:c r="O382" t="str">
        <x:v>No</x:v>
      </x:c>
      <x:c r="P382" t="str">
        <x:v>Suspected counterfeit; not valued as an authentic Pokémon card</x:v>
      </x:c>
      <x:c r="Q382" t="n">
        <x:v>0</x:v>
      </x:c>
      <x:c r="R382" t="n">
        <x:v>0</x:v>
      </x:c>
      <x:c r="S382" t="n">
        <x:v>0</x:v>
      </x:c>
      <x:c r="T382" t="str">
        <x:v>User reports card numbered 72/99 is holo, shows Charmander artwork, and says 'Evolves from Ponyta.' Authentic Arceus Ponyta 72/99 is a Basic Ponyta with Ponyta artwork and Tackle/Stomp. Wrong artwork/evolution mash-up is characteristic of counterfeit cards, not a recognized factory misprint.</x:v>
      </x:c>
      <x:c r="U382" t="n">
        <x:v>914</x:v>
      </x:c>
      <x:c r="V382" t="str">
        <x:v>Current chat correction / counterfeit identification 2026-08-15</x:v>
      </x:c>
      <x:c r="W382" t="str">
        <x:v>https://www.justinbasil.com/guide/fakes</x:v>
      </x:c>
    </x:row>
    <x:row r="383">
      <x:c r="A383" t="n">
        <x:v>382</x:v>
      </x:c>
      <x:c r="B383" t="str">
        <x:v>Fire / Uncommons</x:v>
      </x:c>
      <x:c r="C383" t="str">
        <x:v>Heatmor</x:v>
      </x:c>
      <x:c r="D383" t="str">
        <x:v>18/101</x:v>
      </x:c>
      <x:c r="E383" t="str">
        <x:v>Noble Victories</x:v>
      </x:c>
      <x:c r="F383" t="n">
        <x:v>2011</x:v>
      </x:c>
      <x:c r="G383" t="str">
        <x:v>Reverse Holo</x:v>
      </x:c>
      <x:c r="H383" t="str">
        <x:v>1 of 2</x:v>
      </x:c>
      <x:c r="I383" t="n">
        <x:v>1.5</x:v>
      </x:c>
      <x:c r="J383" t="n">
        <x:v>2.2</x:v>
      </x:c>
      <x:c r="K383" t="n">
        <x:v>1.85</x:v>
      </x:c>
      <x:c r="L383" t="str">
        <x:v>$1–5</x:v>
      </x:c>
      <x:c r="M383" t="str">
        <x:v>Yes</x:v>
      </x:c>
      <x:c r="N383" t="str">
        <x:v>No</x:v>
      </x:c>
      <x:c r="O383" t="str">
        <x:v>Yes</x:v>
      </x:c>
      <x:c r="P383" t="str">
        <x:v>Clean/NM benchmark unless noted</x:v>
      </x:c>
      <x:c r="Q383" t="n">
        <x:v>1.5</x:v>
      </x:c>
      <x:c r="R383" t="n">
        <x:v>2.2</x:v>
      </x:c>
      <x:c r="S383" t="n">
        <x:v>1.85</x:v>
      </x:c>
      <x:c r="T383" t="str">
        <x:v>Noble Victories Heatmor 18/101 reverse holo. Recent NM/raw sales are roughly $1.90–2.00; working range $1.50–2.20.</x:v>
      </x:c>
      <x:c r="U383" t="n">
        <x:v>915</x:v>
      </x:c>
      <x:c r="V383" t="str">
        <x:v>Current chat continuation / researched 2026-08-15</x:v>
      </x:c>
      <x:c r="W383" t="str">
        <x:v>https://www.pricecharting.com/game/pokemon-noble-victories/heatmor-reverse-holo-18</x:v>
      </x:c>
    </x:row>
    <x:row r="384">
      <x:c r="A384" t="n">
        <x:v>383</x:v>
      </x:c>
      <x:c r="B384" t="str">
        <x:v>Fire / Uncommons</x:v>
      </x:c>
      <x:c r="C384" t="str">
        <x:v>Heatmor</x:v>
      </x:c>
      <x:c r="D384" t="str">
        <x:v>18/101</x:v>
      </x:c>
      <x:c r="E384" t="str">
        <x:v>Noble Victories</x:v>
      </x:c>
      <x:c r="F384" t="n">
        <x:v>2011</x:v>
      </x:c>
      <x:c r="G384" t="str">
        <x:v>Reverse Holo</x:v>
      </x:c>
      <x:c r="H384" t="str">
        <x:v>2 of 2</x:v>
      </x:c>
      <x:c r="I384" t="n">
        <x:v>1.5</x:v>
      </x:c>
      <x:c r="J384" t="n">
        <x:v>2.2</x:v>
      </x:c>
      <x:c r="K384" t="n">
        <x:v>1.85</x:v>
      </x:c>
      <x:c r="L384" t="str">
        <x:v>$1–5</x:v>
      </x:c>
      <x:c r="M384" t="str">
        <x:v>Yes</x:v>
      </x:c>
      <x:c r="N384" t="str">
        <x:v>No</x:v>
      </x:c>
      <x:c r="O384" t="str">
        <x:v>Yes</x:v>
      </x:c>
      <x:c r="P384" t="str">
        <x:v>Clean/NM benchmark unless noted</x:v>
      </x:c>
      <x:c r="Q384" t="n">
        <x:v>1.5</x:v>
      </x:c>
      <x:c r="R384" t="n">
        <x:v>2.2</x:v>
      </x:c>
      <x:c r="S384" t="n">
        <x:v>1.85</x:v>
      </x:c>
      <x:c r="T384" t="str">
        <x:v>Noble Victories Heatmor 18/101 reverse holo. Recent NM/raw sales are roughly $1.90–2.00; working range $1.50–2.20.</x:v>
      </x:c>
      <x:c r="U384" t="n">
        <x:v>915</x:v>
      </x:c>
      <x:c r="V384" t="str">
        <x:v>Current chat continuation / researched 2026-08-15</x:v>
      </x:c>
      <x:c r="W384" t="str">
        <x:v>https://www.pricecharting.com/game/pokemon-noble-victories/heatmor-reverse-holo-18</x:v>
      </x:c>
    </x:row>
    <x:row r="385">
      <x:c r="A385" t="n">
        <x:v>384</x:v>
      </x:c>
      <x:c r="B385" t="str">
        <x:v>Fire / Uncommons</x:v>
      </x:c>
      <x:c r="C385" t="str">
        <x:v>Lampent</x:v>
      </x:c>
      <x:c r="D385" t="str">
        <x:v>19/99</x:v>
      </x:c>
      <x:c r="E385" t="str">
        <x:v>Next Destinies</x:v>
      </x:c>
      <x:c r="F385" t="n">
        <x:v>2012</x:v>
      </x:c>
      <x:c r="G385" t="str">
        <x:v>Reverse Holo</x:v>
      </x:c>
      <x:c r="H385" t="str">
        <x:v>1 of 1</x:v>
      </x:c>
      <x:c r="I385" t="n">
        <x:v>0.45</x:v>
      </x:c>
      <x:c r="J385" t="n">
        <x:v>0.75</x:v>
      </x:c>
      <x:c r="K385" t="n">
        <x:v>0.6</x:v>
      </x:c>
      <x:c r="L385" t="str">
        <x:v>&lt;$1</x:v>
      </x:c>
      <x:c r="M385" t="str">
        <x:v>Yes</x:v>
      </x:c>
      <x:c r="N385" t="str">
        <x:v>No</x:v>
      </x:c>
      <x:c r="O385" t="str">
        <x:v>No</x:v>
      </x:c>
      <x:c r="P385" t="str">
        <x:v>Clean/NM benchmark unless noted</x:v>
      </x:c>
      <x:c r="Q385" t="n">
        <x:v>0.45</x:v>
      </x:c>
      <x:c r="R385" t="n">
        <x:v>0.75</x:v>
      </x:c>
      <x:c r="S385" t="n">
        <x:v>0.6</x:v>
      </x:c>
      <x:c r="T385" t="str">
        <x:v>Next Destinies Lampent 19/99 reverse holo. TCGplayer NM market about $0.57.</x:v>
      </x:c>
      <x:c r="U385" t="n">
        <x:v>916</x:v>
      </x:c>
      <x:c r="V385" t="str">
        <x:v>Current chat continuation / researched 2026-08-15</x:v>
      </x:c>
      <x:c r="W385" t="str">
        <x:v>https://www.tcgplayer.com/categories/trading-collectible-card-games/pokemon/price-guides/next-destinies</x:v>
      </x:c>
    </x:row>
    <x:row r="386">
      <x:c r="A386" t="n">
        <x:v>385</x:v>
      </x:c>
      <x:c r="B386" t="str">
        <x:v>Fire / Uncommons</x:v>
      </x:c>
      <x:c r="C386" t="str">
        <x:v>Torkoal</x:v>
      </x:c>
      <x:c r="D386" t="str">
        <x:v>18/108</x:v>
      </x:c>
      <x:c r="E386" t="str">
        <x:v>Dark Explorers</x:v>
      </x:c>
      <x:c r="F386" t="n">
        <x:v>2012</x:v>
      </x:c>
      <x:c r="G386" t="str">
        <x:v>Reverse Holo</x:v>
      </x:c>
      <x:c r="H386" t="str">
        <x:v>1 of 1</x:v>
      </x:c>
      <x:c r="I386" t="n">
        <x:v>2</x:v>
      </x:c>
      <x:c r="J386" t="n">
        <x:v>5</x:v>
      </x:c>
      <x:c r="K386" t="n">
        <x:v>3.5</x:v>
      </x:c>
      <x:c r="L386" t="str">
        <x:v>$1–5</x:v>
      </x:c>
      <x:c r="M386" t="str">
        <x:v>Yes</x:v>
      </x:c>
      <x:c r="N386" t="str">
        <x:v>No</x:v>
      </x:c>
      <x:c r="O386" t="str">
        <x:v>Yes</x:v>
      </x:c>
      <x:c r="P386" t="str">
        <x:v>Clean/NM benchmark unless noted</x:v>
      </x:c>
      <x:c r="Q386" t="n">
        <x:v>2</x:v>
      </x:c>
      <x:c r="R386" t="n">
        <x:v>5</x:v>
      </x:c>
      <x:c r="S386" t="n">
        <x:v>3.5</x:v>
      </x:c>
      <x:c r="T386" t="str">
        <x:v>Dark Explorers Torkoal 18/108 reverse holo. Current raw pricing is inconsistent by source, roughly $2–5; recent tracked reverse-holo pricing is around the mid-$4s.</x:v>
      </x:c>
      <x:c r="U386" t="n">
        <x:v>916</x:v>
      </x:c>
      <x:c r="V386" t="str">
        <x:v>Current chat continuation / researched 2026-08-15</x:v>
      </x:c>
      <x:c r="W386" t="str">
        <x:v>https://www.pricecharting.com/game/pokemon-dark-explorers/torkoal-reverse-holo-18</x:v>
      </x:c>
    </x:row>
    <x:row r="387">
      <x:c r="A387" t="n">
        <x:v>386</x:v>
      </x:c>
      <x:c r="B387" t="str">
        <x:v>Fire / Uncommons</x:v>
      </x:c>
      <x:c r="C387" t="str">
        <x:v>Magcargo</x:v>
      </x:c>
      <x:c r="D387" t="str">
        <x:v>33/64</x:v>
      </x:c>
      <x:c r="E387" t="str">
        <x:v>Neo Revelation</x:v>
      </x:c>
      <x:c r="F387" t="n">
        <x:v>2001</x:v>
      </x:c>
      <x:c r="G387" t="str">
        <x:v>Regular (Unlimited assumed)</x:v>
      </x:c>
      <x:c r="H387" t="str">
        <x:v>1 of 1</x:v>
      </x:c>
      <x:c r="I387" t="n">
        <x:v>2</x:v>
      </x:c>
      <x:c r="J387" t="n">
        <x:v>6.5</x:v>
      </x:c>
      <x:c r="K387" t="n">
        <x:v>4.25</x:v>
      </x:c>
      <x:c r="L387" t="str">
        <x:v>$1–5</x:v>
      </x:c>
      <x:c r="M387" t="str">
        <x:v>Yes</x:v>
      </x:c>
      <x:c r="N387" t="str">
        <x:v>No</x:v>
      </x:c>
      <x:c r="O387" t="str">
        <x:v>Yes</x:v>
      </x:c>
      <x:c r="P387" t="str">
        <x:v>Clean/NM benchmark unless noted</x:v>
      </x:c>
      <x:c r="Q387" t="n">
        <x:v>2</x:v>
      </x:c>
      <x:c r="R387" t="n">
        <x:v>6.5</x:v>
      </x:c>
      <x:c r="S387" t="n">
        <x:v>4.25</x:v>
      </x:c>
      <x:c r="T387" t="str">
        <x:v>Neo Revelation Magcargo 33/64, Unlimited assumed. TCGplayer sources currently range from about $2 on the price guide to ~$6 on product search; reprice if 1st Edition.</x:v>
      </x:c>
      <x:c r="U387" t="n">
        <x:v>916</x:v>
      </x:c>
      <x:c r="V387" t="str">
        <x:v>Current chat continuation / researched 2026-08-15</x:v>
      </x:c>
      <x:c r="W387" t="str">
        <x:v>https://www.tcgplayer.com/categories/trading-and-collectible-card-games/pokemon/price-guides/neo-revelation</x:v>
      </x:c>
    </x:row>
    <x:row r="388">
      <x:c r="A388" t="n">
        <x:v>387</x:v>
      </x:c>
      <x:c r="B388" t="str">
        <x:v>Fire / Uncommons</x:v>
      </x:c>
      <x:c r="C388" t="str">
        <x:v>Shelgon</x:v>
      </x:c>
      <x:c r="D388" t="str">
        <x:v>53/113</x:v>
      </x:c>
      <x:c r="E388" t="str">
        <x:v>EX Delta Species</x:v>
      </x:c>
      <x:c r="F388" t="n">
        <x:v>2005</x:v>
      </x:c>
      <x:c r="G388" t="str">
        <x:v>Regular (Delta Species)</x:v>
      </x:c>
      <x:c r="H388" t="str">
        <x:v>1 of 1</x:v>
      </x:c>
      <x:c r="I388" t="n">
        <x:v>1.2</x:v>
      </x:c>
      <x:c r="J388" t="n">
        <x:v>2</x:v>
      </x:c>
      <x:c r="K388" t="n">
        <x:v>1.6</x:v>
      </x:c>
      <x:c r="L388" t="str">
        <x:v>$1–5</x:v>
      </x:c>
      <x:c r="M388" t="str">
        <x:v>Yes</x:v>
      </x:c>
      <x:c r="N388" t="str">
        <x:v>No</x:v>
      </x:c>
      <x:c r="O388" t="str">
        <x:v>Yes</x:v>
      </x:c>
      <x:c r="P388" t="str">
        <x:v>Clean/NM benchmark unless noted</x:v>
      </x:c>
      <x:c r="Q388" t="n">
        <x:v>1.2</x:v>
      </x:c>
      <x:c r="R388" t="n">
        <x:v>2</x:v>
      </x:c>
      <x:c r="S388" t="n">
        <x:v>1.6</x:v>
      </x:c>
      <x:c r="T388" t="str">
        <x:v>EX Delta Species Shelgon 53/113 regular. TCGplayer market about $1.47–1.50. IMPORTANT: the stamped reverse holo is a separate printing worth far more.</x:v>
      </x:c>
      <x:c r="U388" t="n">
        <x:v>916</x:v>
      </x:c>
      <x:c r="V388" t="str">
        <x:v>Current chat continuation / researched 2026-08-15</x:v>
      </x:c>
      <x:c r="W388" t="str">
        <x:v>https://www.tcgplayer.com/search/pokemon/product?productLineName=pokemon&amp;q=Shelgon&amp;view=grid</x:v>
      </x:c>
    </x:row>
    <x:row r="389">
      <x:c r="A389" t="n">
        <x:v>388</x:v>
      </x:c>
      <x:c r="B389" t="str">
        <x:v>Fire / Rares</x:v>
      </x:c>
      <x:c r="C389" t="str">
        <x:v>Ninetales</x:v>
      </x:c>
      <x:c r="D389" t="str">
        <x:v>19/124</x:v>
      </x:c>
      <x:c r="E389" t="str">
        <x:v>Dragons Exalted</x:v>
      </x:c>
      <x:c r="F389" t="n">
        <x:v>2012</x:v>
      </x:c>
      <x:c r="G389" t="str">
        <x:v>Reverse Holo</x:v>
      </x:c>
      <x:c r="H389" t="str">
        <x:v>1 of 2</x:v>
      </x:c>
      <x:c r="I389" t="n">
        <x:v>8.5</x:v>
      </x:c>
      <x:c r="J389" t="n">
        <x:v>12.5</x:v>
      </x:c>
      <x:c r="K389" t="n">
        <x:v>10.5</x:v>
      </x:c>
      <x:c r="L389" t="str">
        <x:v>$5–20</x:v>
      </x:c>
      <x:c r="M389" t="str">
        <x:v>Yes</x:v>
      </x:c>
      <x:c r="N389" t="str">
        <x:v>Yes</x:v>
      </x:c>
      <x:c r="O389" t="str">
        <x:v>Yes</x:v>
      </x:c>
      <x:c r="P389" t="str">
        <x:v>Clean/NM benchmark unless noted</x:v>
      </x:c>
      <x:c r="Q389" t="n">
        <x:v>8.5</x:v>
      </x:c>
      <x:c r="R389" t="n">
        <x:v>12.5</x:v>
      </x:c>
      <x:c r="S389" t="n">
        <x:v>10.5</x:v>
      </x:c>
      <x:c r="T389" t="str">
        <x:v>Dragons Exalted Ninetales 19/124 reverse holo. TCGplayer Dragons Exalted price guide shows about $10.49 NM market at research time.</x:v>
      </x:c>
      <x:c r="U389" t="n">
        <x:v>917</x:v>
      </x:c>
      <x:c r="V389" t="str">
        <x:v>Current chat resolution / researched 2026-08-15</x:v>
      </x:c>
      <x:c r="W389" t="str">
        <x:v>https://www.tcgplayer.com/categories/trading-collectible-card-games/pokemon/price-guides/dragons-exalted</x:v>
      </x:c>
    </x:row>
    <x:row r="390">
      <x:c r="A390" t="n">
        <x:v>389</x:v>
      </x:c>
      <x:c r="B390" t="str">
        <x:v>Fire / Rares</x:v>
      </x:c>
      <x:c r="C390" t="str">
        <x:v>Ninetales</x:v>
      </x:c>
      <x:c r="D390" t="str">
        <x:v>19/124</x:v>
      </x:c>
      <x:c r="E390" t="str">
        <x:v>Dragons Exalted</x:v>
      </x:c>
      <x:c r="F390" t="n">
        <x:v>2012</x:v>
      </x:c>
      <x:c r="G390" t="str">
        <x:v>Reverse Holo</x:v>
      </x:c>
      <x:c r="H390" t="str">
        <x:v>2 of 2</x:v>
      </x:c>
      <x:c r="I390" t="n">
        <x:v>8.5</x:v>
      </x:c>
      <x:c r="J390" t="n">
        <x:v>12.5</x:v>
      </x:c>
      <x:c r="K390" t="n">
        <x:v>10.5</x:v>
      </x:c>
      <x:c r="L390" t="str">
        <x:v>$5–20</x:v>
      </x:c>
      <x:c r="M390" t="str">
        <x:v>Yes</x:v>
      </x:c>
      <x:c r="N390" t="str">
        <x:v>Yes</x:v>
      </x:c>
      <x:c r="O390" t="str">
        <x:v>Yes</x:v>
      </x:c>
      <x:c r="P390" t="str">
        <x:v>Clean/NM benchmark unless noted</x:v>
      </x:c>
      <x:c r="Q390" t="n">
        <x:v>8.5</x:v>
      </x:c>
      <x:c r="R390" t="n">
        <x:v>12.5</x:v>
      </x:c>
      <x:c r="S390" t="n">
        <x:v>10.5</x:v>
      </x:c>
      <x:c r="T390" t="str">
        <x:v>Dragons Exalted Ninetales 19/124 reverse holo. TCGplayer Dragons Exalted price guide shows about $10.49 NM market at research time.</x:v>
      </x:c>
      <x:c r="U390" t="n">
        <x:v>917</x:v>
      </x:c>
      <x:c r="V390" t="str">
        <x:v>Current chat resolution / researched 2026-08-15</x:v>
      </x:c>
      <x:c r="W390" t="str">
        <x:v>https://www.tcgplayer.com/categories/trading-collectible-card-games/pokemon/price-guides/dragons-exalted</x:v>
      </x:c>
    </x:row>
    <x:row r="391">
      <x:c r="A391" t="n">
        <x:v>390</x:v>
      </x:c>
      <x:c r="B391" t="str">
        <x:v>Fire / Uncommons</x:v>
      </x:c>
      <x:c r="C391" t="str">
        <x:v>Charmeleon</x:v>
      </x:c>
      <x:c r="D391" t="str">
        <x:v>19/149</x:v>
      </x:c>
      <x:c r="E391" t="str">
        <x:v>Boundaries Crossed</x:v>
      </x:c>
      <x:c r="F391" t="n">
        <x:v>2012</x:v>
      </x:c>
      <x:c r="G391" t="str">
        <x:v>Regular</x:v>
      </x:c>
      <x:c r="H391" t="str">
        <x:v>8 of 8</x:v>
      </x:c>
      <x:c r="I391" t="n">
        <x:v>1.75</x:v>
      </x:c>
      <x:c r="J391" t="n">
        <x:v>2.75</x:v>
      </x:c>
      <x:c r="K391" t="n">
        <x:v>2.25</x:v>
      </x:c>
      <x:c r="L391" t="str">
        <x:v>$1–5</x:v>
      </x:c>
      <x:c r="M391" t="str">
        <x:v>Yes</x:v>
      </x:c>
      <x:c r="N391" t="str">
        <x:v>No</x:v>
      </x:c>
      <x:c r="O391" t="str">
        <x:v>Yes</x:v>
      </x:c>
      <x:c r="P391" t="str">
        <x:v>Clean/NM benchmark unless noted</x:v>
      </x:c>
      <x:c r="Q391" t="n">
        <x:v>1.75</x:v>
      </x:c>
      <x:c r="R391" t="n">
        <x:v>2.75</x:v>
      </x:c>
      <x:c r="S391" t="n">
        <x:v>2.25</x:v>
      </x:c>
      <x:c r="T391" t="str">
        <x:v>Boundaries Crossed Charmeleon 19/149 regular. TCGplayer market about $2.20–2.21 NM.</x:v>
      </x:c>
      <x:c r="U391" t="n">
        <x:v>918</x:v>
      </x:c>
      <x:c r="V391" t="str">
        <x:v>Current chat continuation / researched 2026-08-15</x:v>
      </x:c>
      <x:c r="W391" t="str">
        <x:v>https://www.tcgplayer.com/search/pokemon/boundaries-crossed?Language=English&amp;page=2&amp;productLineName=pokemon&amp;setName=boundaries-crossed&amp;view=grid</x:v>
      </x:c>
    </x:row>
    <x:row r="392">
      <x:c r="A392" t="n">
        <x:v>391</x:v>
      </x:c>
      <x:c r="B392" t="str">
        <x:v>Fire / Rares</x:v>
      </x:c>
      <x:c r="C392" t="str">
        <x:v>Simisear</x:v>
      </x:c>
      <x:c r="D392" t="str">
        <x:v>16/99</x:v>
      </x:c>
      <x:c r="E392" t="str">
        <x:v>Next Destinies</x:v>
      </x:c>
      <x:c r="F392" t="n">
        <x:v>2012</x:v>
      </x:c>
      <x:c r="G392" t="str">
        <x:v>Reverse Holo</x:v>
      </x:c>
      <x:c r="H392" t="str">
        <x:v>1 of 1</x:v>
      </x:c>
      <x:c r="I392" t="n">
        <x:v>0.6</x:v>
      </x:c>
      <x:c r="J392" t="n">
        <x:v>0.95</x:v>
      </x:c>
      <x:c r="K392" t="n">
        <x:v>0.7749999999999999</x:v>
      </x:c>
      <x:c r="L392" t="str">
        <x:v>&lt;$1</x:v>
      </x:c>
      <x:c r="M392" t="str">
        <x:v>Yes</x:v>
      </x:c>
      <x:c r="N392" t="str">
        <x:v>No</x:v>
      </x:c>
      <x:c r="O392" t="str">
        <x:v>No</x:v>
      </x:c>
      <x:c r="P392" t="str">
        <x:v>Clean/NM benchmark unless noted</x:v>
      </x:c>
      <x:c r="Q392" t="n">
        <x:v>0.6</x:v>
      </x:c>
      <x:c r="R392" t="n">
        <x:v>0.95</x:v>
      </x:c>
      <x:c r="S392" t="n">
        <x:v>0.7749999999999999</x:v>
      </x:c>
      <x:c r="T392" t="str">
        <x:v>Next Destinies Simisear 16/99 reverse holo. PriceCharting ungraded about $0.73 and TCGplayer reverse-holo comp about $0.83, so it stays below the $1 separator.</x:v>
      </x:c>
      <x:c r="U392" t="n">
        <x:v>918</x:v>
      </x:c>
      <x:c r="V392" t="str">
        <x:v>Current chat continuation / researched 2026-08-15</x:v>
      </x:c>
      <x:c r="W392" t="str">
        <x:v>https://www.pricecharting.com/game/pokemon-next-destinies/simisear-reverse-holo-16</x:v>
      </x:c>
    </x:row>
    <x:row r="393">
      <x:c r="A393" t="n">
        <x:v>392</x:v>
      </x:c>
      <x:c r="B393" t="str">
        <x:v>Fire / Rares</x:v>
      </x:c>
      <x:c r="C393" t="str">
        <x:v>Blaziken</x:v>
      </x:c>
      <x:c r="D393" t="str">
        <x:v>1/106</x:v>
      </x:c>
      <x:c r="E393" t="str">
        <x:v>Great Encounters</x:v>
      </x:c>
      <x:c r="F393" t="n">
        <x:v>2008</x:v>
      </x:c>
      <x:c r="G393" t="str">
        <x:v>Holofoil (LV.56)</x:v>
      </x:c>
      <x:c r="H393" t="str">
        <x:v>1 of 1</x:v>
      </x:c>
      <x:c r="I393" t="n">
        <x:v>20</x:v>
      </x:c>
      <x:c r="J393" t="n">
        <x:v>26</x:v>
      </x:c>
      <x:c r="K393" t="n">
        <x:v>23</x:v>
      </x:c>
      <x:c r="L393" t="str">
        <x:v>$20+</x:v>
      </x:c>
      <x:c r="M393" t="str">
        <x:v>Yes</x:v>
      </x:c>
      <x:c r="N393" t="str">
        <x:v>Yes</x:v>
      </x:c>
      <x:c r="O393" t="str">
        <x:v>Yes</x:v>
      </x:c>
      <x:c r="P393" t="str">
        <x:v>Clean/NM benchmark unless noted</x:v>
      </x:c>
      <x:c r="Q393" t="n">
        <x:v>20</x:v>
      </x:c>
      <x:c r="R393" t="n">
        <x:v>26</x:v>
      </x:c>
      <x:c r="S393" t="n">
        <x:v>23</x:v>
      </x:c>
      <x:c r="T393" t="str">
        <x:v>Great Encounters Blaziken LV.56 1/106 holo rare. TCGplayer market about $23.22 NM.</x:v>
      </x:c>
      <x:c r="U393" t="n">
        <x:v>919</x:v>
      </x:c>
      <x:c r="V393" t="str">
        <x:v>Current chat continuation / researched 2026-08-15</x:v>
      </x:c>
      <x:c r="W393" t="str">
        <x:v>https://www.tcgplayer.com/search/pokemon/product?page=1&amp;productLineName=pokemon&amp;q=Blaziken+Great+Encounters+1&amp;setName=product&amp;view=grid</x:v>
      </x:c>
    </x:row>
    <x:row r="394">
      <x:c r="A394" t="n">
        <x:v>393</x:v>
      </x:c>
      <x:c r="B394" t="str">
        <x:v>Fire / Rares</x:v>
      </x:c>
      <x:c r="C394" t="str">
        <x:v>Blaziken</x:v>
      </x:c>
      <x:c r="D394" t="str">
        <x:v>3/109</x:v>
      </x:c>
      <x:c r="E394" t="str">
        <x:v>World Championships 2004 — Blaziken Tech (Chris Fulop)</x:v>
      </x:c>
      <x:c r="F394" t="n">
        <x:v>2004</x:v>
      </x:c>
      <x:c r="G394" t="str">
        <x:v>World Championships replica</x:v>
      </x:c>
      <x:c r="H394" t="str">
        <x:v>1 of 2</x:v>
      </x:c>
      <x:c r="I394" t="n">
        <x:v>4</x:v>
      </x:c>
      <x:c r="J394" t="n">
        <x:v>6.5</x:v>
      </x:c>
      <x:c r="K394" t="n">
        <x:v>5.25</x:v>
      </x:c>
      <x:c r="L394" t="str">
        <x:v>$5–20</x:v>
      </x:c>
      <x:c r="M394" t="str">
        <x:v>Yes</x:v>
      </x:c>
      <x:c r="N394" t="str">
        <x:v>No</x:v>
      </x:c>
      <x:c r="O394" t="str">
        <x:v>Yes</x:v>
      </x:c>
      <x:c r="P394" t="str">
        <x:v>Clean/NM benchmark unless noted</x:v>
      </x:c>
      <x:c r="Q394" t="n">
        <x:v>4</x:v>
      </x:c>
      <x:c r="R394" t="n">
        <x:v>6.5</x:v>
      </x:c>
      <x:c r="S394" t="n">
        <x:v>5.25</x:v>
      </x:c>
      <x:c r="T394" t="str">
        <x:v>2004 World Championships Blaziken Tech (Chris Fulop) replica of EX Ruby &amp; Sapphire Blaziken 3/109; gray/silver border with player signature and Worlds back. TCGplayer market about $5.08.</x:v>
      </x:c>
      <x:c r="U394" t="n">
        <x:v>919</x:v>
      </x:c>
      <x:c r="V394" t="str">
        <x:v>Current chat continuation / researched 2026-08-15</x:v>
      </x:c>
      <x:c r="W394" t="str">
        <x:v>https://www.tcgplayer.com/search/pokemon/product?q=Blaziken+-+3%2F109</x:v>
      </x:c>
    </x:row>
    <x:row r="395">
      <x:c r="A395" t="n">
        <x:v>394</x:v>
      </x:c>
      <x:c r="B395" t="str">
        <x:v>Fire / Rares</x:v>
      </x:c>
      <x:c r="C395" t="str">
        <x:v>Blaziken</x:v>
      </x:c>
      <x:c r="D395" t="str">
        <x:v>3/109</x:v>
      </x:c>
      <x:c r="E395" t="str">
        <x:v>World Championships 2004 — Blaziken Tech (Chris Fulop)</x:v>
      </x:c>
      <x:c r="F395" t="n">
        <x:v>2004</x:v>
      </x:c>
      <x:c r="G395" t="str">
        <x:v>World Championships replica</x:v>
      </x:c>
      <x:c r="H395" t="str">
        <x:v>2 of 2</x:v>
      </x:c>
      <x:c r="I395" t="n">
        <x:v>4</x:v>
      </x:c>
      <x:c r="J395" t="n">
        <x:v>6.5</x:v>
      </x:c>
      <x:c r="K395" t="n">
        <x:v>5.25</x:v>
      </x:c>
      <x:c r="L395" t="str">
        <x:v>$5–20</x:v>
      </x:c>
      <x:c r="M395" t="str">
        <x:v>Yes</x:v>
      </x:c>
      <x:c r="N395" t="str">
        <x:v>No</x:v>
      </x:c>
      <x:c r="O395" t="str">
        <x:v>Yes</x:v>
      </x:c>
      <x:c r="P395" t="str">
        <x:v>Clean/NM benchmark unless noted</x:v>
      </x:c>
      <x:c r="Q395" t="n">
        <x:v>4</x:v>
      </x:c>
      <x:c r="R395" t="n">
        <x:v>6.5</x:v>
      </x:c>
      <x:c r="S395" t="n">
        <x:v>5.25</x:v>
      </x:c>
      <x:c r="T395" t="str">
        <x:v>2004 World Championships Blaziken Tech (Chris Fulop) replica of EX Ruby &amp; Sapphire Blaziken 3/109; gray/silver border with player signature and Worlds back. TCGplayer market about $5.08.</x:v>
      </x:c>
      <x:c r="U395" t="n">
        <x:v>919</x:v>
      </x:c>
      <x:c r="V395" t="str">
        <x:v>Current chat continuation / researched 2026-08-15</x:v>
      </x:c>
      <x:c r="W395" t="str">
        <x:v>https://www.tcgplayer.com/search/pokemon/product?q=Blaziken+-+3%2F109</x:v>
      </x:c>
    </x:row>
    <x:row r="396">
      <x:c r="A396" t="n">
        <x:v>395</x:v>
      </x:c>
      <x:c r="B396" t="str">
        <x:v>Fire / Rares</x:v>
      </x:c>
      <x:c r="C396" t="str">
        <x:v>Blaziken</x:v>
      </x:c>
      <x:c r="D396" t="str">
        <x:v>3/127</x:v>
      </x:c>
      <x:c r="E396" t="str">
        <x:v>Platinum</x:v>
      </x:c>
      <x:c r="F396" t="n">
        <x:v>2009</x:v>
      </x:c>
      <x:c r="G396" t="str">
        <x:v>Holofoil (LV.59)</x:v>
      </x:c>
      <x:c r="H396" t="str">
        <x:v>1 of 1</x:v>
      </x:c>
      <x:c r="I396" t="n">
        <x:v>21</x:v>
      </x:c>
      <x:c r="J396" t="n">
        <x:v>28</x:v>
      </x:c>
      <x:c r="K396" t="n">
        <x:v>24.5</x:v>
      </x:c>
      <x:c r="L396" t="str">
        <x:v>$20+</x:v>
      </x:c>
      <x:c r="M396" t="str">
        <x:v>Yes</x:v>
      </x:c>
      <x:c r="N396" t="str">
        <x:v>Yes</x:v>
      </x:c>
      <x:c r="O396" t="str">
        <x:v>Yes</x:v>
      </x:c>
      <x:c r="P396" t="str">
        <x:v>Clean/NM benchmark unless noted</x:v>
      </x:c>
      <x:c r="Q396" t="n">
        <x:v>21</x:v>
      </x:c>
      <x:c r="R396" t="n">
        <x:v>28</x:v>
      </x:c>
      <x:c r="S396" t="n">
        <x:v>24.5</x:v>
      </x:c>
      <x:c r="T396" t="str">
        <x:v>Platinum Blaziken LV.59 3/127 holo rare. TCGplayer market about $24.64 NM.</x:v>
      </x:c>
      <x:c r="U396" t="n">
        <x:v>919</x:v>
      </x:c>
      <x:c r="V396" t="str">
        <x:v>Current chat continuation / researched 2026-08-15</x:v>
      </x:c>
      <x:c r="W396" t="str">
        <x:v>https://www.tcgplayer.com/search/pokemon/product?page=1&amp;productLineName=pokemon&amp;q=blaziken&amp;view=grid</x:v>
      </x:c>
    </x:row>
    <x:row r="397">
      <x:c r="A397" t="n">
        <x:v>396</x:v>
      </x:c>
      <x:c r="B397" t="str">
        <x:v>Fire / Rares</x:v>
      </x:c>
      <x:c r="C397" t="str">
        <x:v>Arcanine G</x:v>
      </x:c>
      <x:c r="D397" t="str">
        <x:v>15/147</x:v>
      </x:c>
      <x:c r="E397" t="str">
        <x:v>Deck Exclusives — Supreme Victors</x:v>
      </x:c>
      <x:c r="F397" t="n">
        <x:v>2009</x:v>
      </x:c>
      <x:c r="G397" t="str">
        <x:v>Holofoil (LV.60)</x:v>
      </x:c>
      <x:c r="H397" t="str">
        <x:v>1 of 1</x:v>
      </x:c>
      <x:c r="I397" t="n">
        <x:v>23</x:v>
      </x:c>
      <x:c r="J397" t="n">
        <x:v>30</x:v>
      </x:c>
      <x:c r="K397" t="n">
        <x:v>26.5</x:v>
      </x:c>
      <x:c r="L397" t="str">
        <x:v>$20+</x:v>
      </x:c>
      <x:c r="M397" t="str">
        <x:v>Yes</x:v>
      </x:c>
      <x:c r="N397" t="str">
        <x:v>Yes</x:v>
      </x:c>
      <x:c r="O397" t="str">
        <x:v>Yes</x:v>
      </x:c>
      <x:c r="P397" t="str">
        <x:v>Clean/NM benchmark unless noted</x:v>
      </x:c>
      <x:c r="Q397" t="n">
        <x:v>23</x:v>
      </x:c>
      <x:c r="R397" t="n">
        <x:v>30</x:v>
      </x:c>
      <x:c r="S397" t="n">
        <x:v>26.5</x:v>
      </x:c>
      <x:c r="T397" t="str">
        <x:v>Arcanine G LV.60 15/147 deck-exclusive holo printing associated with Supreme Victors. TCGplayer currently lists the Deck Exclusives Holo Rare at about $26.43 market. This corrects the previously logged standard non-holo rare.</x:v>
      </x:c>
      <x:c r="U397" t="n">
        <x:v>920</x:v>
      </x:c>
      <x:c r="V397" t="str">
        <x:v>Current chat correction / researched 2026-08-15</x:v>
      </x:c>
      <x:c r="W397" t="str">
        <x:v>https://www.tcgplayer.com/search/pokemon/product?page=1&amp;productLineName=pokemon&amp;q=Arcanine+G&amp;setName=product&amp;view=grid</x:v>
      </x:c>
    </x:row>
    <x:row r="398">
      <x:c r="A398" t="n">
        <x:v>397</x:v>
      </x:c>
      <x:c r="B398" t="str">
        <x:v>Fire / Rares</x:v>
      </x:c>
      <x:c r="C398" t="str">
        <x:v>Arcanine</x:v>
      </x:c>
      <x:c r="D398" t="str">
        <x:v>1/111</x:v>
      </x:c>
      <x:c r="E398" t="str">
        <x:v>Rising Rivals</x:v>
      </x:c>
      <x:c r="F398" t="n">
        <x:v>2009</x:v>
      </x:c>
      <x:c r="G398" t="str">
        <x:v>Holofoil (LV.53)</x:v>
      </x:c>
      <x:c r="H398" t="str">
        <x:v>1 of 2</x:v>
      </x:c>
      <x:c r="I398" t="n">
        <x:v>48</x:v>
      </x:c>
      <x:c r="J398" t="n">
        <x:v>65</x:v>
      </x:c>
      <x:c r="K398" t="n">
        <x:v>56.5</x:v>
      </x:c>
      <x:c r="L398" t="str">
        <x:v>$20+</x:v>
      </x:c>
      <x:c r="M398" t="str">
        <x:v>Yes</x:v>
      </x:c>
      <x:c r="N398" t="str">
        <x:v>Yes</x:v>
      </x:c>
      <x:c r="O398" t="str">
        <x:v>Yes</x:v>
      </x:c>
      <x:c r="P398" t="str">
        <x:v>Clean/NM benchmark unless noted</x:v>
      </x:c>
      <x:c r="Q398" t="n">
        <x:v>48</x:v>
      </x:c>
      <x:c r="R398" t="n">
        <x:v>65</x:v>
      </x:c>
      <x:c r="S398" t="n">
        <x:v>56.5</x:v>
      </x:c>
      <x:c r="T398" t="str">
        <x:v>Rising Rivals Arcanine LV.53 1/111 holo rare. TCGplayer Near Mint holo market about $58.08.</x:v>
      </x:c>
      <x:c r="U398" t="n">
        <x:v>920</x:v>
      </x:c>
      <x:c r="V398" t="str">
        <x:v>Current chat continuation / researched 2026-08-15</x:v>
      </x:c>
      <x:c r="W398" t="str">
        <x:v>https://www.tcgplayer.com/product/83585/pokemon-rising-rivals-arcanine</x:v>
      </x:c>
    </x:row>
    <x:row r="399">
      <x:c r="A399" t="n">
        <x:v>398</x:v>
      </x:c>
      <x:c r="B399" t="str">
        <x:v>Fire / Rares</x:v>
      </x:c>
      <x:c r="C399" t="str">
        <x:v>Victini</x:v>
      </x:c>
      <x:c r="D399" t="str">
        <x:v>23/149</x:v>
      </x:c>
      <x:c r="E399" t="str">
        <x:v>Boundaries Crossed</x:v>
      </x:c>
      <x:c r="F399" t="n">
        <x:v>2012</x:v>
      </x:c>
      <x:c r="G399" t="str">
        <x:v>Regular Rare</x:v>
      </x:c>
      <x:c r="H399" t="str">
        <x:v>1 of 1</x:v>
      </x:c>
      <x:c r="I399" t="n">
        <x:v>0.85</x:v>
      </x:c>
      <x:c r="J399" t="n">
        <x:v>1.25</x:v>
      </x:c>
      <x:c r="K399" t="n">
        <x:v>1.05</x:v>
      </x:c>
      <x:c r="L399" t="str">
        <x:v>$1–5</x:v>
      </x:c>
      <x:c r="M399" t="str">
        <x:v>Yes</x:v>
      </x:c>
      <x:c r="N399" t="str">
        <x:v>No</x:v>
      </x:c>
      <x:c r="O399" t="str">
        <x:v>Yes</x:v>
      </x:c>
      <x:c r="P399" t="str">
        <x:v>Clean/NM benchmark unless noted</x:v>
      </x:c>
      <x:c r="Q399" t="n">
        <x:v>0.85</x:v>
      </x:c>
      <x:c r="R399" t="n">
        <x:v>1.25</x:v>
      </x:c>
      <x:c r="S399" t="n">
        <x:v>1.05</x:v>
      </x:c>
      <x:c r="T399" t="str">
        <x:v>Boundaries Crossed Victini 23/149 regular rare. Current market about $1.05 NM.</x:v>
      </x:c>
      <x:c r="U399" t="n">
        <x:v>921</x:v>
      </x:c>
      <x:c r="V399" t="str">
        <x:v>Current chat resolution / researched 2026-08-15</x:v>
      </x:c>
      <x:c r="W399" t="str">
        <x:v>https://www.tcgplayer.com/search/pokemon/product?q=Victini+Boundaries+Crossed&amp;view=grid</x:v>
      </x:c>
    </x:row>
    <x:row r="400">
      <x:c r="A400" t="n">
        <x:v>399</x:v>
      </x:c>
      <x:c r="B400" t="str">
        <x:v>Fire / Rares</x:v>
      </x:c>
      <x:c r="C400" t="str">
        <x:v>Victini</x:v>
      </x:c>
      <x:c r="D400" t="str">
        <x:v>BW32</x:v>
      </x:c>
      <x:c r="E400" t="str">
        <x:v>Black &amp; White Promos</x:v>
      </x:c>
      <x:c r="F400" t="n">
        <x:v>2011</x:v>
      </x:c>
      <x:c r="G400" t="str">
        <x:v>Promo Holofoil</x:v>
      </x:c>
      <x:c r="H400" t="str">
        <x:v>1 of 1</x:v>
      </x:c>
      <x:c r="I400" t="n">
        <x:v>9</x:v>
      </x:c>
      <x:c r="J400" t="n">
        <x:v>13</x:v>
      </x:c>
      <x:c r="K400" t="n">
        <x:v>11</x:v>
      </x:c>
      <x:c r="L400" t="str">
        <x:v>$5–20</x:v>
      </x:c>
      <x:c r="M400" t="str">
        <x:v>Yes</x:v>
      </x:c>
      <x:c r="N400" t="str">
        <x:v>Yes</x:v>
      </x:c>
      <x:c r="O400" t="str">
        <x:v>Yes</x:v>
      </x:c>
      <x:c r="P400" t="str">
        <x:v>Clean/NM benchmark unless noted</x:v>
      </x:c>
      <x:c r="Q400" t="n">
        <x:v>9</x:v>
      </x:c>
      <x:c r="R400" t="n">
        <x:v>13</x:v>
      </x:c>
      <x:c r="S400" t="n">
        <x:v>11</x:v>
      </x:c>
      <x:c r="T400" t="str">
        <x:v>Victini BW32 Black &amp; White Promo holo. TCGplayer market about $11.25–11.33.</x:v>
      </x:c>
      <x:c r="U400" t="n">
        <x:v>921</x:v>
      </x:c>
      <x:c r="V400" t="str">
        <x:v>Current chat continuation / researched 2026-08-15</x:v>
      </x:c>
      <x:c r="W400" t="str">
        <x:v>https://www.tcgplayer.com/search/pokemon/product?page=1&amp;productLineName=pokemon&amp;q=Victini+-+BW32&amp;setName=product&amp;view=grid</x:v>
      </x:c>
    </x:row>
    <x:row r="401">
      <x:c r="A401" t="n">
        <x:v>400</x:v>
      </x:c>
      <x:c r="B401" t="str">
        <x:v>Fire / Rares</x:v>
      </x:c>
      <x:c r="C401" t="str">
        <x:v>Victini</x:v>
      </x:c>
      <x:c r="D401" t="str">
        <x:v>14/101</x:v>
      </x:c>
      <x:c r="E401" t="str">
        <x:v>Noble Victories</x:v>
      </x:c>
      <x:c r="F401" t="n">
        <x:v>2011</x:v>
      </x:c>
      <x:c r="G401" t="str">
        <x:v>Holofoil</x:v>
      </x:c>
      <x:c r="H401" t="str">
        <x:v>1 of 1</x:v>
      </x:c>
      <x:c r="I401" t="n">
        <x:v>10</x:v>
      </x:c>
      <x:c r="J401" t="n">
        <x:v>15</x:v>
      </x:c>
      <x:c r="K401" t="n">
        <x:v>12.5</x:v>
      </x:c>
      <x:c r="L401" t="str">
        <x:v>$5–20</x:v>
      </x:c>
      <x:c r="M401" t="str">
        <x:v>Yes</x:v>
      </x:c>
      <x:c r="N401" t="str">
        <x:v>Yes</x:v>
      </x:c>
      <x:c r="O401" t="str">
        <x:v>Yes</x:v>
      </x:c>
      <x:c r="P401" t="str">
        <x:v>Clean/NM benchmark unless noted</x:v>
      </x:c>
      <x:c r="Q401" t="n">
        <x:v>10</x:v>
      </x:c>
      <x:c r="R401" t="n">
        <x:v>15</x:v>
      </x:c>
      <x:c r="S401" t="n">
        <x:v>12.5</x:v>
      </x:c>
      <x:c r="T401" t="str">
        <x:v>Noble Victories Victini 14/101 holo rare. TCGplayer market about $12.67.</x:v>
      </x:c>
      <x:c r="U401" t="n">
        <x:v>921</x:v>
      </x:c>
      <x:c r="V401" t="str">
        <x:v>Current chat continuation / researched 2026-08-15</x:v>
      </x:c>
      <x:c r="W401" t="str">
        <x:v>https://www.tcgplayer.com/search/pokemon/product?productLineName=pokemon&amp;q=Victini+Noble+Victories</x:v>
      </x:c>
    </x:row>
    <x:row r="402">
      <x:c r="A402" t="n">
        <x:v>401</x:v>
      </x:c>
      <x:c r="B402" t="str">
        <x:v>Fire / Rares</x:v>
      </x:c>
      <x:c r="C402" t="str">
        <x:v>Victini</x:v>
      </x:c>
      <x:c r="D402" t="str">
        <x:v>15/101</x:v>
      </x:c>
      <x:c r="E402" t="str">
        <x:v>Noble Victories</x:v>
      </x:c>
      <x:c r="F402" t="n">
        <x:v>2011</x:v>
      </x:c>
      <x:c r="G402" t="str">
        <x:v>Holofoil</x:v>
      </x:c>
      <x:c r="H402" t="str">
        <x:v>1 of 2</x:v>
      </x:c>
      <x:c r="I402" t="n">
        <x:v>4</x:v>
      </x:c>
      <x:c r="J402" t="n">
        <x:v>6.5</x:v>
      </x:c>
      <x:c r="K402" t="n">
        <x:v>5.25</x:v>
      </x:c>
      <x:c r="L402" t="str">
        <x:v>$5–20</x:v>
      </x:c>
      <x:c r="M402" t="str">
        <x:v>Yes</x:v>
      </x:c>
      <x:c r="N402" t="str">
        <x:v>No</x:v>
      </x:c>
      <x:c r="O402" t="str">
        <x:v>Yes</x:v>
      </x:c>
      <x:c r="P402" t="str">
        <x:v>Clean/NM benchmark unless noted</x:v>
      </x:c>
      <x:c r="Q402" t="n">
        <x:v>4</x:v>
      </x:c>
      <x:c r="R402" t="n">
        <x:v>6.5</x:v>
      </x:c>
      <x:c r="S402" t="n">
        <x:v>5.25</x:v>
      </x:c>
      <x:c r="T402" t="str">
        <x:v>Noble Victories Victini 15/101 holo rare. TCGplayer market about $5.29.</x:v>
      </x:c>
      <x:c r="U402" t="n">
        <x:v>921</x:v>
      </x:c>
      <x:c r="V402" t="str">
        <x:v>Current chat continuation / researched 2026-08-15</x:v>
      </x:c>
      <x:c r="W402" t="str">
        <x:v>https://www.tcgplayer.com/search/pokemon/product?page=1&amp;productLineName=pokemon&amp;q=Victini+%2315&amp;setName=product&amp;view=grid</x:v>
      </x:c>
    </x:row>
    <x:row r="403">
      <x:c r="A403" t="n">
        <x:v>402</x:v>
      </x:c>
      <x:c r="B403" t="str">
        <x:v>Fire / Rares</x:v>
      </x:c>
      <x:c r="C403" t="str">
        <x:v>Victini</x:v>
      </x:c>
      <x:c r="D403" t="str">
        <x:v>15/101</x:v>
      </x:c>
      <x:c r="E403" t="str">
        <x:v>Noble Victories</x:v>
      </x:c>
      <x:c r="F403" t="n">
        <x:v>2011</x:v>
      </x:c>
      <x:c r="G403" t="str">
        <x:v>Holofoil</x:v>
      </x:c>
      <x:c r="H403" t="str">
        <x:v>2 of 2</x:v>
      </x:c>
      <x:c r="I403" t="n">
        <x:v>4</x:v>
      </x:c>
      <x:c r="J403" t="n">
        <x:v>6.5</x:v>
      </x:c>
      <x:c r="K403" t="n">
        <x:v>5.25</x:v>
      </x:c>
      <x:c r="L403" t="str">
        <x:v>$5–20</x:v>
      </x:c>
      <x:c r="M403" t="str">
        <x:v>Yes</x:v>
      </x:c>
      <x:c r="N403" t="str">
        <x:v>No</x:v>
      </x:c>
      <x:c r="O403" t="str">
        <x:v>Yes</x:v>
      </x:c>
      <x:c r="P403" t="str">
        <x:v>Clean/NM benchmark unless noted</x:v>
      </x:c>
      <x:c r="Q403" t="n">
        <x:v>4</x:v>
      </x:c>
      <x:c r="R403" t="n">
        <x:v>6.5</x:v>
      </x:c>
      <x:c r="S403" t="n">
        <x:v>5.25</x:v>
      </x:c>
      <x:c r="T403" t="str">
        <x:v>Noble Victories Victini 15/101 holo rare. TCGplayer market about $5.29.</x:v>
      </x:c>
      <x:c r="U403" t="n">
        <x:v>921</x:v>
      </x:c>
      <x:c r="V403" t="str">
        <x:v>Current chat continuation / researched 2026-08-15</x:v>
      </x:c>
      <x:c r="W403" t="str">
        <x:v>https://www.tcgplayer.com/search/pokemon/product?page=1&amp;productLineName=pokemon&amp;q=Victini+%2315&amp;setName=product&amp;view=grid</x:v>
      </x:c>
    </x:row>
    <x:row r="404">
      <x:c r="A404" t="n">
        <x:v>403</x:v>
      </x:c>
      <x:c r="B404" t="str">
        <x:v>Fire / Rares</x:v>
      </x:c>
      <x:c r="C404" t="str">
        <x:v>Reshiram</x:v>
      </x:c>
      <x:c r="D404" t="str">
        <x:v>21/99</x:v>
      </x:c>
      <x:c r="E404" t="str">
        <x:v>Next Destinies</x:v>
      </x:c>
      <x:c r="F404" t="n">
        <x:v>2012</x:v>
      </x:c>
      <x:c r="G404" t="str">
        <x:v>Regular Rare</x:v>
      </x:c>
      <x:c r="H404" t="str">
        <x:v>1 of 2</x:v>
      </x:c>
      <x:c r="I404" t="n">
        <x:v>0.5</x:v>
      </x:c>
      <x:c r="J404" t="n">
        <x:v>0.9</x:v>
      </x:c>
      <x:c r="K404" t="n">
        <x:v>0.7</x:v>
      </x:c>
      <x:c r="L404" t="str">
        <x:v>&lt;$1</x:v>
      </x:c>
      <x:c r="M404" t="str">
        <x:v>Yes</x:v>
      </x:c>
      <x:c r="N404" t="str">
        <x:v>No</x:v>
      </x:c>
      <x:c r="O404" t="str">
        <x:v>No</x:v>
      </x:c>
      <x:c r="P404" t="str">
        <x:v>Clean/NM benchmark unless noted</x:v>
      </x:c>
      <x:c r="Q404" t="n">
        <x:v>0.5</x:v>
      </x:c>
      <x:c r="R404" t="n">
        <x:v>0.9</x:v>
      </x:c>
      <x:c r="S404" t="n">
        <x:v>0.7</x:v>
      </x:c>
      <x:c r="T404" t="str">
        <x:v>Next Destinies Reshiram 21/99 regular rare. TCGplayer market about $0.71 NM. Deck-exclusive holo is a separate printing.</x:v>
      </x:c>
      <x:c r="U404" t="n">
        <x:v>922</x:v>
      </x:c>
      <x:c r="V404" t="str">
        <x:v>Current chat continuation / researched 2026-08-15</x:v>
      </x:c>
      <x:c r="W404" t="str">
        <x:v>https://www.tcgplayer.com/search/pokemon/product?page=1&amp;productLineName=pokemon&amp;productName=Reshiram&amp;view=grid</x:v>
      </x:c>
    </x:row>
    <x:row r="405">
      <x:c r="A405" t="n">
        <x:v>404</x:v>
      </x:c>
      <x:c r="B405" t="str">
        <x:v>Fire / Rares</x:v>
      </x:c>
      <x:c r="C405" t="str">
        <x:v>Reshiram</x:v>
      </x:c>
      <x:c r="D405" t="str">
        <x:v>21/99</x:v>
      </x:c>
      <x:c r="E405" t="str">
        <x:v>Next Destinies</x:v>
      </x:c>
      <x:c r="F405" t="n">
        <x:v>2012</x:v>
      </x:c>
      <x:c r="G405" t="str">
        <x:v>Regular Rare</x:v>
      </x:c>
      <x:c r="H405" t="str">
        <x:v>2 of 2</x:v>
      </x:c>
      <x:c r="I405" t="n">
        <x:v>0.5</x:v>
      </x:c>
      <x:c r="J405" t="n">
        <x:v>0.9</x:v>
      </x:c>
      <x:c r="K405" t="n">
        <x:v>0.7</x:v>
      </x:c>
      <x:c r="L405" t="str">
        <x:v>&lt;$1</x:v>
      </x:c>
      <x:c r="M405" t="str">
        <x:v>Yes</x:v>
      </x:c>
      <x:c r="N405" t="str">
        <x:v>No</x:v>
      </x:c>
      <x:c r="O405" t="str">
        <x:v>No</x:v>
      </x:c>
      <x:c r="P405" t="str">
        <x:v>Clean/NM benchmark unless noted</x:v>
      </x:c>
      <x:c r="Q405" t="n">
        <x:v>0.5</x:v>
      </x:c>
      <x:c r="R405" t="n">
        <x:v>0.9</x:v>
      </x:c>
      <x:c r="S405" t="n">
        <x:v>0.7</x:v>
      </x:c>
      <x:c r="T405" t="str">
        <x:v>Next Destinies Reshiram 21/99 regular rare. TCGplayer market about $0.71 NM. Deck-exclusive holo is a separate printing.</x:v>
      </x:c>
      <x:c r="U405" t="n">
        <x:v>922</x:v>
      </x:c>
      <x:c r="V405" t="str">
        <x:v>Current chat continuation / researched 2026-08-15</x:v>
      </x:c>
      <x:c r="W405" t="str">
        <x:v>https://www.tcgplayer.com/search/pokemon/product?page=1&amp;productLineName=pokemon&amp;productName=Reshiram&amp;view=grid</x:v>
      </x:c>
    </x:row>
    <x:row r="406">
      <x:c r="A406" t="n">
        <x:v>405</x:v>
      </x:c>
      <x:c r="B406" t="str">
        <x:v>Fire / Rares</x:v>
      </x:c>
      <x:c r="C406" t="str">
        <x:v>Reshiram</x:v>
      </x:c>
      <x:c r="D406" t="str">
        <x:v>17/116</x:v>
      </x:c>
      <x:c r="E406" t="str">
        <x:v>Plasma Freeze</x:v>
      </x:c>
      <x:c r="F406" t="n">
        <x:v>2013</x:v>
      </x:c>
      <x:c r="G406" t="str">
        <x:v>Holofoil</x:v>
      </x:c>
      <x:c r="H406" t="str">
        <x:v>1 of 1</x:v>
      </x:c>
      <x:c r="I406" t="n">
        <x:v>6</x:v>
      </x:c>
      <x:c r="J406" t="n">
        <x:v>8.5</x:v>
      </x:c>
      <x:c r="K406" t="n">
        <x:v>7.25</x:v>
      </x:c>
      <x:c r="L406" t="str">
        <x:v>$5–20</x:v>
      </x:c>
      <x:c r="M406" t="str">
        <x:v>Yes</x:v>
      </x:c>
      <x:c r="N406" t="str">
        <x:v>No</x:v>
      </x:c>
      <x:c r="O406" t="str">
        <x:v>Yes</x:v>
      </x:c>
      <x:c r="P406" t="str">
        <x:v>Clean/NM benchmark unless noted</x:v>
      </x:c>
      <x:c r="Q406" t="n">
        <x:v>6</x:v>
      </x:c>
      <x:c r="R406" t="n">
        <x:v>8.5</x:v>
      </x:c>
      <x:c r="S406" t="n">
        <x:v>7.25</x:v>
      </x:c>
      <x:c r="T406" t="str">
        <x:v>Plasma Freeze Reshiram 17/116 holo rare. TCGplayer market about $7.10 NM.</x:v>
      </x:c>
      <x:c r="U406" t="n">
        <x:v>922</x:v>
      </x:c>
      <x:c r="V406" t="str">
        <x:v>Current chat continuation / researched 2026-08-15</x:v>
      </x:c>
      <x:c r="W406" t="str">
        <x:v>https://www.tcgplayer.com/search/pokemon/product?page=1&amp;productLineName=pokemon&amp;productName=Reshiram&amp;view=grid</x:v>
      </x:c>
    </x:row>
    <x:row r="407">
      <x:c r="A407" t="n">
        <x:v>406</x:v>
      </x:c>
      <x:c r="B407" t="str">
        <x:v>Fire / Rares</x:v>
      </x:c>
      <x:c r="C407" t="str">
        <x:v>Ninetales</x:v>
      </x:c>
      <x:c r="D407" t="str">
        <x:v>21/113</x:v>
      </x:c>
      <x:c r="E407" t="str">
        <x:v>Legendary Treasures</x:v>
      </x:c>
      <x:c r="F407" t="n">
        <x:v>2013</x:v>
      </x:c>
      <x:c r="G407" t="str">
        <x:v>Regular Rare</x:v>
      </x:c>
      <x:c r="H407" t="str">
        <x:v>1 of 1</x:v>
      </x:c>
      <x:c r="I407" t="n">
        <x:v>2</x:v>
      </x:c>
      <x:c r="J407" t="n">
        <x:v>3</x:v>
      </x:c>
      <x:c r="K407" t="n">
        <x:v>2.5</x:v>
      </x:c>
      <x:c r="L407" t="str">
        <x:v>$1–5</x:v>
      </x:c>
      <x:c r="M407" t="str">
        <x:v>Yes</x:v>
      </x:c>
      <x:c r="N407" t="str">
        <x:v>No</x:v>
      </x:c>
      <x:c r="O407" t="str">
        <x:v>Yes</x:v>
      </x:c>
      <x:c r="P407" t="str">
        <x:v>Clean/NM benchmark unless noted</x:v>
      </x:c>
      <x:c r="Q407" t="n">
        <x:v>2</x:v>
      </x:c>
      <x:c r="R407" t="n">
        <x:v>3</x:v>
      </x:c>
      <x:c r="S407" t="n">
        <x:v>2.5</x:v>
      </x:c>
      <x:c r="T407" t="str">
        <x:v>Legendary Treasures Ninetales 21/113 regular rare. TCGplayer current regular market about $2.46. Reverse holo is a separate printing worth materially more.</x:v>
      </x:c>
      <x:c r="U407" t="n">
        <x:v>923</x:v>
      </x:c>
      <x:c r="V407" t="str">
        <x:v>Current chat resolution / researched 2026-08-15</x:v>
      </x:c>
      <x:c r="W407" t="str">
        <x:v>https://www.tcgplayer.com/categories/trading-and-collectible-card-games/pokemon/price-guides/legendary-treasures</x:v>
      </x:c>
    </x:row>
    <x:row r="408">
      <x:c r="A408" t="n">
        <x:v>407</x:v>
      </x:c>
      <x:c r="B408" t="str">
        <x:v>Fire / Rares</x:v>
      </x:c>
      <x:c r="C408" t="str">
        <x:v>Ninetales</x:v>
      </x:c>
      <x:c r="D408" t="str">
        <x:v>17/95</x:v>
      </x:c>
      <x:c r="E408" t="str">
        <x:v>Call of Legends</x:v>
      </x:c>
      <x:c r="F408" t="n">
        <x:v>2011</x:v>
      </x:c>
      <x:c r="G408" t="str">
        <x:v>Reverse Holo</x:v>
      </x:c>
      <x:c r="H408" t="str">
        <x:v>1 of 2</x:v>
      </x:c>
      <x:c r="I408" t="n">
        <x:v>48</x:v>
      </x:c>
      <x:c r="J408" t="n">
        <x:v>63</x:v>
      </x:c>
      <x:c r="K408" t="n">
        <x:v>55.5</x:v>
      </x:c>
      <x:c r="L408" t="str">
        <x:v>$20+</x:v>
      </x:c>
      <x:c r="M408" t="str">
        <x:v>Yes</x:v>
      </x:c>
      <x:c r="N408" t="str">
        <x:v>Yes</x:v>
      </x:c>
      <x:c r="O408" t="str">
        <x:v>Yes</x:v>
      </x:c>
      <x:c r="P408" t="str">
        <x:v>Clean/NM benchmark unless noted</x:v>
      </x:c>
      <x:c r="Q408" t="n">
        <x:v>48</x:v>
      </x:c>
      <x:c r="R408" t="n">
        <x:v>63</x:v>
      </x:c>
      <x:c r="S408" t="n">
        <x:v>55.5</x:v>
      </x:c>
      <x:c r="T408" t="str">
        <x:v>Call of Legends Ninetales 17/95 reverse holo. TCGplayer NM reverse-holo market about $55.58.</x:v>
      </x:c>
      <x:c r="U408" t="n">
        <x:v>923</x:v>
      </x:c>
      <x:c r="V408" t="str">
        <x:v>Current chat continuation / researched 2026-08-15</x:v>
      </x:c>
      <x:c r="W408" t="str">
        <x:v>https://www.tcgplayer.com/categories/trading-and-collectible-card-games/pokemon/price-guides/call-of-legends</x:v>
      </x:c>
    </x:row>
    <x:row r="409">
      <x:c r="A409" t="n">
        <x:v>408</x:v>
      </x:c>
      <x:c r="B409" t="str">
        <x:v>Fire / Rares</x:v>
      </x:c>
      <x:c r="C409" t="str">
        <x:v>Ninetales</x:v>
      </x:c>
      <x:c r="D409" t="str">
        <x:v>20/95</x:v>
      </x:c>
      <x:c r="E409" t="str">
        <x:v>Unleashed</x:v>
      </x:c>
      <x:c r="F409" t="n">
        <x:v>2010</x:v>
      </x:c>
      <x:c r="G409" t="str">
        <x:v>Regular Rare</x:v>
      </x:c>
      <x:c r="H409" t="str">
        <x:v>1 of 1</x:v>
      </x:c>
      <x:c r="I409" t="n">
        <x:v>9.5</x:v>
      </x:c>
      <x:c r="J409" t="n">
        <x:v>13.5</x:v>
      </x:c>
      <x:c r="K409" t="n">
        <x:v>11.5</x:v>
      </x:c>
      <x:c r="L409" t="str">
        <x:v>$5–20</x:v>
      </x:c>
      <x:c r="M409" t="str">
        <x:v>Yes</x:v>
      </x:c>
      <x:c r="N409" t="str">
        <x:v>Yes</x:v>
      </x:c>
      <x:c r="O409" t="str">
        <x:v>Yes</x:v>
      </x:c>
      <x:c r="P409" t="str">
        <x:v>Clean/NM benchmark unless noted</x:v>
      </x:c>
      <x:c r="Q409" t="n">
        <x:v>9.5</x:v>
      </x:c>
      <x:c r="R409" t="n">
        <x:v>13.5</x:v>
      </x:c>
      <x:c r="S409" t="n">
        <x:v>11.5</x:v>
      </x:c>
      <x:c r="T409" t="str">
        <x:v>Unleashed Ninetales 20/95 regular rare. TCGplayer current market about $10–12.</x:v>
      </x:c>
      <x:c r="U409" t="n">
        <x:v>923</x:v>
      </x:c>
      <x:c r="V409" t="str">
        <x:v>Current chat continuation / researched 2026-08-15</x:v>
      </x:c>
      <x:c r="W409" t="str">
        <x:v>https://www.tcgplayer.com/search/pokemon/product?page=1&amp;productLineName=pokemon&amp;productName=Ninetales&amp;view=grid</x:v>
      </x:c>
    </x:row>
    <x:row r="410">
      <x:c r="A410" t="n">
        <x:v>409</x:v>
      </x:c>
      <x:c r="B410" t="str">
        <x:v>Fire / Rares</x:v>
      </x:c>
      <x:c r="C410" t="str">
        <x:v>Arbok δ</x:v>
      </x:c>
      <x:c r="D410" t="str">
        <x:v>13/101</x:v>
      </x:c>
      <x:c r="E410" t="str">
        <x:v>EX Dragon Frontiers</x:v>
      </x:c>
      <x:c r="F410" t="n">
        <x:v>2006</x:v>
      </x:c>
      <x:c r="G410" t="str">
        <x:v>Regular Rare (Delta Species)</x:v>
      </x:c>
      <x:c r="H410" t="str">
        <x:v>1 of 1</x:v>
      </x:c>
      <x:c r="I410" t="n">
        <x:v>2</x:v>
      </x:c>
      <x:c r="J410" t="n">
        <x:v>3</x:v>
      </x:c>
      <x:c r="K410" t="n">
        <x:v>2.5</x:v>
      </x:c>
      <x:c r="L410" t="str">
        <x:v>$1–5</x:v>
      </x:c>
      <x:c r="M410" t="str">
        <x:v>Yes</x:v>
      </x:c>
      <x:c r="N410" t="str">
        <x:v>No</x:v>
      </x:c>
      <x:c r="O410" t="str">
        <x:v>Yes</x:v>
      </x:c>
      <x:c r="P410" t="str">
        <x:v>Clean/NM benchmark unless noted</x:v>
      </x:c>
      <x:c r="Q410" t="n">
        <x:v>2</x:v>
      </x:c>
      <x:c r="R410" t="n">
        <x:v>3</x:v>
      </x:c>
      <x:c r="S410" t="n">
        <x:v>2.5</x:v>
      </x:c>
      <x:c r="T410" t="str">
        <x:v>EX Dragon Frontiers Arbok δ 13/101 regular rare; Fire-type Delta Species. Current raw market is roughly $2.20–2.50. Reverse foil is a separate, more valuable printing.</x:v>
      </x:c>
      <x:c r="U410" t="n">
        <x:v>924</x:v>
      </x:c>
      <x:c r="V410" t="str">
        <x:v>Current chat continuation / researched 2026-08-15</x:v>
      </x:c>
      <x:c r="W410" t="str">
        <x:v>https://www.pricecharting.com/game/pokemon-dragon-frontiers/arbok-13</x:v>
      </x:c>
    </x:row>
    <x:row r="411">
      <x:c r="A411" t="n">
        <x:v>410</x:v>
      </x:c>
      <x:c r="B411" t="str">
        <x:v>Fire / Rares</x:v>
      </x:c>
      <x:c r="C411" t="str">
        <x:v>Magmortar</x:v>
      </x:c>
      <x:c r="D411" t="str">
        <x:v>31/132</x:v>
      </x:c>
      <x:c r="E411" t="str">
        <x:v>Secret Wonders</x:v>
      </x:c>
      <x:c r="F411" t="n">
        <x:v>2007</x:v>
      </x:c>
      <x:c r="G411" t="str">
        <x:v>Regular Rare (LV.52)</x:v>
      </x:c>
      <x:c r="H411" t="str">
        <x:v>1 of 1</x:v>
      </x:c>
      <x:c r="I411" t="n">
        <x:v>0.85</x:v>
      </x:c>
      <x:c r="J411" t="n">
        <x:v>1.3</x:v>
      </x:c>
      <x:c r="K411" t="n">
        <x:v>1.075</x:v>
      </x:c>
      <x:c r="L411" t="str">
        <x:v>$1–5</x:v>
      </x:c>
      <x:c r="M411" t="str">
        <x:v>Yes</x:v>
      </x:c>
      <x:c r="N411" t="str">
        <x:v>No</x:v>
      </x:c>
      <x:c r="O411" t="str">
        <x:v>Yes</x:v>
      </x:c>
      <x:c r="P411" t="str">
        <x:v>Clean/NM benchmark unless noted</x:v>
      </x:c>
      <x:c r="Q411" t="n">
        <x:v>0.85</x:v>
      </x:c>
      <x:c r="R411" t="n">
        <x:v>1.3</x:v>
      </x:c>
      <x:c r="S411" t="n">
        <x:v>1.075</x:v>
      </x:c>
      <x:c r="T411" t="str">
        <x:v>Secret Wonders Magmortar LV.52 31/132 regular rare. TCGplayer market about $1.06. Deck-exclusive holo and reverse holo are separate printings.</x:v>
      </x:c>
      <x:c r="U411" t="n">
        <x:v>924</x:v>
      </x:c>
      <x:c r="V411" t="str">
        <x:v>Current chat continuation / researched 2026-08-15</x:v>
      </x:c>
      <x:c r="W411" t="str">
        <x:v>https://www.tcgplayer.com/search/pokemon/product?q=Magmortar</x:v>
      </x:c>
    </x:row>
    <x:row r="412">
      <x:c r="A412" t="n">
        <x:v>411</x:v>
      </x:c>
      <x:c r="B412" t="str">
        <x:v>Fire / Rares</x:v>
      </x:c>
      <x:c r="C412" t="str">
        <x:v>Chandelure</x:v>
      </x:c>
      <x:c r="D412" t="str">
        <x:v>20/99</x:v>
      </x:c>
      <x:c r="E412" t="str">
        <x:v>Next Destinies</x:v>
      </x:c>
      <x:c r="F412" t="n">
        <x:v>2012</x:v>
      </x:c>
      <x:c r="G412" t="str">
        <x:v>Holofoil</x:v>
      </x:c>
      <x:c r="H412" t="str">
        <x:v>1 of 3</x:v>
      </x:c>
      <x:c r="I412" t="n">
        <x:v>1.3</x:v>
      </x:c>
      <x:c r="J412" t="n">
        <x:v>2.1</x:v>
      </x:c>
      <x:c r="K412" t="n">
        <x:v>1.7000000000000002</x:v>
      </x:c>
      <x:c r="L412" t="str">
        <x:v>$1–5</x:v>
      </x:c>
      <x:c r="M412" t="str">
        <x:v>Yes</x:v>
      </x:c>
      <x:c r="N412" t="str">
        <x:v>No</x:v>
      </x:c>
      <x:c r="O412" t="str">
        <x:v>Yes</x:v>
      </x:c>
      <x:c r="P412" t="str">
        <x:v>Clean/NM benchmark unless noted</x:v>
      </x:c>
      <x:c r="Q412" t="n">
        <x:v>1.3</x:v>
      </x:c>
      <x:c r="R412" t="n">
        <x:v>2.1</x:v>
      </x:c>
      <x:c r="S412" t="n">
        <x:v>1.7000000000000002</x:v>
      </x:c>
      <x:c r="T412" t="str">
        <x:v>Next Destinies Chandelure 20/99 holo rare. TCGplayer market about $1.60–1.70 NM. Cracked Ice Holo is a separate blister-exclusive printing.</x:v>
      </x:c>
      <x:c r="U412" t="n">
        <x:v>925</x:v>
      </x:c>
      <x:c r="V412" t="str">
        <x:v>Current chat continuation / researched 2026-08-15</x:v>
      </x:c>
      <x:c r="W412" t="str">
        <x:v>https://www.tcgplayer.com/search/pokemon/product?productLineName=pokemon&amp;q=Chandelure+Next+Destinies+%2320</x:v>
      </x:c>
    </x:row>
    <x:row r="413">
      <x:c r="A413" t="n">
        <x:v>412</x:v>
      </x:c>
      <x:c r="B413" t="str">
        <x:v>Fire / Rares</x:v>
      </x:c>
      <x:c r="C413" t="str">
        <x:v>Chandelure</x:v>
      </x:c>
      <x:c r="D413" t="str">
        <x:v>20/99</x:v>
      </x:c>
      <x:c r="E413" t="str">
        <x:v>Next Destinies</x:v>
      </x:c>
      <x:c r="F413" t="n">
        <x:v>2012</x:v>
      </x:c>
      <x:c r="G413" t="str">
        <x:v>Holofoil</x:v>
      </x:c>
      <x:c r="H413" t="str">
        <x:v>2 of 3</x:v>
      </x:c>
      <x:c r="I413" t="n">
        <x:v>1.3</x:v>
      </x:c>
      <x:c r="J413" t="n">
        <x:v>2.1</x:v>
      </x:c>
      <x:c r="K413" t="n">
        <x:v>1.7000000000000002</x:v>
      </x:c>
      <x:c r="L413" t="str">
        <x:v>$1–5</x:v>
      </x:c>
      <x:c r="M413" t="str">
        <x:v>Yes</x:v>
      </x:c>
      <x:c r="N413" t="str">
        <x:v>No</x:v>
      </x:c>
      <x:c r="O413" t="str">
        <x:v>Yes</x:v>
      </x:c>
      <x:c r="P413" t="str">
        <x:v>Clean/NM benchmark unless noted</x:v>
      </x:c>
      <x:c r="Q413" t="n">
        <x:v>1.3</x:v>
      </x:c>
      <x:c r="R413" t="n">
        <x:v>2.1</x:v>
      </x:c>
      <x:c r="S413" t="n">
        <x:v>1.7000000000000002</x:v>
      </x:c>
      <x:c r="T413" t="str">
        <x:v>Next Destinies Chandelure 20/99 holo rare. TCGplayer market about $1.60–1.70 NM. Cracked Ice Holo is a separate blister-exclusive printing.</x:v>
      </x:c>
      <x:c r="U413" t="n">
        <x:v>925</x:v>
      </x:c>
      <x:c r="V413" t="str">
        <x:v>Current chat continuation / researched 2026-08-15</x:v>
      </x:c>
      <x:c r="W413" t="str">
        <x:v>https://www.tcgplayer.com/search/pokemon/product?productLineName=pokemon&amp;q=Chandelure+Next+Destinies+%2320</x:v>
      </x:c>
    </x:row>
    <x:row r="414">
      <x:c r="A414" t="n">
        <x:v>413</x:v>
      </x:c>
      <x:c r="B414" t="str">
        <x:v>Fire / Rares</x:v>
      </x:c>
      <x:c r="C414" t="str">
        <x:v>Chandelure</x:v>
      </x:c>
      <x:c r="D414" t="str">
        <x:v>20/99</x:v>
      </x:c>
      <x:c r="E414" t="str">
        <x:v>Next Destinies</x:v>
      </x:c>
      <x:c r="F414" t="n">
        <x:v>2012</x:v>
      </x:c>
      <x:c r="G414" t="str">
        <x:v>Holofoil</x:v>
      </x:c>
      <x:c r="H414" t="str">
        <x:v>3 of 3</x:v>
      </x:c>
      <x:c r="I414" t="n">
        <x:v>1.3</x:v>
      </x:c>
      <x:c r="J414" t="n">
        <x:v>2.1</x:v>
      </x:c>
      <x:c r="K414" t="n">
        <x:v>1.7000000000000002</x:v>
      </x:c>
      <x:c r="L414" t="str">
        <x:v>$1–5</x:v>
      </x:c>
      <x:c r="M414" t="str">
        <x:v>Yes</x:v>
      </x:c>
      <x:c r="N414" t="str">
        <x:v>No</x:v>
      </x:c>
      <x:c r="O414" t="str">
        <x:v>Yes</x:v>
      </x:c>
      <x:c r="P414" t="str">
        <x:v>Clean/NM benchmark unless noted</x:v>
      </x:c>
      <x:c r="Q414" t="n">
        <x:v>1.3</x:v>
      </x:c>
      <x:c r="R414" t="n">
        <x:v>2.1</x:v>
      </x:c>
      <x:c r="S414" t="n">
        <x:v>1.7000000000000002</x:v>
      </x:c>
      <x:c r="T414" t="str">
        <x:v>Next Destinies Chandelure 20/99 holo rare. TCGplayer market about $1.60–1.70 NM. Cracked Ice Holo is a separate blister-exclusive printing.</x:v>
      </x:c>
      <x:c r="U414" t="n">
        <x:v>925</x:v>
      </x:c>
      <x:c r="V414" t="str">
        <x:v>Current chat continuation / researched 2026-08-15</x:v>
      </x:c>
      <x:c r="W414" t="str">
        <x:v>https://www.tcgplayer.com/search/pokemon/product?productLineName=pokemon&amp;q=Chandelure+Next+Destinies+%2320</x:v>
      </x:c>
    </x:row>
    <x:row r="415">
      <x:c r="A415" t="n">
        <x:v>414</x:v>
      </x:c>
      <x:c r="B415" t="str">
        <x:v>Fire / Rares</x:v>
      </x:c>
      <x:c r="C415" t="str">
        <x:v>Volcarona</x:v>
      </x:c>
      <x:c r="D415" t="str">
        <x:v>13/?</x:v>
      </x:c>
      <x:c r="E415" t="str">
        <x:v>Set unresolved</x:v>
      </x:c>
      <x:c r="F415"/>
      <x:c r="G415" t="str">
        <x:v>Regular (assumed)</x:v>
      </x:c>
      <x:c r="H415" t="str">
        <x:v>1 of 2</x:v>
      </x:c>
      <x:c r="I415"/>
      <x:c r="J415"/>
      <x:c r="K415"/>
      <x:c r="L415" t="str">
        <x:v>Needs ID</x:v>
      </x:c>
      <x:c r="M415" t="str">
        <x:v>Yes</x:v>
      </x:c>
      <x:c r="N415" t="str">
        <x:v>No</x:v>
      </x:c>
      <x:c r="O415" t="str">
        <x:v>No</x:v>
      </x:c>
      <x:c r="P415" t="str">
        <x:v>Needs denominator/set confirmation</x:v>
      </x:c>
      <x:c r="Q415"/>
      <x:c r="R415"/>
      <x:c r="S415"/>
      <x:c r="T415" t="str">
        <x:v>Volcarona #13 is ambiguous: 13/101 = Plasma Blast Team Plasma regular rare (~$0.70 market); 13/73 = Shining Legends regular uncommon (~$0.16 market). Denominator needed before exact set/value.</x:v>
      </x:c>
      <x:c r="U415" t="n">
        <x:v>926</x:v>
      </x:c>
      <x:c r="V415" t="str">
        <x:v>Current chat correction / unresolved 2026-08-15</x:v>
      </x:c>
      <x:c r="W415" t="str">
        <x:v>https://www.tcgplayer.com/search/pokemon/product?productLineName=pokemon&amp;productName=Volcarona</x:v>
      </x:c>
    </x:row>
    <x:row r="416">
      <x:c r="A416" t="n">
        <x:v>415</x:v>
      </x:c>
      <x:c r="B416" t="str">
        <x:v>Fire / Rares</x:v>
      </x:c>
      <x:c r="C416" t="str">
        <x:v>Volcarona</x:v>
      </x:c>
      <x:c r="D416" t="str">
        <x:v>13/?</x:v>
      </x:c>
      <x:c r="E416" t="str">
        <x:v>Set unresolved</x:v>
      </x:c>
      <x:c r="F416"/>
      <x:c r="G416" t="str">
        <x:v>Regular (assumed)</x:v>
      </x:c>
      <x:c r="H416" t="str">
        <x:v>2 of 2</x:v>
      </x:c>
      <x:c r="I416"/>
      <x:c r="J416"/>
      <x:c r="K416"/>
      <x:c r="L416" t="str">
        <x:v>Needs ID</x:v>
      </x:c>
      <x:c r="M416" t="str">
        <x:v>Yes</x:v>
      </x:c>
      <x:c r="N416" t="str">
        <x:v>No</x:v>
      </x:c>
      <x:c r="O416" t="str">
        <x:v>No</x:v>
      </x:c>
      <x:c r="P416" t="str">
        <x:v>Needs denominator/set confirmation</x:v>
      </x:c>
      <x:c r="Q416"/>
      <x:c r="R416"/>
      <x:c r="S416"/>
      <x:c r="T416" t="str">
        <x:v>Volcarona #13 is ambiguous: 13/101 = Plasma Blast Team Plasma regular rare (~$0.70 market); 13/73 = Shining Legends regular uncommon (~$0.16 market). Denominator needed before exact set/value.</x:v>
      </x:c>
      <x:c r="U416" t="n">
        <x:v>926</x:v>
      </x:c>
      <x:c r="V416" t="str">
        <x:v>Current chat correction / unresolved 2026-08-15</x:v>
      </x:c>
      <x:c r="W416" t="str">
        <x:v>https://www.tcgplayer.com/search/pokemon/product?productLineName=pokemon&amp;productName=Volcarona</x:v>
      </x:c>
    </x:row>
    <x:row r="417">
      <x:c r="A417" t="n">
        <x:v>416</x:v>
      </x:c>
      <x:c r="B417" t="str">
        <x:v>Fire / Rares</x:v>
      </x:c>
      <x:c r="C417" t="str">
        <x:v>Volcarona</x:v>
      </x:c>
      <x:c r="D417" t="str">
        <x:v>21/101</x:v>
      </x:c>
      <x:c r="E417" t="str">
        <x:v>Noble Victories</x:v>
      </x:c>
      <x:c r="F417" t="n">
        <x:v>2011</x:v>
      </x:c>
      <x:c r="G417" t="str">
        <x:v>Reverse Holo</x:v>
      </x:c>
      <x:c r="H417" t="str">
        <x:v>1 of 1</x:v>
      </x:c>
      <x:c r="I417" t="n">
        <x:v>3.25</x:v>
      </x:c>
      <x:c r="J417" t="n">
        <x:v>4.5</x:v>
      </x:c>
      <x:c r="K417" t="n">
        <x:v>3.875</x:v>
      </x:c>
      <x:c r="L417" t="str">
        <x:v>$1–5</x:v>
      </x:c>
      <x:c r="M417" t="str">
        <x:v>Yes</x:v>
      </x:c>
      <x:c r="N417" t="str">
        <x:v>No</x:v>
      </x:c>
      <x:c r="O417" t="str">
        <x:v>Yes</x:v>
      </x:c>
      <x:c r="P417" t="str">
        <x:v>Clean/NM benchmark unless noted</x:v>
      </x:c>
      <x:c r="Q417" t="n">
        <x:v>3.25</x:v>
      </x:c>
      <x:c r="R417" t="n">
        <x:v>4.5</x:v>
      </x:c>
      <x:c r="S417" t="n">
        <x:v>3.875</x:v>
      </x:c>
      <x:c r="T417" t="str">
        <x:v>Noble Victories Volcarona 21/101 reverse holo. PriceCharting ungraded is about $3.94 and TCGplayer-derived reverse market about $3.81.</x:v>
      </x:c>
      <x:c r="U417" t="n">
        <x:v>926</x:v>
      </x:c>
      <x:c r="V417" t="str">
        <x:v>Current chat continuation / researched 2026-08-15</x:v>
      </x:c>
      <x:c r="W417" t="str">
        <x:v>https://www.pricecharting.com/game/pokemon-noble-victories/volcarona-reverse-holo-21</x:v>
      </x:c>
    </x:row>
    <x:row r="418">
      <x:c r="A418" t="n">
        <x:v>417</x:v>
      </x:c>
      <x:c r="B418" t="str">
        <x:v>Fire / Rares</x:v>
      </x:c>
      <x:c r="C418" t="str">
        <x:v>Emboar</x:v>
      </x:c>
      <x:c r="D418" t="str">
        <x:v>20/114</x:v>
      </x:c>
      <x:c r="E418" t="str">
        <x:v>Black &amp; White</x:v>
      </x:c>
      <x:c r="F418" t="n">
        <x:v>2011</x:v>
      </x:c>
      <x:c r="G418" t="str">
        <x:v>Holofoil</x:v>
      </x:c>
      <x:c r="H418" t="str">
        <x:v>1 of 2</x:v>
      </x:c>
      <x:c r="I418" t="n">
        <x:v>2.5</x:v>
      </x:c>
      <x:c r="J418" t="n">
        <x:v>3.5</x:v>
      </x:c>
      <x:c r="K418" t="n">
        <x:v>3</x:v>
      </x:c>
      <x:c r="L418" t="str">
        <x:v>$1–5</x:v>
      </x:c>
      <x:c r="M418" t="str">
        <x:v>Yes</x:v>
      </x:c>
      <x:c r="N418" t="str">
        <x:v>No</x:v>
      </x:c>
      <x:c r="O418" t="str">
        <x:v>Yes</x:v>
      </x:c>
      <x:c r="P418" t="str">
        <x:v>Clean/NM benchmark unless noted</x:v>
      </x:c>
      <x:c r="Q418" t="n">
        <x:v>2.5</x:v>
      </x:c>
      <x:c r="R418" t="n">
        <x:v>3.5</x:v>
      </x:c>
      <x:c r="S418" t="n">
        <x:v>3</x:v>
      </x:c>
      <x:c r="T418" t="str">
        <x:v>Black &amp; White Emboar 20/114 holo rare. Current TCGplayer market about $2.9–3.2 NM.</x:v>
      </x:c>
      <x:c r="U418" t="n">
        <x:v>927</x:v>
      </x:c>
      <x:c r="V418" t="str">
        <x:v>Current chat continuation / researched 2026-08-15</x:v>
      </x:c>
      <x:c r="W418" t="str">
        <x:v>https://www.tcgplayer.com/categories/trading-and-collectible-card-games/pokemon/price-guides/black-and-white</x:v>
      </x:c>
    </x:row>
    <x:row r="419">
      <x:c r="A419" t="n">
        <x:v>418</x:v>
      </x:c>
      <x:c r="B419" t="str">
        <x:v>Fire / Rares</x:v>
      </x:c>
      <x:c r="C419" t="str">
        <x:v>Emboar</x:v>
      </x:c>
      <x:c r="D419" t="str">
        <x:v>20/114</x:v>
      </x:c>
      <x:c r="E419" t="str">
        <x:v>Black &amp; White</x:v>
      </x:c>
      <x:c r="F419" t="n">
        <x:v>2011</x:v>
      </x:c>
      <x:c r="G419" t="str">
        <x:v>Holofoil</x:v>
      </x:c>
      <x:c r="H419" t="str">
        <x:v>2 of 2</x:v>
      </x:c>
      <x:c r="I419" t="n">
        <x:v>2.5</x:v>
      </x:c>
      <x:c r="J419" t="n">
        <x:v>3.5</x:v>
      </x:c>
      <x:c r="K419" t="n">
        <x:v>3</x:v>
      </x:c>
      <x:c r="L419" t="str">
        <x:v>$1–5</x:v>
      </x:c>
      <x:c r="M419" t="str">
        <x:v>Yes</x:v>
      </x:c>
      <x:c r="N419" t="str">
        <x:v>No</x:v>
      </x:c>
      <x:c r="O419" t="str">
        <x:v>Yes</x:v>
      </x:c>
      <x:c r="P419" t="str">
        <x:v>Clean/NM benchmark unless noted</x:v>
      </x:c>
      <x:c r="Q419" t="n">
        <x:v>2.5</x:v>
      </x:c>
      <x:c r="R419" t="n">
        <x:v>3.5</x:v>
      </x:c>
      <x:c r="S419" t="n">
        <x:v>3</x:v>
      </x:c>
      <x:c r="T419" t="str">
        <x:v>Black &amp; White Emboar 20/114 holo rare. Current TCGplayer market about $2.9–3.2 NM.</x:v>
      </x:c>
      <x:c r="U419" t="n">
        <x:v>927</x:v>
      </x:c>
      <x:c r="V419" t="str">
        <x:v>Current chat continuation / researched 2026-08-15</x:v>
      </x:c>
      <x:c r="W419" t="str">
        <x:v>https://www.tcgplayer.com/categories/trading-and-collectible-card-games/pokemon/price-guides/black-and-white</x:v>
      </x:c>
    </x:row>
    <x:row r="420">
      <x:c r="A420" t="n">
        <x:v>419</x:v>
      </x:c>
      <x:c r="B420" t="str">
        <x:v>Fire / Rares</x:v>
      </x:c>
      <x:c r="C420" t="str">
        <x:v>Emboar</x:v>
      </x:c>
      <x:c r="D420" t="str">
        <x:v>19/114</x:v>
      </x:c>
      <x:c r="E420" t="str">
        <x:v>Black &amp; White</x:v>
      </x:c>
      <x:c r="F420" t="n">
        <x:v>2011</x:v>
      </x:c>
      <x:c r="G420" t="str">
        <x:v>Reverse Holo</x:v>
      </x:c>
      <x:c r="H420" t="str">
        <x:v>1 of 1</x:v>
      </x:c>
      <x:c r="I420" t="n">
        <x:v>2.75</x:v>
      </x:c>
      <x:c r="J420" t="n">
        <x:v>3.75</x:v>
      </x:c>
      <x:c r="K420" t="n">
        <x:v>3.25</x:v>
      </x:c>
      <x:c r="L420" t="str">
        <x:v>$1–5</x:v>
      </x:c>
      <x:c r="M420" t="str">
        <x:v>Yes</x:v>
      </x:c>
      <x:c r="N420" t="str">
        <x:v>No</x:v>
      </x:c>
      <x:c r="O420" t="str">
        <x:v>Yes</x:v>
      </x:c>
      <x:c r="P420" t="str">
        <x:v>Clean/NM benchmark unless noted</x:v>
      </x:c>
      <x:c r="Q420" t="n">
        <x:v>2.75</x:v>
      </x:c>
      <x:c r="R420" t="n">
        <x:v>3.75</x:v>
      </x:c>
      <x:c r="S420" t="n">
        <x:v>3.25</x:v>
      </x:c>
      <x:c r="T420" t="str">
        <x:v>Black &amp; White Emboar 19/114 reverse holo. Current TCGplayer NM reverse-holo market about $3.26.</x:v>
      </x:c>
      <x:c r="U420" t="n">
        <x:v>927</x:v>
      </x:c>
      <x:c r="V420" t="str">
        <x:v>Current chat continuation / researched 2026-08-15</x:v>
      </x:c>
      <x:c r="W420" t="str">
        <x:v>https://www.tcgplayer.com/categories/trading-and-collectible-card-games/pokemon/price-guides/black-and-white</x:v>
      </x:c>
    </x:row>
    <x:row r="421">
      <x:c r="A421" t="n">
        <x:v>420</x:v>
      </x:c>
      <x:c r="B421" t="str">
        <x:v>Fire / Commons</x:v>
      </x:c>
      <x:c r="C421" t="str">
        <x:v>Litten</x:v>
      </x:c>
      <x:c r="D421" t="str">
        <x:v>SM02</x:v>
      </x:c>
      <x:c r="E421" t="str">
        <x:v>SM Black Star Promos</x:v>
      </x:c>
      <x:c r="F421" t="n">
        <x:v>2016</x:v>
      </x:c>
      <x:c r="G421" t="str">
        <x:v>Promo Holofoil</x:v>
      </x:c>
      <x:c r="H421" t="str">
        <x:v>1 of 1</x:v>
      </x:c>
      <x:c r="I421" t="n">
        <x:v>1.5</x:v>
      </x:c>
      <x:c r="J421" t="n">
        <x:v>3.5</x:v>
      </x:c>
      <x:c r="K421" t="n">
        <x:v>2.5</x:v>
      </x:c>
      <x:c r="L421" t="str">
        <x:v>$1–5</x:v>
      </x:c>
      <x:c r="M421" t="str">
        <x:v>Yes</x:v>
      </x:c>
      <x:c r="N421" t="str">
        <x:v>No</x:v>
      </x:c>
      <x:c r="O421" t="str">
        <x:v>Yes</x:v>
      </x:c>
      <x:c r="P421" t="str">
        <x:v>Clean/NM benchmark unless noted</x:v>
      </x:c>
      <x:c r="Q421" t="n">
        <x:v>1.5</x:v>
      </x:c>
      <x:c r="R421" t="n">
        <x:v>3.5</x:v>
      </x:c>
      <x:c r="S421" t="n">
        <x:v>2.5</x:v>
      </x:c>
      <x:c r="T421" t="str">
        <x:v>Litten SM02 Sun &amp; Moon Black Star Promo holo. TCGplayer market about $1.74; recent raw sales commonly around $2–4. Separate General Mills Sequin Holo SM02 variant is worth somewhat more.</x:v>
      </x:c>
      <x:c r="U421" t="n">
        <x:v>928</x:v>
      </x:c>
      <x:c r="V421" t="str">
        <x:v>Current chat continuation / researched 2026-08-15</x:v>
      </x:c>
      <x:c r="W421" t="str">
        <x:v>https://www.tcgplayer.com/search/pokemon/product?page=1&amp;productLineName=pokemon&amp;q=Litten+-+SM02&amp;setName=product&amp;view=grid</x:v>
      </x:c>
    </x:row>
    <x:row r="422">
      <x:c r="A422" t="n">
        <x:v>421</x:v>
      </x:c>
      <x:c r="B422" t="str">
        <x:v>Fighting / Commons</x:v>
      </x:c>
      <x:c r="C422" t="str">
        <x:v>Kabuto</x:v>
      </x:c>
      <x:c r="D422" t="str">
        <x:v>50/62</x:v>
      </x:c>
      <x:c r="E422" t="str">
        <x:v>Fossil</x:v>
      </x:c>
      <x:c r="F422" t="n">
        <x:v>1999</x:v>
      </x:c>
      <x:c r="G422" t="str">
        <x:v>Regular (Unlimited assumed)</x:v>
      </x:c>
      <x:c r="H422" t="str">
        <x:v>1 of 1</x:v>
      </x:c>
      <x:c r="I422" t="n">
        <x:v>1</x:v>
      </x:c>
      <x:c r="J422" t="n">
        <x:v>2.5</x:v>
      </x:c>
      <x:c r="K422" t="n">
        <x:v>1.75</x:v>
      </x:c>
      <x:c r="L422" t="str">
        <x:v>$1–5</x:v>
      </x:c>
      <x:c r="M422" t="str">
        <x:v>Yes</x:v>
      </x:c>
      <x:c r="N422" t="str">
        <x:v>No</x:v>
      </x:c>
      <x:c r="O422" t="str">
        <x:v>Yes</x:v>
      </x:c>
      <x:c r="P422" t="str">
        <x:v>Clean/NM benchmark unless noted</x:v>
      </x:c>
      <x:c r="Q422" t="n">
        <x:v>1</x:v>
      </x:c>
      <x:c r="R422" t="n">
        <x:v>2.5</x:v>
      </x:c>
      <x:c r="S422" t="n">
        <x:v>1.75</x:v>
      </x:c>
      <x:c r="T422" t="str">
        <x:v>Fossil Kabuto 50/62, Unlimited assumed. TCGplayer search market is currently distorted upward, but the Fossil NM price guide and recent sold comps support roughly $1–2 raw. Reprice if 1st Edition.</x:v>
      </x:c>
      <x:c r="U422" t="n">
        <x:v>929</x:v>
      </x:c>
      <x:c r="V422" t="str">
        <x:v>Current chat continuation / researched 2026-08-15</x:v>
      </x:c>
      <x:c r="W422" t="str">
        <x:v>https://www.tcgplayer.com/categories/trading-and-collectible-card-games/pokemon/price-guides/fossil</x:v>
      </x:c>
    </x:row>
    <x:row r="423">
      <x:c r="A423" t="n">
        <x:v>422</x:v>
      </x:c>
      <x:c r="B423" t="str">
        <x:v>Fighting / Commons</x:v>
      </x:c>
      <x:c r="C423" t="str">
        <x:v>Kabuto</x:v>
      </x:c>
      <x:c r="D423" t="str">
        <x:v>67/99</x:v>
      </x:c>
      <x:c r="E423" t="str">
        <x:v>Arceus</x:v>
      </x:c>
      <x:c r="F423" t="n">
        <x:v>2009</x:v>
      </x:c>
      <x:c r="G423" t="str">
        <x:v>Regular (LV.33)</x:v>
      </x:c>
      <x:c r="H423" t="str">
        <x:v>1 of 1</x:v>
      </x:c>
      <x:c r="I423" t="n">
        <x:v>0.35</x:v>
      </x:c>
      <x:c r="J423" t="n">
        <x:v>0.7</x:v>
      </x:c>
      <x:c r="K423" t="n">
        <x:v>0.5249999999999999</x:v>
      </x:c>
      <x:c r="L423" t="str">
        <x:v>&lt;$1</x:v>
      </x:c>
      <x:c r="M423" t="str">
        <x:v>Yes</x:v>
      </x:c>
      <x:c r="N423" t="str">
        <x:v>No</x:v>
      </x:c>
      <x:c r="O423" t="str">
        <x:v>No</x:v>
      </x:c>
      <x:c r="P423" t="str">
        <x:v>Clean/NM benchmark unless noted</x:v>
      </x:c>
      <x:c r="Q423" t="n">
        <x:v>0.35</x:v>
      </x:c>
      <x:c r="R423" t="n">
        <x:v>0.7</x:v>
      </x:c>
      <x:c r="S423" t="n">
        <x:v>0.5249999999999999</x:v>
      </x:c>
      <x:c r="T423" t="str">
        <x:v>Arceus Kabuto LV.33 67/99 regular common. TCGplayer market about $0.52. Reverse holo is a separate printing worth more.</x:v>
      </x:c>
      <x:c r="U423" t="n">
        <x:v>929</x:v>
      </x:c>
      <x:c r="V423" t="str">
        <x:v>Current chat continuation / researched 2026-08-15</x:v>
      </x:c>
      <x:c r="W423" t="str">
        <x:v>https://www.tcgplayer.com/search/pokemon/arceus?productLineName=pokemon&amp;setName=arceus</x:v>
      </x:c>
    </x:row>
    <x:row r="424">
      <x:c r="A424" t="n">
        <x:v>423</x:v>
      </x:c>
      <x:c r="B424" t="str">
        <x:v>Fighting / Commons</x:v>
      </x:c>
      <x:c r="C424" t="str">
        <x:v>Chikorita δ</x:v>
      </x:c>
      <x:c r="D424" t="str">
        <x:v>44/101</x:v>
      </x:c>
      <x:c r="E424" t="str">
        <x:v>EX Dragon Frontiers</x:v>
      </x:c>
      <x:c r="F424" t="n">
        <x:v>2006</x:v>
      </x:c>
      <x:c r="G424" t="str">
        <x:v>Stamped Reverse Holo (Delta Species — Fighting type)</x:v>
      </x:c>
      <x:c r="H424" t="str">
        <x:v>1 of 2</x:v>
      </x:c>
      <x:c r="I424" t="n">
        <x:v>34</x:v>
      </x:c>
      <x:c r="J424" t="n">
        <x:v>44</x:v>
      </x:c>
      <x:c r="K424" t="n">
        <x:v>39</x:v>
      </x:c>
      <x:c r="L424" t="str">
        <x:v>$20+</x:v>
      </x:c>
      <x:c r="M424" t="str">
        <x:v>Yes</x:v>
      </x:c>
      <x:c r="N424" t="str">
        <x:v>Yes</x:v>
      </x:c>
      <x:c r="O424" t="str">
        <x:v>Yes</x:v>
      </x:c>
      <x:c r="P424" t="str">
        <x:v>Clean/NM benchmark unless noted</x:v>
      </x:c>
      <x:c r="Q424" t="n">
        <x:v>34</x:v>
      </x:c>
      <x:c r="R424" t="n">
        <x:v>44</x:v>
      </x:c>
      <x:c r="S424" t="n">
        <x:v>39</x:v>
      </x:c>
      <x:c r="T424" t="str">
        <x:v>EX Dragon Frontiers Chikorita δ 44/101 stamped reverse holo; Fighting-type Delta Species. TCGplayer NM reverse-holo market about $38.97.</x:v>
      </x:c>
      <x:c r="U424" t="n">
        <x:v>929</x:v>
      </x:c>
      <x:c r="V424" t="str">
        <x:v>Current chat correction / researched 2026-08-15</x:v>
      </x:c>
      <x:c r="W424" t="str">
        <x:v>https://www.tcgplayer.com/product/84281/pokemon-ex-dragon-frontiers-chikorita-delta-species</x:v>
      </x:c>
    </x:row>
    <x:row r="425">
      <x:c r="A425" t="n">
        <x:v>424</x:v>
      </x:c>
      <x:c r="B425" t="str">
        <x:v>Fighting / Commons</x:v>
      </x:c>
      <x:c r="C425" t="str">
        <x:v>Pupitar</x:v>
      </x:c>
      <x:c r="D425" t="str">
        <x:v>70/115</x:v>
      </x:c>
      <x:c r="E425" t="str">
        <x:v>EX Unseen Forces</x:v>
      </x:c>
      <x:c r="F425" t="n">
        <x:v>2005</x:v>
      </x:c>
      <x:c r="G425" t="str">
        <x:v>Stamped Reverse Holo</x:v>
      </x:c>
      <x:c r="H425" t="str">
        <x:v>1 of 1</x:v>
      </x:c>
      <x:c r="I425" t="n">
        <x:v>10</x:v>
      </x:c>
      <x:c r="J425" t="n">
        <x:v>15</x:v>
      </x:c>
      <x:c r="K425" t="n">
        <x:v>12.5</x:v>
      </x:c>
      <x:c r="L425" t="str">
        <x:v>$5–20</x:v>
      </x:c>
      <x:c r="M425" t="str">
        <x:v>Yes</x:v>
      </x:c>
      <x:c r="N425" t="str">
        <x:v>Yes</x:v>
      </x:c>
      <x:c r="O425" t="str">
        <x:v>Yes</x:v>
      </x:c>
      <x:c r="P425" t="str">
        <x:v>Clean/NM benchmark unless noted</x:v>
      </x:c>
      <x:c r="Q425" t="n">
        <x:v>10</x:v>
      </x:c>
      <x:c r="R425" t="n">
        <x:v>15</x:v>
      </x:c>
      <x:c r="S425" t="n">
        <x:v>12.5</x:v>
      </x:c>
      <x:c r="T425" t="str">
        <x:v>EX Unseen Forces Pupitar 70/115 stamped reverse holo. TCGplayer NM reverse-holo market about $12.54.</x:v>
      </x:c>
      <x:c r="U425" t="n">
        <x:v>929</x:v>
      </x:c>
      <x:c r="V425" t="str">
        <x:v>Current chat correction / researched 2026-08-15</x:v>
      </x:c>
      <x:c r="W425" t="str">
        <x:v>https://www.tcgplayer.com/categories/trading-and-collectible-card-games/pokemon/price-guides/ex-unseen-forces</x:v>
      </x:c>
    </x:row>
    <x:row r="426">
      <x:c r="A426" t="n">
        <x:v>425</x:v>
      </x:c>
      <x:c r="B426" t="str">
        <x:v>Fighting / Commons</x:v>
      </x:c>
      <x:c r="C426" t="str">
        <x:v>Brock's Geodude</x:v>
      </x:c>
      <x:c r="D426" t="str">
        <x:v>68/132</x:v>
      </x:c>
      <x:c r="E426" t="str">
        <x:v>Gym Challenge</x:v>
      </x:c>
      <x:c r="F426" t="n">
        <x:v>2000</x:v>
      </x:c>
      <x:c r="G426" t="str">
        <x:v>Regular (Unlimited assumed)</x:v>
      </x:c>
      <x:c r="H426" t="str">
        <x:v>1 of 3</x:v>
      </x:c>
      <x:c r="I426" t="n">
        <x:v>1.5</x:v>
      </x:c>
      <x:c r="J426" t="n">
        <x:v>3.25</x:v>
      </x:c>
      <x:c r="K426" t="n">
        <x:v>2.375</x:v>
      </x:c>
      <x:c r="L426" t="str">
        <x:v>$1–5</x:v>
      </x:c>
      <x:c r="M426" t="str">
        <x:v>Yes</x:v>
      </x:c>
      <x:c r="N426" t="str">
        <x:v>No</x:v>
      </x:c>
      <x:c r="O426" t="str">
        <x:v>Yes</x:v>
      </x:c>
      <x:c r="P426" t="str">
        <x:v>Clean/NM benchmark unless noted</x:v>
      </x:c>
      <x:c r="Q426" t="n">
        <x:v>1.5</x:v>
      </x:c>
      <x:c r="R426" t="n">
        <x:v>3.25</x:v>
      </x:c>
      <x:c r="S426" t="n">
        <x:v>2.375</x:v>
      </x:c>
      <x:c r="T426" t="str">
        <x:v>Gym Challenge Brock's Geodude 68/132, Unlimited assumed. TCGplayer NM price guide is about $1.56 while current marketplace market is around $3.1. Reprice if 1st Edition.</x:v>
      </x:c>
      <x:c r="U426" t="n">
        <x:v>930</x:v>
      </x:c>
      <x:c r="V426" t="str">
        <x:v>Current chat continuation / researched 2026-08-15</x:v>
      </x:c>
      <x:c r="W426" t="str">
        <x:v>https://www.tcgplayer.com/categories/trading-collectible-card-games/pokemon/price-guides/gym-challenge</x:v>
      </x:c>
    </x:row>
    <x:row r="427">
      <x:c r="A427" t="n">
        <x:v>426</x:v>
      </x:c>
      <x:c r="B427" t="str">
        <x:v>Fighting / Commons</x:v>
      </x:c>
      <x:c r="C427" t="str">
        <x:v>Brock's Geodude</x:v>
      </x:c>
      <x:c r="D427" t="str">
        <x:v>68/132</x:v>
      </x:c>
      <x:c r="E427" t="str">
        <x:v>Gym Challenge</x:v>
      </x:c>
      <x:c r="F427" t="n">
        <x:v>2000</x:v>
      </x:c>
      <x:c r="G427" t="str">
        <x:v>Regular (Unlimited assumed)</x:v>
      </x:c>
      <x:c r="H427" t="str">
        <x:v>2 of 3</x:v>
      </x:c>
      <x:c r="I427" t="n">
        <x:v>1.5</x:v>
      </x:c>
      <x:c r="J427" t="n">
        <x:v>3.25</x:v>
      </x:c>
      <x:c r="K427" t="n">
        <x:v>2.375</x:v>
      </x:c>
      <x:c r="L427" t="str">
        <x:v>$1–5</x:v>
      </x:c>
      <x:c r="M427" t="str">
        <x:v>Yes</x:v>
      </x:c>
      <x:c r="N427" t="str">
        <x:v>No</x:v>
      </x:c>
      <x:c r="O427" t="str">
        <x:v>Yes</x:v>
      </x:c>
      <x:c r="P427" t="str">
        <x:v>Clean/NM benchmark unless noted</x:v>
      </x:c>
      <x:c r="Q427" t="n">
        <x:v>1.5</x:v>
      </x:c>
      <x:c r="R427" t="n">
        <x:v>3.25</x:v>
      </x:c>
      <x:c r="S427" t="n">
        <x:v>2.375</x:v>
      </x:c>
      <x:c r="T427" t="str">
        <x:v>Gym Challenge Brock's Geodude 68/132, Unlimited assumed. TCGplayer NM price guide is about $1.56 while current marketplace market is around $3.1. Reprice if 1st Edition.</x:v>
      </x:c>
      <x:c r="U427" t="n">
        <x:v>930</x:v>
      </x:c>
      <x:c r="V427" t="str">
        <x:v>Current chat continuation / researched 2026-08-15</x:v>
      </x:c>
      <x:c r="W427" t="str">
        <x:v>https://www.tcgplayer.com/categories/trading-collectible-card-games/pokemon/price-guides/gym-challenge</x:v>
      </x:c>
    </x:row>
    <x:row r="428">
      <x:c r="A428" t="n">
        <x:v>427</x:v>
      </x:c>
      <x:c r="B428" t="str">
        <x:v>Fighting / Commons</x:v>
      </x:c>
      <x:c r="C428" t="str">
        <x:v>Brock's Geodude</x:v>
      </x:c>
      <x:c r="D428" t="str">
        <x:v>68/132</x:v>
      </x:c>
      <x:c r="E428" t="str">
        <x:v>Gym Challenge</x:v>
      </x:c>
      <x:c r="F428" t="n">
        <x:v>2000</x:v>
      </x:c>
      <x:c r="G428" t="str">
        <x:v>Regular (Unlimited assumed)</x:v>
      </x:c>
      <x:c r="H428" t="str">
        <x:v>3 of 3</x:v>
      </x:c>
      <x:c r="I428" t="n">
        <x:v>1.5</x:v>
      </x:c>
      <x:c r="J428" t="n">
        <x:v>3.25</x:v>
      </x:c>
      <x:c r="K428" t="n">
        <x:v>2.375</x:v>
      </x:c>
      <x:c r="L428" t="str">
        <x:v>$1–5</x:v>
      </x:c>
      <x:c r="M428" t="str">
        <x:v>Yes</x:v>
      </x:c>
      <x:c r="N428" t="str">
        <x:v>No</x:v>
      </x:c>
      <x:c r="O428" t="str">
        <x:v>Yes</x:v>
      </x:c>
      <x:c r="P428" t="str">
        <x:v>Clean/NM benchmark unless noted</x:v>
      </x:c>
      <x:c r="Q428" t="n">
        <x:v>1.5</x:v>
      </x:c>
      <x:c r="R428" t="n">
        <x:v>3.25</x:v>
      </x:c>
      <x:c r="S428" t="n">
        <x:v>2.375</x:v>
      </x:c>
      <x:c r="T428" t="str">
        <x:v>Gym Challenge Brock's Geodude 68/132, Unlimited assumed. TCGplayer NM price guide is about $1.56 while current marketplace market is around $3.1. Reprice if 1st Edition.</x:v>
      </x:c>
      <x:c r="U428" t="n">
        <x:v>930</x:v>
      </x:c>
      <x:c r="V428" t="str">
        <x:v>Current chat continuation / researched 2026-08-15</x:v>
      </x:c>
      <x:c r="W428" t="str">
        <x:v>https://www.tcgplayer.com/categories/trading-collectible-card-games/pokemon/price-guides/gym-challenge</x:v>
      </x:c>
    </x:row>
    <x:row r="429">
      <x:c r="A429" t="n">
        <x:v>428</x:v>
      </x:c>
      <x:c r="B429" t="str">
        <x:v>Fighting / Commons</x:v>
      </x:c>
      <x:c r="C429" t="str">
        <x:v>Brock's Geodude</x:v>
      </x:c>
      <x:c r="D429" t="str">
        <x:v>66/132</x:v>
      </x:c>
      <x:c r="E429" t="str">
        <x:v>Gym Heroes</x:v>
      </x:c>
      <x:c r="F429" t="n">
        <x:v>2000</x:v>
      </x:c>
      <x:c r="G429" t="str">
        <x:v>Regular (Unlimited assumed)</x:v>
      </x:c>
      <x:c r="H429" t="str">
        <x:v>1 of 3</x:v>
      </x:c>
      <x:c r="I429" t="n">
        <x:v>0.85</x:v>
      </x:c>
      <x:c r="J429" t="n">
        <x:v>3</x:v>
      </x:c>
      <x:c r="K429" t="n">
        <x:v>1.925</x:v>
      </x:c>
      <x:c r="L429" t="str">
        <x:v>$1–5</x:v>
      </x:c>
      <x:c r="M429" t="str">
        <x:v>Yes</x:v>
      </x:c>
      <x:c r="N429" t="str">
        <x:v>No</x:v>
      </x:c>
      <x:c r="O429" t="str">
        <x:v>Yes</x:v>
      </x:c>
      <x:c r="P429" t="str">
        <x:v>Clean/NM benchmark unless noted</x:v>
      </x:c>
      <x:c r="Q429" t="n">
        <x:v>0.85</x:v>
      </x:c>
      <x:c r="R429" t="n">
        <x:v>3</x:v>
      </x:c>
      <x:c r="S429" t="n">
        <x:v>1.925</x:v>
      </x:c>
      <x:c r="T429" t="str">
        <x:v>Gym Heroes Brock's Geodude 66/132, Unlimited assumed. TCGplayer NM guide is about $0.85 but current marketplace market is around $3.0; treated as about-$1+ for sorting. Reprice if 1st Edition.</x:v>
      </x:c>
      <x:c r="U429" t="n">
        <x:v>930</x:v>
      </x:c>
      <x:c r="V429" t="str">
        <x:v>Current chat continuation / researched 2026-08-15</x:v>
      </x:c>
      <x:c r="W429" t="str">
        <x:v>https://www.tcgplayer.com/categories/trading-and-collectible-card-games/pokemon/price-guides/gym-heroes</x:v>
      </x:c>
    </x:row>
    <x:row r="430">
      <x:c r="A430" t="n">
        <x:v>429</x:v>
      </x:c>
      <x:c r="B430" t="str">
        <x:v>Fighting / Commons</x:v>
      </x:c>
      <x:c r="C430" t="str">
        <x:v>Brock's Geodude</x:v>
      </x:c>
      <x:c r="D430" t="str">
        <x:v>66/132</x:v>
      </x:c>
      <x:c r="E430" t="str">
        <x:v>Gym Heroes</x:v>
      </x:c>
      <x:c r="F430" t="n">
        <x:v>2000</x:v>
      </x:c>
      <x:c r="G430" t="str">
        <x:v>Regular (Unlimited assumed)</x:v>
      </x:c>
      <x:c r="H430" t="str">
        <x:v>2 of 3</x:v>
      </x:c>
      <x:c r="I430" t="n">
        <x:v>0.85</x:v>
      </x:c>
      <x:c r="J430" t="n">
        <x:v>3</x:v>
      </x:c>
      <x:c r="K430" t="n">
        <x:v>1.925</x:v>
      </x:c>
      <x:c r="L430" t="str">
        <x:v>$1–5</x:v>
      </x:c>
      <x:c r="M430" t="str">
        <x:v>Yes</x:v>
      </x:c>
      <x:c r="N430" t="str">
        <x:v>No</x:v>
      </x:c>
      <x:c r="O430" t="str">
        <x:v>Yes</x:v>
      </x:c>
      <x:c r="P430" t="str">
        <x:v>Clean/NM benchmark unless noted</x:v>
      </x:c>
      <x:c r="Q430" t="n">
        <x:v>0.85</x:v>
      </x:c>
      <x:c r="R430" t="n">
        <x:v>3</x:v>
      </x:c>
      <x:c r="S430" t="n">
        <x:v>1.925</x:v>
      </x:c>
      <x:c r="T430" t="str">
        <x:v>Gym Heroes Brock's Geodude 66/132, Unlimited assumed. TCGplayer NM guide is about $0.85 but current marketplace market is around $3.0; treated as about-$1+ for sorting. Reprice if 1st Edition.</x:v>
      </x:c>
      <x:c r="U430" t="n">
        <x:v>930</x:v>
      </x:c>
      <x:c r="V430" t="str">
        <x:v>Current chat continuation / researched 2026-08-15</x:v>
      </x:c>
      <x:c r="W430" t="str">
        <x:v>https://www.tcgplayer.com/categories/trading-and-collectible-card-games/pokemon/price-guides/gym-heroes</x:v>
      </x:c>
    </x:row>
    <x:row r="431">
      <x:c r="A431" t="n">
        <x:v>430</x:v>
      </x:c>
      <x:c r="B431" t="str">
        <x:v>Fighting / Commons</x:v>
      </x:c>
      <x:c r="C431" t="str">
        <x:v>Brock's Geodude</x:v>
      </x:c>
      <x:c r="D431" t="str">
        <x:v>66/132</x:v>
      </x:c>
      <x:c r="E431" t="str">
        <x:v>Gym Heroes</x:v>
      </x:c>
      <x:c r="F431" t="n">
        <x:v>2000</x:v>
      </x:c>
      <x:c r="G431" t="str">
        <x:v>Regular (Unlimited assumed)</x:v>
      </x:c>
      <x:c r="H431" t="str">
        <x:v>3 of 3</x:v>
      </x:c>
      <x:c r="I431" t="n">
        <x:v>0.85</x:v>
      </x:c>
      <x:c r="J431" t="n">
        <x:v>3</x:v>
      </x:c>
      <x:c r="K431" t="n">
        <x:v>1.925</x:v>
      </x:c>
      <x:c r="L431" t="str">
        <x:v>$1–5</x:v>
      </x:c>
      <x:c r="M431" t="str">
        <x:v>Yes</x:v>
      </x:c>
      <x:c r="N431" t="str">
        <x:v>No</x:v>
      </x:c>
      <x:c r="O431" t="str">
        <x:v>Yes</x:v>
      </x:c>
      <x:c r="P431" t="str">
        <x:v>Clean/NM benchmark unless noted</x:v>
      </x:c>
      <x:c r="Q431" t="n">
        <x:v>0.85</x:v>
      </x:c>
      <x:c r="R431" t="n">
        <x:v>3</x:v>
      </x:c>
      <x:c r="S431" t="n">
        <x:v>1.925</x:v>
      </x:c>
      <x:c r="T431" t="str">
        <x:v>Gym Heroes Brock's Geodude 66/132, Unlimited assumed. TCGplayer NM guide is about $0.85 but current marketplace market is around $3.0; treated as about-$1+ for sorting. Reprice if 1st Edition.</x:v>
      </x:c>
      <x:c r="U431" t="n">
        <x:v>930</x:v>
      </x:c>
      <x:c r="V431" t="str">
        <x:v>Current chat continuation / researched 2026-08-15</x:v>
      </x:c>
      <x:c r="W431" t="str">
        <x:v>https://www.tcgplayer.com/categories/trading-and-collectible-card-games/pokemon/price-guides/gym-heroes</x:v>
      </x:c>
    </x:row>
    <x:row r="432">
      <x:c r="A432" t="n">
        <x:v>431</x:v>
      </x:c>
      <x:c r="B432" t="str">
        <x:v>Fighting / Commons</x:v>
      </x:c>
      <x:c r="C432" t="str">
        <x:v>Brock's Mankey</x:v>
      </x:c>
      <x:c r="D432" t="str">
        <x:v>68/132</x:v>
      </x:c>
      <x:c r="E432" t="str">
        <x:v>Gym Heroes</x:v>
      </x:c>
      <x:c r="F432" t="n">
        <x:v>2000</x:v>
      </x:c>
      <x:c r="G432" t="str">
        <x:v>Regular (Unlimited assumed)</x:v>
      </x:c>
      <x:c r="H432" t="str">
        <x:v>1 of 1</x:v>
      </x:c>
      <x:c r="I432" t="n">
        <x:v>2.5</x:v>
      </x:c>
      <x:c r="J432" t="n">
        <x:v>4.25</x:v>
      </x:c>
      <x:c r="K432" t="n">
        <x:v>3.375</x:v>
      </x:c>
      <x:c r="L432" t="str">
        <x:v>$1–5</x:v>
      </x:c>
      <x:c r="M432" t="str">
        <x:v>Yes</x:v>
      </x:c>
      <x:c r="N432" t="str">
        <x:v>No</x:v>
      </x:c>
      <x:c r="O432" t="str">
        <x:v>Yes</x:v>
      </x:c>
      <x:c r="P432" t="str">
        <x:v>Clean/NM benchmark unless noted</x:v>
      </x:c>
      <x:c r="Q432" t="n">
        <x:v>2.5</x:v>
      </x:c>
      <x:c r="R432" t="n">
        <x:v>4.25</x:v>
      </x:c>
      <x:c r="S432" t="n">
        <x:v>3.375</x:v>
      </x:c>
      <x:c r="T432" t="str">
        <x:v>Gym Heroes Brock's Mankey 68/132, Unlimited assumed. Current TCGplayer marketplace market is about $4.0. Reprice if 1st Edition.</x:v>
      </x:c>
      <x:c r="U432" t="n">
        <x:v>930</x:v>
      </x:c>
      <x:c r="V432" t="str">
        <x:v>Current chat continuation / researched 2026-08-15</x:v>
      </x:c>
      <x:c r="W432" t="str">
        <x:v>https://www.tcgplayer.com/search/pokemon/product?q=Brock%27s+Mankey+Gym+Heroes</x:v>
      </x:c>
    </x:row>
    <x:row r="433">
      <x:c r="A433" t="n">
        <x:v>432</x:v>
      </x:c>
      <x:c r="B433" t="str">
        <x:v>Fighting / Commons</x:v>
      </x:c>
      <x:c r="C433" t="str">
        <x:v>Brock's Sandshrew</x:v>
      </x:c>
      <x:c r="D433" t="str">
        <x:v>71/132</x:v>
      </x:c>
      <x:c r="E433" t="str">
        <x:v>Gym Heroes</x:v>
      </x:c>
      <x:c r="F433" t="n">
        <x:v>2000</x:v>
      </x:c>
      <x:c r="G433" t="str">
        <x:v>Regular (Unlimited assumed)</x:v>
      </x:c>
      <x:c r="H433" t="str">
        <x:v>1 of 2</x:v>
      </x:c>
      <x:c r="I433" t="n">
        <x:v>2.25</x:v>
      </x:c>
      <x:c r="J433" t="n">
        <x:v>4</x:v>
      </x:c>
      <x:c r="K433" t="n">
        <x:v>3.125</x:v>
      </x:c>
      <x:c r="L433" t="str">
        <x:v>$1–5</x:v>
      </x:c>
      <x:c r="M433" t="str">
        <x:v>Yes</x:v>
      </x:c>
      <x:c r="N433" t="str">
        <x:v>No</x:v>
      </x:c>
      <x:c r="O433" t="str">
        <x:v>Yes</x:v>
      </x:c>
      <x:c r="P433" t="str">
        <x:v>Clean/NM benchmark unless noted</x:v>
      </x:c>
      <x:c r="Q433" t="n">
        <x:v>2.25</x:v>
      </x:c>
      <x:c r="R433" t="n">
        <x:v>4</x:v>
      </x:c>
      <x:c r="S433" t="n">
        <x:v>3.125</x:v>
      </x:c>
      <x:c r="T433" t="str">
        <x:v>Gym Heroes Brock's Sandshrew 71/132, Unlimited assumed. Current TCGplayer marketplace market is about $3.7. Reprice if 1st Edition.</x:v>
      </x:c>
      <x:c r="U433" t="n">
        <x:v>930</x:v>
      </x:c>
      <x:c r="V433" t="str">
        <x:v>Current chat continuation / researched 2026-08-15</x:v>
      </x:c>
      <x:c r="W433" t="str">
        <x:v>https://www.tcgplayer.com/search/pokemon/product?q=Brock%27s+Sandshrew+Gym+Heroes</x:v>
      </x:c>
    </x:row>
    <x:row r="434">
      <x:c r="A434" t="n">
        <x:v>433</x:v>
      </x:c>
      <x:c r="B434" t="str">
        <x:v>Fighting / Commons</x:v>
      </x:c>
      <x:c r="C434" t="str">
        <x:v>Brock's Sandshrew</x:v>
      </x:c>
      <x:c r="D434" t="str">
        <x:v>71/132</x:v>
      </x:c>
      <x:c r="E434" t="str">
        <x:v>Gym Heroes</x:v>
      </x:c>
      <x:c r="F434" t="n">
        <x:v>2000</x:v>
      </x:c>
      <x:c r="G434" t="str">
        <x:v>Regular (Unlimited assumed)</x:v>
      </x:c>
      <x:c r="H434" t="str">
        <x:v>2 of 2</x:v>
      </x:c>
      <x:c r="I434" t="n">
        <x:v>2.25</x:v>
      </x:c>
      <x:c r="J434" t="n">
        <x:v>4</x:v>
      </x:c>
      <x:c r="K434" t="n">
        <x:v>3.125</x:v>
      </x:c>
      <x:c r="L434" t="str">
        <x:v>$1–5</x:v>
      </x:c>
      <x:c r="M434" t="str">
        <x:v>Yes</x:v>
      </x:c>
      <x:c r="N434" t="str">
        <x:v>No</x:v>
      </x:c>
      <x:c r="O434" t="str">
        <x:v>Yes</x:v>
      </x:c>
      <x:c r="P434" t="str">
        <x:v>Clean/NM benchmark unless noted</x:v>
      </x:c>
      <x:c r="Q434" t="n">
        <x:v>2.25</x:v>
      </x:c>
      <x:c r="R434" t="n">
        <x:v>4</x:v>
      </x:c>
      <x:c r="S434" t="n">
        <x:v>3.125</x:v>
      </x:c>
      <x:c r="T434" t="str">
        <x:v>Gym Heroes Brock's Sandshrew 71/132, Unlimited assumed. Current TCGplayer marketplace market is about $3.7. Reprice if 1st Edition.</x:v>
      </x:c>
      <x:c r="U434" t="n">
        <x:v>930</x:v>
      </x:c>
      <x:c r="V434" t="str">
        <x:v>Current chat continuation / researched 2026-08-15</x:v>
      </x:c>
      <x:c r="W434" t="str">
        <x:v>https://www.tcgplayer.com/search/pokemon/product?q=Brock%27s+Sandshrew+Gym+Heroes</x:v>
      </x:c>
    </x:row>
    <x:row r="435">
      <x:c r="A435" t="n">
        <x:v>434</x:v>
      </x:c>
      <x:c r="B435" t="str">
        <x:v>Fighting / Commons</x:v>
      </x:c>
      <x:c r="C435" t="str">
        <x:v>Brock's Mankey</x:v>
      </x:c>
      <x:c r="D435" t="str">
        <x:v>67/132</x:v>
      </x:c>
      <x:c r="E435" t="str">
        <x:v>Gym Heroes</x:v>
      </x:c>
      <x:c r="F435" t="n">
        <x:v>2000</x:v>
      </x:c>
      <x:c r="G435" t="str">
        <x:v>Regular (Unlimited assumed)</x:v>
      </x:c>
      <x:c r="H435" t="str">
        <x:v>1 of 1</x:v>
      </x:c>
      <x:c r="I435" t="n">
        <x:v>1.75</x:v>
      </x:c>
      <x:c r="J435" t="n">
        <x:v>3.25</x:v>
      </x:c>
      <x:c r="K435" t="n">
        <x:v>2.5</x:v>
      </x:c>
      <x:c r="L435" t="str">
        <x:v>$1–5</x:v>
      </x:c>
      <x:c r="M435" t="str">
        <x:v>Yes</x:v>
      </x:c>
      <x:c r="N435" t="str">
        <x:v>No</x:v>
      </x:c>
      <x:c r="O435" t="str">
        <x:v>Yes</x:v>
      </x:c>
      <x:c r="P435" t="str">
        <x:v>Clean/NM benchmark unless noted</x:v>
      </x:c>
      <x:c r="Q435" t="n">
        <x:v>1.75</x:v>
      </x:c>
      <x:c r="R435" t="n">
        <x:v>3.25</x:v>
      </x:c>
      <x:c r="S435" t="n">
        <x:v>2.5</x:v>
      </x:c>
      <x:c r="T435" t="str">
        <x:v>Gym Heroes Brock's Mankey 67/132, Unlimited assumed. Current TCGplayer market is about $2.5–2.7. Reprice if 1st Edition.</x:v>
      </x:c>
      <x:c r="U435" t="n">
        <x:v>931</x:v>
      </x:c>
      <x:c r="V435" t="str">
        <x:v>Current chat continuation / researched 2026-08-15</x:v>
      </x:c>
      <x:c r="W435" t="str">
        <x:v>https://www.tcgplayer.com/search/pokemon/product?productLineName=pokemon&amp;q=mankey+gym+heroes+67</x:v>
      </x:c>
    </x:row>
    <x:row r="436">
      <x:c r="A436" t="n">
        <x:v>435</x:v>
      </x:c>
      <x:c r="B436" t="str">
        <x:v>Fighting / Commons</x:v>
      </x:c>
      <x:c r="C436" t="str">
        <x:v>Barboach</x:v>
      </x:c>
      <x:c r="D436" t="str">
        <x:v>60/110</x:v>
      </x:c>
      <x:c r="E436" t="str">
        <x:v>EX Holon Phantoms</x:v>
      </x:c>
      <x:c r="F436" t="n">
        <x:v>2006</x:v>
      </x:c>
      <x:c r="G436" t="str">
        <x:v>Stamped Reverse Holo</x:v>
      </x:c>
      <x:c r="H436" t="str">
        <x:v>1 of 1</x:v>
      </x:c>
      <x:c r="I436" t="n">
        <x:v>7</x:v>
      </x:c>
      <x:c r="J436" t="n">
        <x:v>9.5</x:v>
      </x:c>
      <x:c r="K436" t="n">
        <x:v>8.25</x:v>
      </x:c>
      <x:c r="L436" t="str">
        <x:v>$5–20</x:v>
      </x:c>
      <x:c r="M436" t="str">
        <x:v>Yes</x:v>
      </x:c>
      <x:c r="N436" t="str">
        <x:v>No</x:v>
      </x:c>
      <x:c r="O436" t="str">
        <x:v>Yes</x:v>
      </x:c>
      <x:c r="P436" t="str">
        <x:v>Clean/NM benchmark unless noted</x:v>
      </x:c>
      <x:c r="Q436" t="n">
        <x:v>7</x:v>
      </x:c>
      <x:c r="R436" t="n">
        <x:v>9.5</x:v>
      </x:c>
      <x:c r="S436" t="n">
        <x:v>8.25</x:v>
      </x:c>
      <x:c r="T436" t="str">
        <x:v>EX Holon Phantoms Barboach 60/110 stamped reverse holo. TCGplayer NM reverse-holo market about $8.19.</x:v>
      </x:c>
      <x:c r="U436" t="n">
        <x:v>932</x:v>
      </x:c>
      <x:c r="V436" t="str">
        <x:v>Current chat continuation / researched 2026-08-15</x:v>
      </x:c>
      <x:c r="W436" t="str">
        <x:v>https://www.tcgplayer.com/categories/trading-collectible-card-games/pokemon/price-guides/holon-phantoms</x:v>
      </x:c>
    </x:row>
    <x:row r="437">
      <x:c r="A437" t="n">
        <x:v>436</x:v>
      </x:c>
      <x:c r="B437" t="str">
        <x:v>Fighting / Commons</x:v>
      </x:c>
      <x:c r="C437" t="str">
        <x:v>Sandile</x:v>
      </x:c>
      <x:c r="D437" t="str">
        <x:v>63/114</x:v>
      </x:c>
      <x:c r="E437" t="str">
        <x:v>Black &amp; White</x:v>
      </x:c>
      <x:c r="F437" t="n">
        <x:v>2011</x:v>
      </x:c>
      <x:c r="G437" t="str">
        <x:v>Reverse Holo</x:v>
      </x:c>
      <x:c r="H437" t="str">
        <x:v>1 of 1</x:v>
      </x:c>
      <x:c r="I437" t="n">
        <x:v>4</x:v>
      </x:c>
      <x:c r="J437" t="n">
        <x:v>5.5</x:v>
      </x:c>
      <x:c r="K437" t="n">
        <x:v>4.75</x:v>
      </x:c>
      <x:c r="L437" t="str">
        <x:v>$1–5</x:v>
      </x:c>
      <x:c r="M437" t="str">
        <x:v>Yes</x:v>
      </x:c>
      <x:c r="N437" t="str">
        <x:v>No</x:v>
      </x:c>
      <x:c r="O437" t="str">
        <x:v>Yes</x:v>
      </x:c>
      <x:c r="P437" t="str">
        <x:v>Clean/NM benchmark unless noted</x:v>
      </x:c>
      <x:c r="Q437" t="n">
        <x:v>4</x:v>
      </x:c>
      <x:c r="R437" t="n">
        <x:v>5.5</x:v>
      </x:c>
      <x:c r="S437" t="n">
        <x:v>4.75</x:v>
      </x:c>
      <x:c r="T437" t="str">
        <x:v>Black &amp; White Sandile 63/114 reverse holo. TCGplayer NM reverse-holo market about $4.77. Cracked Ice Holo is a separate promo printing.</x:v>
      </x:c>
      <x:c r="U437" t="n">
        <x:v>933</x:v>
      </x:c>
      <x:c r="V437" t="str">
        <x:v>Current chat continuation / researched 2026-08-15</x:v>
      </x:c>
      <x:c r="W437" t="str">
        <x:v>https://www.tcgplayer.com/categories/trading-and-collectible-card-games/pokemon/price-guides/black-and-white</x:v>
      </x:c>
    </x:row>
    <x:row r="438">
      <x:c r="A438" t="n">
        <x:v>437</x:v>
      </x:c>
      <x:c r="B438" t="str">
        <x:v>Fighting / Commons</x:v>
      </x:c>
      <x:c r="C438" t="str">
        <x:v>Roggenrola</x:v>
      </x:c>
      <x:c r="D438" t="str">
        <x:v>49/98</x:v>
      </x:c>
      <x:c r="E438" t="str">
        <x:v>Emerging Powers</x:v>
      </x:c>
      <x:c r="F438" t="n">
        <x:v>2011</x:v>
      </x:c>
      <x:c r="G438" t="str">
        <x:v>Reverse Holo</x:v>
      </x:c>
      <x:c r="H438" t="str">
        <x:v>1 of 1</x:v>
      </x:c>
      <x:c r="I438" t="n">
        <x:v>0.6</x:v>
      </x:c>
      <x:c r="J438" t="n">
        <x:v>1.1</x:v>
      </x:c>
      <x:c r="K438" t="n">
        <x:v>0.8500000000000001</x:v>
      </x:c>
      <x:c r="L438" t="str">
        <x:v>&lt;$1</x:v>
      </x:c>
      <x:c r="M438" t="str">
        <x:v>Yes</x:v>
      </x:c>
      <x:c r="N438" t="str">
        <x:v>No</x:v>
      </x:c>
      <x:c r="O438" t="str">
        <x:v>No</x:v>
      </x:c>
      <x:c r="P438" t="str">
        <x:v>Clean/NM benchmark unless noted</x:v>
      </x:c>
      <x:c r="Q438" t="n">
        <x:v>0.6</x:v>
      </x:c>
      <x:c r="R438" t="n">
        <x:v>1.1</x:v>
      </x:c>
      <x:c r="S438" t="n">
        <x:v>0.8500000000000001</x:v>
      </x:c>
      <x:c r="T438" t="str">
        <x:v>Emerging Powers Roggenrola 49/98 reverse holo. Recent NM sales are roughly $0.60–1.00; PriceCharting ungraded about $1.11, but TCGplayer market is lower, so kept off the $1+ separator.</x:v>
      </x:c>
      <x:c r="U438" t="n">
        <x:v>933</x:v>
      </x:c>
      <x:c r="V438" t="str">
        <x:v>Current chat continuation / researched 2026-08-15</x:v>
      </x:c>
      <x:c r="W438" t="str">
        <x:v>https://www.pricecharting.com/game/pokemon-emerging-powers/roggenrola-reverse-holo-49</x:v>
      </x:c>
    </x:row>
    <x:row r="439">
      <x:c r="A439" t="n">
        <x:v>438</x:v>
      </x:c>
      <x:c r="B439" t="str">
        <x:v>Fighting / Commons</x:v>
      </x:c>
      <x:c r="C439" t="str">
        <x:v>Roggenrola</x:v>
      </x:c>
      <x:c r="D439" t="str">
        <x:v>65/124</x:v>
      </x:c>
      <x:c r="E439" t="str">
        <x:v>Dragons Exalted</x:v>
      </x:c>
      <x:c r="F439" t="n">
        <x:v>2012</x:v>
      </x:c>
      <x:c r="G439" t="str">
        <x:v>Reverse Holo</x:v>
      </x:c>
      <x:c r="H439" t="str">
        <x:v>1 of 1</x:v>
      </x:c>
      <x:c r="I439" t="n">
        <x:v>0.4</x:v>
      </x:c>
      <x:c r="J439" t="n">
        <x:v>0.8</x:v>
      </x:c>
      <x:c r="K439" t="n">
        <x:v>0.6000000000000001</x:v>
      </x:c>
      <x:c r="L439" t="str">
        <x:v>&lt;$1</x:v>
      </x:c>
      <x:c r="M439" t="str">
        <x:v>Yes</x:v>
      </x:c>
      <x:c r="N439" t="str">
        <x:v>No</x:v>
      </x:c>
      <x:c r="O439" t="str">
        <x:v>No</x:v>
      </x:c>
      <x:c r="P439" t="str">
        <x:v>Clean/NM benchmark unless noted</x:v>
      </x:c>
      <x:c r="Q439" t="n">
        <x:v>0.4</x:v>
      </x:c>
      <x:c r="R439" t="n">
        <x:v>0.8</x:v>
      </x:c>
      <x:c r="S439" t="n">
        <x:v>0.6000000000000001</x:v>
      </x:c>
      <x:c r="T439" t="str">
        <x:v>Dragons Exalted Roggenrola 65/124 reverse holo. Recent NM TCGplayer sales are roughly $0.40–0.70; PriceCharting ungraded about $0.59.</x:v>
      </x:c>
      <x:c r="U439" t="n">
        <x:v>933</x:v>
      </x:c>
      <x:c r="V439" t="str">
        <x:v>Current chat continuation / researched 2026-08-15</x:v>
      </x:c>
      <x:c r="W439" t="str">
        <x:v>https://www.pricecharting.com/game/pokemon-dragons-exalted/roggenrola-reverse-holo-65</x:v>
      </x:c>
    </x:row>
    <x:row r="440">
      <x:c r="A440" t="n">
        <x:v>439</x:v>
      </x:c>
      <x:c r="B440" t="str">
        <x:v>Fighting / Commons</x:v>
      </x:c>
      <x:c r="C440" t="str">
        <x:v>Cubone</x:v>
      </x:c>
      <x:c r="D440" t="str">
        <x:v>60/124</x:v>
      </x:c>
      <x:c r="E440" t="str">
        <x:v>Dragons Exalted</x:v>
      </x:c>
      <x:c r="F440" t="n">
        <x:v>2012</x:v>
      </x:c>
      <x:c r="G440" t="str">
        <x:v>Reverse Holo</x:v>
      </x:c>
      <x:c r="H440" t="str">
        <x:v>1 of 1</x:v>
      </x:c>
      <x:c r="I440" t="n">
        <x:v>9</x:v>
      </x:c>
      <x:c r="J440" t="n">
        <x:v>12</x:v>
      </x:c>
      <x:c r="K440" t="n">
        <x:v>10.5</x:v>
      </x:c>
      <x:c r="L440" t="str">
        <x:v>$5–20</x:v>
      </x:c>
      <x:c r="M440" t="str">
        <x:v>Yes</x:v>
      </x:c>
      <x:c r="N440" t="str">
        <x:v>Yes</x:v>
      </x:c>
      <x:c r="O440" t="str">
        <x:v>Yes</x:v>
      </x:c>
      <x:c r="P440" t="str">
        <x:v>Clean/NM benchmark unless noted</x:v>
      </x:c>
      <x:c r="Q440" t="n">
        <x:v>9</x:v>
      </x:c>
      <x:c r="R440" t="n">
        <x:v>12</x:v>
      </x:c>
      <x:c r="S440" t="n">
        <x:v>10.5</x:v>
      </x:c>
      <x:c r="T440" t="str">
        <x:v>Dragons Exalted Cubone 60/124 reverse holo. TCGplayer NM reverse-holo market about $10.53.</x:v>
      </x:c>
      <x:c r="U440" t="n">
        <x:v>934</x:v>
      </x:c>
      <x:c r="V440" t="str">
        <x:v>Current chat continuation / researched 2026-08-15</x:v>
      </x:c>
      <x:c r="W440" t="str">
        <x:v>https://www.tcgplayer.com/categories/trading-collectible-card-games/pokemon/price-guides/dragons-exalted</x:v>
      </x:c>
    </x:row>
    <x:row r="441">
      <x:c r="A441" t="n">
        <x:v>440</x:v>
      </x:c>
      <x:c r="B441" t="str">
        <x:v>Fighting / Commons</x:v>
      </x:c>
      <x:c r="C441" t="str">
        <x:v>Cubone</x:v>
      </x:c>
      <x:c r="D441" t="str">
        <x:v>60/102</x:v>
      </x:c>
      <x:c r="E441" t="str">
        <x:v>Triumphant</x:v>
      </x:c>
      <x:c r="F441" t="n">
        <x:v>2010</x:v>
      </x:c>
      <x:c r="G441" t="str">
        <x:v>Reverse Holo</x:v>
      </x:c>
      <x:c r="H441" t="str">
        <x:v>1 of 2</x:v>
      </x:c>
      <x:c r="I441" t="n">
        <x:v>30</x:v>
      </x:c>
      <x:c r="J441" t="n">
        <x:v>50</x:v>
      </x:c>
      <x:c r="K441" t="n">
        <x:v>40</x:v>
      </x:c>
      <x:c r="L441" t="str">
        <x:v>$20+</x:v>
      </x:c>
      <x:c r="M441" t="str">
        <x:v>Yes</x:v>
      </x:c>
      <x:c r="N441" t="str">
        <x:v>Yes</x:v>
      </x:c>
      <x:c r="O441" t="str">
        <x:v>Yes</x:v>
      </x:c>
      <x:c r="P441" t="str">
        <x:v>Clean/NM benchmark unless noted</x:v>
      </x:c>
      <x:c r="Q441" t="n">
        <x:v>30</x:v>
      </x:c>
      <x:c r="R441" t="n">
        <x:v>50</x:v>
      </x:c>
      <x:c r="S441" t="n">
        <x:v>40</x:v>
      </x:c>
      <x:c r="T441" t="str">
        <x:v>Triumphant Cubone 60/102 reverse holo. Current reverse-holo market trackers are around $39–41, with recent NM sales roughly $29–59; working clean/NM range $30–50.</x:v>
      </x:c>
      <x:c r="U441" t="n">
        <x:v>934</x:v>
      </x:c>
      <x:c r="V441" t="str">
        <x:v>Current chat continuation / researched 2026-08-15</x:v>
      </x:c>
      <x:c r="W441" t="str">
        <x:v>https://www.pricecharting.com/game/pokemon-triumphant/cubone-reverse-holo-60</x:v>
      </x:c>
    </x:row>
    <x:row r="442">
      <x:c r="A442" t="n">
        <x:v>441</x:v>
      </x:c>
      <x:c r="B442" t="str">
        <x:v>Fighting / Commons</x:v>
      </x:c>
      <x:c r="C442" t="str">
        <x:v>Trapinch</x:v>
      </x:c>
      <x:c r="D442" t="str">
        <x:v>83/149</x:v>
      </x:c>
      <x:c r="E442" t="str">
        <x:v>Boundaries Crossed</x:v>
      </x:c>
      <x:c r="F442" t="n">
        <x:v>2012</x:v>
      </x:c>
      <x:c r="G442" t="str">
        <x:v>Reverse Holo</x:v>
      </x:c>
      <x:c r="H442" t="str">
        <x:v>1 of 1</x:v>
      </x:c>
      <x:c r="I442" t="n">
        <x:v>6.5</x:v>
      </x:c>
      <x:c r="J442" t="n">
        <x:v>9</x:v>
      </x:c>
      <x:c r="K442" t="n">
        <x:v>7.75</x:v>
      </x:c>
      <x:c r="L442" t="str">
        <x:v>$5–20</x:v>
      </x:c>
      <x:c r="M442" t="str">
        <x:v>Yes</x:v>
      </x:c>
      <x:c r="N442" t="str">
        <x:v>No</x:v>
      </x:c>
      <x:c r="O442" t="str">
        <x:v>Yes</x:v>
      </x:c>
      <x:c r="P442" t="str">
        <x:v>Clean/NM benchmark unless noted</x:v>
      </x:c>
      <x:c r="Q442" t="n">
        <x:v>6.5</x:v>
      </x:c>
      <x:c r="R442" t="n">
        <x:v>9</x:v>
      </x:c>
      <x:c r="S442" t="n">
        <x:v>7.75</x:v>
      </x:c>
      <x:c r="T442" t="str">
        <x:v>Boundaries Crossed Trapinch 83/149 reverse holo. TCGplayer NM reverse-holo price guide about $7.91.</x:v>
      </x:c>
      <x:c r="U442" t="n">
        <x:v>935</x:v>
      </x:c>
      <x:c r="V442" t="str">
        <x:v>Current chat continuation / researched 2026-08-15</x:v>
      </x:c>
      <x:c r="W442" t="str">
        <x:v>https://www.tcgplayer.com/categories/trading-and-collectible-card-games/pokemon/price-guides/boundaries-crossed</x:v>
      </x:c>
    </x:row>
    <x:row r="443">
      <x:c r="A443" t="n">
        <x:v>442</x:v>
      </x:c>
      <x:c r="B443" t="str">
        <x:v>Fighting / Commons</x:v>
      </x:c>
      <x:c r="C443" t="str">
        <x:v>Makuhita</x:v>
      </x:c>
      <x:c r="D443" t="str">
        <x:v>82/149</x:v>
      </x:c>
      <x:c r="E443" t="str">
        <x:v>Boundaries Crossed</x:v>
      </x:c>
      <x:c r="F443" t="n">
        <x:v>2012</x:v>
      </x:c>
      <x:c r="G443" t="str">
        <x:v>Reverse Holo</x:v>
      </x:c>
      <x:c r="H443" t="str">
        <x:v>1 of 2</x:v>
      </x:c>
      <x:c r="I443" t="n">
        <x:v>0.8</x:v>
      </x:c>
      <x:c r="J443" t="n">
        <x:v>1.3</x:v>
      </x:c>
      <x:c r="K443" t="n">
        <x:v>1.05</x:v>
      </x:c>
      <x:c r="L443" t="str">
        <x:v>$1–5</x:v>
      </x:c>
      <x:c r="M443" t="str">
        <x:v>Yes</x:v>
      </x:c>
      <x:c r="N443" t="str">
        <x:v>No</x:v>
      </x:c>
      <x:c r="O443" t="str">
        <x:v>Yes</x:v>
      </x:c>
      <x:c r="P443" t="str">
        <x:v>Clean/NM benchmark unless noted</x:v>
      </x:c>
      <x:c r="Q443" t="n">
        <x:v>0.8</x:v>
      </x:c>
      <x:c r="R443" t="n">
        <x:v>1.3</x:v>
      </x:c>
      <x:c r="S443" t="n">
        <x:v>1.05</x:v>
      </x:c>
      <x:c r="T443" t="str">
        <x:v>Boundaries Crossed Makuhita 82/149 reverse holo. TCGplayer NM reverse-holo price guide about $1.02.</x:v>
      </x:c>
      <x:c r="U443" t="n">
        <x:v>935</x:v>
      </x:c>
      <x:c r="V443" t="str">
        <x:v>Current chat continuation / researched 2026-08-15</x:v>
      </x:c>
      <x:c r="W443" t="str">
        <x:v>https://www.tcgplayer.com/categories/trading-and-collectible-card-games/pokemon/price-guides/boundaries-crossed</x:v>
      </x:c>
    </x:row>
    <x:row r="444">
      <x:c r="A444" t="n">
        <x:v>443</x:v>
      </x:c>
      <x:c r="B444" t="str">
        <x:v>Fighting / Commons</x:v>
      </x:c>
      <x:c r="C444" t="str">
        <x:v>Makuhita</x:v>
      </x:c>
      <x:c r="D444" t="str">
        <x:v>82/149</x:v>
      </x:c>
      <x:c r="E444" t="str">
        <x:v>Boundaries Crossed</x:v>
      </x:c>
      <x:c r="F444" t="n">
        <x:v>2012</x:v>
      </x:c>
      <x:c r="G444" t="str">
        <x:v>Reverse Holo</x:v>
      </x:c>
      <x:c r="H444" t="str">
        <x:v>2 of 2</x:v>
      </x:c>
      <x:c r="I444" t="n">
        <x:v>0.8</x:v>
      </x:c>
      <x:c r="J444" t="n">
        <x:v>1.3</x:v>
      </x:c>
      <x:c r="K444" t="n">
        <x:v>1.05</x:v>
      </x:c>
      <x:c r="L444" t="str">
        <x:v>$1–5</x:v>
      </x:c>
      <x:c r="M444" t="str">
        <x:v>Yes</x:v>
      </x:c>
      <x:c r="N444" t="str">
        <x:v>No</x:v>
      </x:c>
      <x:c r="O444" t="str">
        <x:v>Yes</x:v>
      </x:c>
      <x:c r="P444" t="str">
        <x:v>Clean/NM benchmark unless noted</x:v>
      </x:c>
      <x:c r="Q444" t="n">
        <x:v>0.8</x:v>
      </x:c>
      <x:c r="R444" t="n">
        <x:v>1.3</x:v>
      </x:c>
      <x:c r="S444" t="n">
        <x:v>1.05</x:v>
      </x:c>
      <x:c r="T444" t="str">
        <x:v>Boundaries Crossed Makuhita 82/149 reverse holo. TCGplayer NM reverse-holo price guide about $1.02.</x:v>
      </x:c>
      <x:c r="U444" t="n">
        <x:v>935</x:v>
      </x:c>
      <x:c r="V444" t="str">
        <x:v>Current chat continuation / researched 2026-08-15</x:v>
      </x:c>
      <x:c r="W444" t="str">
        <x:v>https://www.tcgplayer.com/categories/trading-and-collectible-card-games/pokemon/price-guides/boundaries-crossed</x:v>
      </x:c>
    </x:row>
    <x:row r="445">
      <x:c r="A445" t="n">
        <x:v>444</x:v>
      </x:c>
      <x:c r="B445" t="str">
        <x:v>Fighting / Commons</x:v>
      </x:c>
      <x:c r="C445" t="str">
        <x:v>Mienfoo</x:v>
      </x:c>
      <x:c r="D445" t="str">
        <x:v>69/101</x:v>
      </x:c>
      <x:c r="E445" t="str">
        <x:v>Noble Victories</x:v>
      </x:c>
      <x:c r="F445" t="n">
        <x:v>2011</x:v>
      </x:c>
      <x:c r="G445" t="str">
        <x:v>Reverse Holo</x:v>
      </x:c>
      <x:c r="H445" t="str">
        <x:v>1 of 1</x:v>
      </x:c>
      <x:c r="I445" t="n">
        <x:v>0.75</x:v>
      </x:c>
      <x:c r="J445" t="n">
        <x:v>1.2</x:v>
      </x:c>
      <x:c r="K445" t="n">
        <x:v>0.975</x:v>
      </x:c>
      <x:c r="L445" t="str">
        <x:v>&lt;$1</x:v>
      </x:c>
      <x:c r="M445" t="str">
        <x:v>Yes</x:v>
      </x:c>
      <x:c r="N445" t="str">
        <x:v>No</x:v>
      </x:c>
      <x:c r="O445" t="str">
        <x:v>No</x:v>
      </x:c>
      <x:c r="P445" t="str">
        <x:v>Clean/NM benchmark unless noted</x:v>
      </x:c>
      <x:c r="Q445" t="n">
        <x:v>0.75</x:v>
      </x:c>
      <x:c r="R445" t="n">
        <x:v>1.2</x:v>
      </x:c>
      <x:c r="S445" t="n">
        <x:v>0.975</x:v>
      </x:c>
      <x:c r="T445" t="str">
        <x:v>Noble Victories Mienfoo 69/101 reverse holo. Current raw/NM tracking is roughly $0.95–1.00, so kept just below the $1+ separator.</x:v>
      </x:c>
      <x:c r="U445" t="n">
        <x:v>935</x:v>
      </x:c>
      <x:c r="V445" t="str">
        <x:v>Current chat continuation / researched 2026-08-15</x:v>
      </x:c>
      <x:c r="W445" t="str">
        <x:v>https://www.pricecharting.com/game/pokemon-noble-victories/mienfoo-reverse-holo-69</x:v>
      </x:c>
    </x:row>
    <x:row r="446">
      <x:c r="A446" t="n">
        <x:v>445</x:v>
      </x:c>
      <x:c r="B446" t="str">
        <x:v>Fighting / Commons</x:v>
      </x:c>
      <x:c r="C446" t="str">
        <x:v>Mienfoo</x:v>
      </x:c>
      <x:c r="D446" t="str">
        <x:v>86/149</x:v>
      </x:c>
      <x:c r="E446" t="str">
        <x:v>Boundaries Crossed</x:v>
      </x:c>
      <x:c r="F446" t="n">
        <x:v>2012</x:v>
      </x:c>
      <x:c r="G446" t="str">
        <x:v>Reverse Holo</x:v>
      </x:c>
      <x:c r="H446" t="str">
        <x:v>1 of 1</x:v>
      </x:c>
      <x:c r="I446" t="n">
        <x:v>0.65</x:v>
      </x:c>
      <x:c r="J446" t="n">
        <x:v>1.05</x:v>
      </x:c>
      <x:c r="K446" t="n">
        <x:v>0.8500000000000001</x:v>
      </x:c>
      <x:c r="L446" t="str">
        <x:v>&lt;$1</x:v>
      </x:c>
      <x:c r="M446" t="str">
        <x:v>Yes</x:v>
      </x:c>
      <x:c r="N446" t="str">
        <x:v>No</x:v>
      </x:c>
      <x:c r="O446" t="str">
        <x:v>No</x:v>
      </x:c>
      <x:c r="P446" t="str">
        <x:v>Clean/NM benchmark unless noted</x:v>
      </x:c>
      <x:c r="Q446" t="n">
        <x:v>0.65</x:v>
      </x:c>
      <x:c r="R446" t="n">
        <x:v>1.05</x:v>
      </x:c>
      <x:c r="S446" t="n">
        <x:v>0.8500000000000001</x:v>
      </x:c>
      <x:c r="T446" t="str">
        <x:v>Boundaries Crossed Mienfoo 86/149 reverse holo. TCGplayer NM reverse-holo price guide about $0.84.</x:v>
      </x:c>
      <x:c r="U446" t="n">
        <x:v>935</x:v>
      </x:c>
      <x:c r="V446" t="str">
        <x:v>Current chat continuation / researched 2026-08-15</x:v>
      </x:c>
      <x:c r="W446" t="str">
        <x:v>https://www.tcgplayer.com/categories/trading-and-collectible-card-games/pokemon/price-guides/boundaries-crossed</x:v>
      </x:c>
    </x:row>
    <x:row r="447">
      <x:c r="A447" t="n">
        <x:v>446</x:v>
      </x:c>
      <x:c r="B447" t="str">
        <x:v>Fighting / Commons</x:v>
      </x:c>
      <x:c r="C447" t="str">
        <x:v>Larvitar</x:v>
      </x:c>
      <x:c r="D447" t="str">
        <x:v>63/100</x:v>
      </x:c>
      <x:c r="E447" t="str">
        <x:v>Stormfront</x:v>
      </x:c>
      <x:c r="F447" t="n">
        <x:v>2008</x:v>
      </x:c>
      <x:c r="G447" t="str">
        <x:v>Reverse Holo (LV.19)</x:v>
      </x:c>
      <x:c r="H447" t="str">
        <x:v>1 of 1</x:v>
      </x:c>
      <x:c r="I447" t="n">
        <x:v>12</x:v>
      </x:c>
      <x:c r="J447" t="n">
        <x:v>20</x:v>
      </x:c>
      <x:c r="K447" t="n">
        <x:v>16</x:v>
      </x:c>
      <x:c r="L447" t="str">
        <x:v>$5–20</x:v>
      </x:c>
      <x:c r="M447" t="str">
        <x:v>Yes</x:v>
      </x:c>
      <x:c r="N447" t="str">
        <x:v>Yes</x:v>
      </x:c>
      <x:c r="O447" t="str">
        <x:v>Yes</x:v>
      </x:c>
      <x:c r="P447" t="str">
        <x:v>Clean/NM benchmark unless noted</x:v>
      </x:c>
      <x:c r="Q447" t="n">
        <x:v>12</x:v>
      </x:c>
      <x:c r="R447" t="n">
        <x:v>20</x:v>
      </x:c>
      <x:c r="S447" t="n">
        <x:v>16</x:v>
      </x:c>
      <x:c r="T447" t="str">
        <x:v>Stormfront Larvitar LV.19 63/100 reverse holo. Reverse-specific raw trackers are around $16–17; TCGplayer search-market data appears less printing-specific, so working range is $12–20.</x:v>
      </x:c>
      <x:c r="U447" t="n">
        <x:v>936</x:v>
      </x:c>
      <x:c r="V447" t="str">
        <x:v>Current chat continuation / researched 2026-08-15</x:v>
      </x:c>
      <x:c r="W447" t="str">
        <x:v>https://www.pricecharting.com/game/pokemon-stormfront/larvitar-reverse-holo-63</x:v>
      </x:c>
    </x:row>
    <x:row r="448">
      <x:c r="A448" t="n">
        <x:v>447</x:v>
      </x:c>
      <x:c r="B448" t="str">
        <x:v>Fighting / Commons</x:v>
      </x:c>
      <x:c r="C448" t="str">
        <x:v>Machop</x:v>
      </x:c>
      <x:c r="D448" t="str">
        <x:v>47/101</x:v>
      </x:c>
      <x:c r="E448" t="str">
        <x:v>Plasma Blast</x:v>
      </x:c>
      <x:c r="F448" t="n">
        <x:v>2013</x:v>
      </x:c>
      <x:c r="G448" t="str">
        <x:v>Reverse Holo</x:v>
      </x:c>
      <x:c r="H448" t="str">
        <x:v>1 of 1</x:v>
      </x:c>
      <x:c r="I448" t="n">
        <x:v>0.65</x:v>
      </x:c>
      <x:c r="J448" t="n">
        <x:v>1</x:v>
      </x:c>
      <x:c r="K448" t="n">
        <x:v>0.825</x:v>
      </x:c>
      <x:c r="L448" t="str">
        <x:v>&lt;$1</x:v>
      </x:c>
      <x:c r="M448" t="str">
        <x:v>Yes</x:v>
      </x:c>
      <x:c r="N448" t="str">
        <x:v>No</x:v>
      </x:c>
      <x:c r="O448" t="str">
        <x:v>No</x:v>
      </x:c>
      <x:c r="P448" t="str">
        <x:v>Clean/NM benchmark unless noted</x:v>
      </x:c>
      <x:c r="Q448" t="n">
        <x:v>0.65</x:v>
      </x:c>
      <x:c r="R448" t="n">
        <x:v>1</x:v>
      </x:c>
      <x:c r="S448" t="n">
        <x:v>0.825</x:v>
      </x:c>
      <x:c r="T448" t="str">
        <x:v>Plasma Blast Machop 47/101 reverse holo. TCGplayer NM reverse-holo price guide about $0.82.</x:v>
      </x:c>
      <x:c r="U448" t="n">
        <x:v>936</x:v>
      </x:c>
      <x:c r="V448" t="str">
        <x:v>Current chat continuation / researched 2026-08-15</x:v>
      </x:c>
      <x:c r="W448" t="str">
        <x:v>https://www.tcgplayer.com/categories/trading-and-collectible-card-games/pokemon/price-guides/plasma-blast</x:v>
      </x:c>
    </x:row>
    <x:row r="449">
      <x:c r="A449" t="n">
        <x:v>448</x:v>
      </x:c>
      <x:c r="B449" t="str">
        <x:v>Fighting / Commons</x:v>
      </x:c>
      <x:c r="C449" t="str">
        <x:v>Timburr</x:v>
      </x:c>
      <x:c r="D449" t="str">
        <x:v>58/?</x:v>
      </x:c>
      <x:c r="E449" t="str">
        <x:v>Set unresolved</x:v>
      </x:c>
      <x:c r="F449"/>
      <x:c r="G449" t="str">
        <x:v>Reverse Holo</x:v>
      </x:c>
      <x:c r="H449" t="str">
        <x:v>1 of 1</x:v>
      </x:c>
      <x:c r="I449"/>
      <x:c r="J449"/>
      <x:c r="K449"/>
      <x:c r="L449" t="str">
        <x:v>Needs ID</x:v>
      </x:c>
      <x:c r="M449" t="str">
        <x:v>Yes</x:v>
      </x:c>
      <x:c r="N449" t="str">
        <x:v>No</x:v>
      </x:c>
      <x:c r="O449" t="str">
        <x:v>Yes</x:v>
      </x:c>
      <x:c r="P449" t="str">
        <x:v>Needs denominator/set confirmation</x:v>
      </x:c>
      <x:c r="Q449"/>
      <x:c r="R449"/>
      <x:c r="S449"/>
      <x:c r="T449" t="str">
        <x:v>Timburr #58 reverse holo is ambiguous: 58/114 = Black &amp; White (~$1.30 NM) or 58/108 = Dark Explorers (~$1.42 NM). Either clears the $1+ separator; denominator needed for exact set.</x:v>
      </x:c>
      <x:c r="U449" t="n">
        <x:v>936</x:v>
      </x:c>
      <x:c r="V449" t="str">
        <x:v>Current chat continuation / unresolved 2026-08-15</x:v>
      </x:c>
      <x:c r="W449" t="str">
        <x:v>https://www.tcgplayer.com/search/pokemon/product?productLineName=pokemon&amp;q=Timburr+58</x:v>
      </x:c>
    </x:row>
    <x:row r="450">
      <x:c r="A450" t="n">
        <x:v>449</x:v>
      </x:c>
      <x:c r="B450" t="str">
        <x:v>Fighting / Commons</x:v>
      </x:c>
      <x:c r="C450" t="str">
        <x:v>Nosepass</x:v>
      </x:c>
      <x:c r="D450" t="str">
        <x:v>109/146</x:v>
      </x:c>
      <x:c r="E450" t="str">
        <x:v>Legends Awakened</x:v>
      </x:c>
      <x:c r="F450" t="n">
        <x:v>2008</x:v>
      </x:c>
      <x:c r="G450" t="str">
        <x:v>Reverse Holo (LV.15)</x:v>
      </x:c>
      <x:c r="H450" t="str">
        <x:v>1 of 1</x:v>
      </x:c>
      <x:c r="I450" t="n">
        <x:v>1.4</x:v>
      </x:c>
      <x:c r="J450" t="n">
        <x:v>2.2</x:v>
      </x:c>
      <x:c r="K450" t="n">
        <x:v>1.8</x:v>
      </x:c>
      <x:c r="L450" t="str">
        <x:v>$1–5</x:v>
      </x:c>
      <x:c r="M450" t="str">
        <x:v>Yes</x:v>
      </x:c>
      <x:c r="N450" t="str">
        <x:v>No</x:v>
      </x:c>
      <x:c r="O450" t="str">
        <x:v>Yes</x:v>
      </x:c>
      <x:c r="P450" t="str">
        <x:v>Clean/NM benchmark unless noted</x:v>
      </x:c>
      <x:c r="Q450" t="n">
        <x:v>1.4</x:v>
      </x:c>
      <x:c r="R450" t="n">
        <x:v>2.2</x:v>
      </x:c>
      <x:c r="S450" t="n">
        <x:v>1.8</x:v>
      </x:c>
      <x:c r="T450" t="str">
        <x:v>Legends Awakened Nosepass LV.15 109/146 reverse holo. TCGplayer NM reverse-holo price guide about $1.79.</x:v>
      </x:c>
      <x:c r="U450" t="n">
        <x:v>937</x:v>
      </x:c>
      <x:c r="V450" t="str">
        <x:v>Current chat continuation / researched 2026-08-15</x:v>
      </x:c>
      <x:c r="W450" t="str">
        <x:v>https://www.tcgplayer.com/categories/trading-and-collectible-card-games/pokemon/price-guides/legends-awakened</x:v>
      </x:c>
    </x:row>
    <x:row r="451">
      <x:c r="A451" t="n">
        <x:v>450</x:v>
      </x:c>
      <x:c r="B451" t="str">
        <x:v>Fighting / Commons</x:v>
      </x:c>
      <x:c r="C451" t="str">
        <x:v>Nosepass</x:v>
      </x:c>
      <x:c r="D451" t="str">
        <x:v>62/124</x:v>
      </x:c>
      <x:c r="E451" t="str">
        <x:v>Dragons Exalted</x:v>
      </x:c>
      <x:c r="F451" t="n">
        <x:v>2012</x:v>
      </x:c>
      <x:c r="G451" t="str">
        <x:v>Reverse Holo</x:v>
      </x:c>
      <x:c r="H451" t="str">
        <x:v>1 of 1</x:v>
      </x:c>
      <x:c r="I451" t="n">
        <x:v>0.4</x:v>
      </x:c>
      <x:c r="J451" t="n">
        <x:v>0.8</x:v>
      </x:c>
      <x:c r="K451" t="n">
        <x:v>0.6000000000000001</x:v>
      </x:c>
      <x:c r="L451" t="str">
        <x:v>&lt;$1</x:v>
      </x:c>
      <x:c r="M451" t="str">
        <x:v>Yes</x:v>
      </x:c>
      <x:c r="N451" t="str">
        <x:v>No</x:v>
      </x:c>
      <x:c r="O451" t="str">
        <x:v>No</x:v>
      </x:c>
      <x:c r="P451" t="str">
        <x:v>Clean/NM benchmark unless noted</x:v>
      </x:c>
      <x:c r="Q451" t="n">
        <x:v>0.4</x:v>
      </x:c>
      <x:c r="R451" t="n">
        <x:v>0.8</x:v>
      </x:c>
      <x:c r="S451" t="n">
        <x:v>0.6000000000000001</x:v>
      </x:c>
      <x:c r="T451" t="str">
        <x:v>Dragons Exalted Nosepass 62/124 reverse holo. TCGplayer NM reverse-holo price guide about $0.57.</x:v>
      </x:c>
      <x:c r="U451" t="n">
        <x:v>937</x:v>
      </x:c>
      <x:c r="V451" t="str">
        <x:v>Current chat continuation / researched 2026-08-15</x:v>
      </x:c>
      <x:c r="W451" t="str">
        <x:v>https://www.tcgplayer.com/categories/trading-collectible-card-games/pokemon/price-guides/dragons-exalted</x:v>
      </x:c>
    </x:row>
    <x:row r="452">
      <x:c r="A452" t="n">
        <x:v>451</x:v>
      </x:c>
      <x:c r="B452" t="str">
        <x:v>Fighting / Commons</x:v>
      </x:c>
      <x:c r="C452" t="str">
        <x:v>Baltoy</x:v>
      </x:c>
      <x:c r="D452" t="str">
        <x:v>63/124</x:v>
      </x:c>
      <x:c r="E452" t="str">
        <x:v>Dragons Exalted</x:v>
      </x:c>
      <x:c r="F452" t="n">
        <x:v>2012</x:v>
      </x:c>
      <x:c r="G452" t="str">
        <x:v>Reverse Holo</x:v>
      </x:c>
      <x:c r="H452" t="str">
        <x:v>1 of 2</x:v>
      </x:c>
      <x:c r="I452" t="n">
        <x:v>0.6</x:v>
      </x:c>
      <x:c r="J452" t="n">
        <x:v>1</x:v>
      </x:c>
      <x:c r="K452" t="n">
        <x:v>0.8</x:v>
      </x:c>
      <x:c r="L452" t="str">
        <x:v>&lt;$1</x:v>
      </x:c>
      <x:c r="M452" t="str">
        <x:v>Yes</x:v>
      </x:c>
      <x:c r="N452" t="str">
        <x:v>No</x:v>
      </x:c>
      <x:c r="O452" t="str">
        <x:v>No</x:v>
      </x:c>
      <x:c r="P452" t="str">
        <x:v>Clean/NM benchmark unless noted</x:v>
      </x:c>
      <x:c r="Q452" t="n">
        <x:v>0.6</x:v>
      </x:c>
      <x:c r="R452" t="n">
        <x:v>1</x:v>
      </x:c>
      <x:c r="S452" t="n">
        <x:v>0.8</x:v>
      </x:c>
      <x:c r="T452" t="str">
        <x:v>Dragons Exalted Baltoy 63/124 reverse holo. TCGplayer NM reverse-holo price guide about $0.79.</x:v>
      </x:c>
      <x:c r="U452" t="n">
        <x:v>937</x:v>
      </x:c>
      <x:c r="V452" t="str">
        <x:v>Current chat continuation / researched 2026-08-15</x:v>
      </x:c>
      <x:c r="W452" t="str">
        <x:v>https://www.tcgplayer.com/categories/trading-collectible-card-games/pokemon/price-guides/dragons-exalted</x:v>
      </x:c>
    </x:row>
    <x:row r="453">
      <x:c r="A453" t="n">
        <x:v>452</x:v>
      </x:c>
      <x:c r="B453" t="str">
        <x:v>Fighting / Commons</x:v>
      </x:c>
      <x:c r="C453" t="str">
        <x:v>Baltoy</x:v>
      </x:c>
      <x:c r="D453" t="str">
        <x:v>63/124</x:v>
      </x:c>
      <x:c r="E453" t="str">
        <x:v>Dragons Exalted</x:v>
      </x:c>
      <x:c r="F453" t="n">
        <x:v>2012</x:v>
      </x:c>
      <x:c r="G453" t="str">
        <x:v>Reverse Holo</x:v>
      </x:c>
      <x:c r="H453" t="str">
        <x:v>2 of 2</x:v>
      </x:c>
      <x:c r="I453" t="n">
        <x:v>0.6</x:v>
      </x:c>
      <x:c r="J453" t="n">
        <x:v>1</x:v>
      </x:c>
      <x:c r="K453" t="n">
        <x:v>0.8</x:v>
      </x:c>
      <x:c r="L453" t="str">
        <x:v>&lt;$1</x:v>
      </x:c>
      <x:c r="M453" t="str">
        <x:v>Yes</x:v>
      </x:c>
      <x:c r="N453" t="str">
        <x:v>No</x:v>
      </x:c>
      <x:c r="O453" t="str">
        <x:v>No</x:v>
      </x:c>
      <x:c r="P453" t="str">
        <x:v>Clean/NM benchmark unless noted</x:v>
      </x:c>
      <x:c r="Q453" t="n">
        <x:v>0.6</x:v>
      </x:c>
      <x:c r="R453" t="n">
        <x:v>1</x:v>
      </x:c>
      <x:c r="S453" t="n">
        <x:v>0.8</x:v>
      </x:c>
      <x:c r="T453" t="str">
        <x:v>Dragons Exalted Baltoy 63/124 reverse holo. TCGplayer NM reverse-holo price guide about $0.79.</x:v>
      </x:c>
      <x:c r="U453" t="n">
        <x:v>937</x:v>
      </x:c>
      <x:c r="V453" t="str">
        <x:v>Current chat continuation / researched 2026-08-15</x:v>
      </x:c>
      <x:c r="W453" t="str">
        <x:v>https://www.tcgplayer.com/categories/trading-collectible-card-games/pokemon/price-guides/dragons-exalted</x:v>
      </x:c>
    </x:row>
    <x:row r="454">
      <x:c r="A454" t="n">
        <x:v>453</x:v>
      </x:c>
      <x:c r="B454" t="str">
        <x:v>Fighting / Uncommons</x:v>
      </x:c>
      <x:c r="C454" t="str">
        <x:v>Sandslash</x:v>
      </x:c>
      <x:c r="D454" t="str">
        <x:v>79/149</x:v>
      </x:c>
      <x:c r="E454" t="str">
        <x:v>Boundaries Crossed</x:v>
      </x:c>
      <x:c r="F454" t="n">
        <x:v>2012</x:v>
      </x:c>
      <x:c r="G454" t="str">
        <x:v>Reverse Holo</x:v>
      </x:c>
      <x:c r="H454" t="str">
        <x:v>1 of 1</x:v>
      </x:c>
      <x:c r="I454" t="n">
        <x:v>1.5</x:v>
      </x:c>
      <x:c r="J454" t="n">
        <x:v>3</x:v>
      </x:c>
      <x:c r="K454" t="n">
        <x:v>2.25</x:v>
      </x:c>
      <x:c r="L454" t="str">
        <x:v>$1–5</x:v>
      </x:c>
      <x:c r="M454" t="str">
        <x:v>Yes</x:v>
      </x:c>
      <x:c r="N454" t="str">
        <x:v>No</x:v>
      </x:c>
      <x:c r="O454" t="str">
        <x:v>Yes</x:v>
      </x:c>
      <x:c r="P454" t="str">
        <x:v>Clean/NM benchmark unless noted</x:v>
      </x:c>
      <x:c r="Q454" t="n">
        <x:v>1.5</x:v>
      </x:c>
      <x:c r="R454" t="n">
        <x:v>3</x:v>
      </x:c>
      <x:c r="S454" t="n">
        <x:v>2.25</x:v>
      </x:c>
      <x:c r="T454" t="str">
        <x:v>Boundaries Crossed Sandslash 79/149 reverse holo. TCGplayer NM reverse-holo market about $1.79; PriceCharting ungraded about $2.49.</x:v>
      </x:c>
      <x:c r="U454" t="n">
        <x:v>938</x:v>
      </x:c>
      <x:c r="V454" t="str">
        <x:v>Current chat continuation / researched 2026-08-15</x:v>
      </x:c>
      <x:c r="W454" t="str">
        <x:v>https://www.tcgplayer.com/categories/trading-and-collectible-card-games/pokemon/price-guides/boundaries-crossed</x:v>
      </x:c>
    </x:row>
    <x:row r="455">
      <x:c r="A455" t="n">
        <x:v>454</x:v>
      </x:c>
      <x:c r="B455" t="str">
        <x:v>Fighting / Uncommons</x:v>
      </x:c>
      <x:c r="C455" t="str">
        <x:v>Sawk</x:v>
      </x:c>
      <x:c r="D455" t="str">
        <x:v>59/98</x:v>
      </x:c>
      <x:c r="E455" t="str">
        <x:v>Emerging Powers</x:v>
      </x:c>
      <x:c r="F455" t="n">
        <x:v>2011</x:v>
      </x:c>
      <x:c r="G455" t="str">
        <x:v>Reverse Holo</x:v>
      </x:c>
      <x:c r="H455" t="str">
        <x:v>1 of 2</x:v>
      </x:c>
      <x:c r="I455" t="n">
        <x:v>0.75</x:v>
      </x:c>
      <x:c r="J455" t="n">
        <x:v>1.5</x:v>
      </x:c>
      <x:c r="K455" t="n">
        <x:v>1.125</x:v>
      </x:c>
      <x:c r="L455" t="str">
        <x:v>$1–5</x:v>
      </x:c>
      <x:c r="M455" t="str">
        <x:v>Yes</x:v>
      </x:c>
      <x:c r="N455" t="str">
        <x:v>No</x:v>
      </x:c>
      <x:c r="O455" t="str">
        <x:v>Yes</x:v>
      </x:c>
      <x:c r="P455" t="str">
        <x:v>Clean/NM benchmark unless noted</x:v>
      </x:c>
      <x:c r="Q455" t="n">
        <x:v>0.75</x:v>
      </x:c>
      <x:c r="R455" t="n">
        <x:v>1.5</x:v>
      </x:c>
      <x:c r="S455" t="n">
        <x:v>1.125</x:v>
      </x:c>
      <x:c r="T455" t="str">
        <x:v>Emerging Powers Sawk 59/98 reverse holo. PriceCharting ungraded about $1.21; recent TCGplayer NM sales are commonly around $0.50–1.00, so treated as an about-$1 separator card.</x:v>
      </x:c>
      <x:c r="U455" t="n">
        <x:v>938</x:v>
      </x:c>
      <x:c r="V455" t="str">
        <x:v>Current chat continuation / researched 2026-08-15</x:v>
      </x:c>
      <x:c r="W455" t="str">
        <x:v>https://www.pricecharting.com/game/pokemon-emerging-powers/sawk-reverse-holo-59</x:v>
      </x:c>
    </x:row>
    <x:row r="456">
      <x:c r="A456" t="n">
        <x:v>455</x:v>
      </x:c>
      <x:c r="B456" t="str">
        <x:v>Fighting / Uncommons</x:v>
      </x:c>
      <x:c r="C456" t="str">
        <x:v>Sawk</x:v>
      </x:c>
      <x:c r="D456" t="str">
        <x:v>59/98</x:v>
      </x:c>
      <x:c r="E456" t="str">
        <x:v>Emerging Powers</x:v>
      </x:c>
      <x:c r="F456" t="n">
        <x:v>2011</x:v>
      </x:c>
      <x:c r="G456" t="str">
        <x:v>Reverse Holo</x:v>
      </x:c>
      <x:c r="H456" t="str">
        <x:v>2 of 2</x:v>
      </x:c>
      <x:c r="I456" t="n">
        <x:v>0.75</x:v>
      </x:c>
      <x:c r="J456" t="n">
        <x:v>1.5</x:v>
      </x:c>
      <x:c r="K456" t="n">
        <x:v>1.125</x:v>
      </x:c>
      <x:c r="L456" t="str">
        <x:v>$1–5</x:v>
      </x:c>
      <x:c r="M456" t="str">
        <x:v>Yes</x:v>
      </x:c>
      <x:c r="N456" t="str">
        <x:v>No</x:v>
      </x:c>
      <x:c r="O456" t="str">
        <x:v>Yes</x:v>
      </x:c>
      <x:c r="P456" t="str">
        <x:v>Clean/NM benchmark unless noted</x:v>
      </x:c>
      <x:c r="Q456" t="n">
        <x:v>0.75</x:v>
      </x:c>
      <x:c r="R456" t="n">
        <x:v>1.5</x:v>
      </x:c>
      <x:c r="S456" t="n">
        <x:v>1.125</x:v>
      </x:c>
      <x:c r="T456" t="str">
        <x:v>Emerging Powers Sawk 59/98 reverse holo. PriceCharting ungraded about $1.21; recent TCGplayer NM sales are commonly around $0.50–1.00, so treated as an about-$1 separator card.</x:v>
      </x:c>
      <x:c r="U456" t="n">
        <x:v>938</x:v>
      </x:c>
      <x:c r="V456" t="str">
        <x:v>Current chat continuation / researched 2026-08-15</x:v>
      </x:c>
      <x:c r="W456" t="str">
        <x:v>https://www.pricecharting.com/game/pokemon-emerging-powers/sawk-reverse-holo-59</x:v>
      </x:c>
    </x:row>
    <x:row r="457">
      <x:c r="A457" t="n">
        <x:v>456</x:v>
      </x:c>
      <x:c r="B457" t="str">
        <x:v>Fighting / Uncommons</x:v>
      </x:c>
      <x:c r="C457" t="str">
        <x:v>Machoke</x:v>
      </x:c>
      <x:c r="D457" t="str">
        <x:v>53/130</x:v>
      </x:c>
      <x:c r="E457" t="str">
        <x:v>Diamond &amp; Pearl</x:v>
      </x:c>
      <x:c r="F457" t="n">
        <x:v>2007</x:v>
      </x:c>
      <x:c r="G457" t="str">
        <x:v>Reverse Holo (LV.39)</x:v>
      </x:c>
      <x:c r="H457" t="str">
        <x:v>1 of 1</x:v>
      </x:c>
      <x:c r="I457" t="n">
        <x:v>4</x:v>
      </x:c>
      <x:c r="J457" t="n">
        <x:v>5.5</x:v>
      </x:c>
      <x:c r="K457" t="n">
        <x:v>4.75</x:v>
      </x:c>
      <x:c r="L457" t="str">
        <x:v>$1–5</x:v>
      </x:c>
      <x:c r="M457" t="str">
        <x:v>Yes</x:v>
      </x:c>
      <x:c r="N457" t="str">
        <x:v>No</x:v>
      </x:c>
      <x:c r="O457" t="str">
        <x:v>Yes</x:v>
      </x:c>
      <x:c r="P457" t="str">
        <x:v>Clean/NM benchmark unless noted</x:v>
      </x:c>
      <x:c r="Q457" t="n">
        <x:v>4</x:v>
      </x:c>
      <x:c r="R457" t="n">
        <x:v>5.5</x:v>
      </x:c>
      <x:c r="S457" t="n">
        <x:v>4.75</x:v>
      </x:c>
      <x:c r="T457" t="str">
        <x:v>Diamond &amp; Pearl Machoke LV.39 53/130 reverse holo. TCGplayer NM reverse-holo price guide about $4.66.</x:v>
      </x:c>
      <x:c r="U457" t="n">
        <x:v>938</x:v>
      </x:c>
      <x:c r="V457" t="str">
        <x:v>Current chat continuation / researched 2026-08-15</x:v>
      </x:c>
      <x:c r="W457" t="str">
        <x:v>https://www.tcgplayer.com/categories/trading-and-collectible-card-games/pokemon/price-guides/diamond-and-pearl</x:v>
      </x:c>
    </x:row>
    <x:row r="458">
      <x:c r="A458" t="n">
        <x:v>457</x:v>
      </x:c>
      <x:c r="B458" t="str">
        <x:v>Fighting / Uncommons</x:v>
      </x:c>
      <x:c r="C458" t="str">
        <x:v>Archen</x:v>
      </x:c>
      <x:c r="D458" t="str">
        <x:v>53/101</x:v>
      </x:c>
      <x:c r="E458" t="str">
        <x:v>Plasma Blast</x:v>
      </x:c>
      <x:c r="F458" t="n">
        <x:v>2013</x:v>
      </x:c>
      <x:c r="G458" t="str">
        <x:v>Reverse Holo</x:v>
      </x:c>
      <x:c r="H458" t="str">
        <x:v>1 of 1</x:v>
      </x:c>
      <x:c r="I458" t="n">
        <x:v>0.75</x:v>
      </x:c>
      <x:c r="J458" t="n">
        <x:v>1.15</x:v>
      </x:c>
      <x:c r="K458" t="n">
        <x:v>0.95</x:v>
      </x:c>
      <x:c r="L458" t="str">
        <x:v>&lt;$1</x:v>
      </x:c>
      <x:c r="M458" t="str">
        <x:v>Yes</x:v>
      </x:c>
      <x:c r="N458" t="str">
        <x:v>No</x:v>
      </x:c>
      <x:c r="O458" t="str">
        <x:v>No</x:v>
      </x:c>
      <x:c r="P458" t="str">
        <x:v>Clean/NM benchmark unless noted</x:v>
      </x:c>
      <x:c r="Q458" t="n">
        <x:v>0.75</x:v>
      </x:c>
      <x:c r="R458" t="n">
        <x:v>1.15</x:v>
      </x:c>
      <x:c r="S458" t="n">
        <x:v>0.95</x:v>
      </x:c>
      <x:c r="T458" t="str">
        <x:v>Plasma Blast Archen 53/101 reverse holo. Current raw/NM tracking is about $0.90–0.99, so kept just below the $1+ separator.</x:v>
      </x:c>
      <x:c r="U458" t="n">
        <x:v>939</x:v>
      </x:c>
      <x:c r="V458" t="str">
        <x:v>Current chat continuation / researched 2026-08-15</x:v>
      </x:c>
      <x:c r="W458" t="str">
        <x:v>https://www.pricecharting.com/game/pokemon-plasma-blast/archen-reverse-holo-53</x:v>
      </x:c>
    </x:row>
    <x:row r="459">
      <x:c r="A459" t="n">
        <x:v>458</x:v>
      </x:c>
      <x:c r="B459" t="str">
        <x:v>Fighting / Uncommons</x:v>
      </x:c>
      <x:c r="C459" t="str">
        <x:v>Archen</x:v>
      </x:c>
      <x:c r="D459" t="str">
        <x:v>66/101</x:v>
      </x:c>
      <x:c r="E459" t="str">
        <x:v>Noble Victories</x:v>
      </x:c>
      <x:c r="F459" t="n">
        <x:v>2011</x:v>
      </x:c>
      <x:c r="G459" t="str">
        <x:v>Reverse Holo</x:v>
      </x:c>
      <x:c r="H459" t="str">
        <x:v>1 of 1</x:v>
      </x:c>
      <x:c r="I459" t="n">
        <x:v>4.5</x:v>
      </x:c>
      <x:c r="J459" t="n">
        <x:v>6.5</x:v>
      </x:c>
      <x:c r="K459" t="n">
        <x:v>5.5</x:v>
      </x:c>
      <x:c r="L459" t="str">
        <x:v>$5–20</x:v>
      </x:c>
      <x:c r="M459" t="str">
        <x:v>Yes</x:v>
      </x:c>
      <x:c r="N459" t="str">
        <x:v>No</x:v>
      </x:c>
      <x:c r="O459" t="str">
        <x:v>Yes</x:v>
      </x:c>
      <x:c r="P459" t="str">
        <x:v>Clean/NM benchmark unless noted</x:v>
      </x:c>
      <x:c r="Q459" t="n">
        <x:v>4.5</x:v>
      </x:c>
      <x:c r="R459" t="n">
        <x:v>6.5</x:v>
      </x:c>
      <x:c r="S459" t="n">
        <x:v>5.5</x:v>
      </x:c>
      <x:c r="T459" t="str">
        <x:v>Noble Victories Archen 66/101 reverse holo. Current TCGplayer/market tracking is about $5–6.15.</x:v>
      </x:c>
      <x:c r="U459" t="n">
        <x:v>939</x:v>
      </x:c>
      <x:c r="V459" t="str">
        <x:v>Current chat continuation / researched 2026-08-15</x:v>
      </x:c>
      <x:c r="W459" t="str">
        <x:v>https://www.pricecharting.com/game/pokemon-noble-victories/archen-reverse-holo-66</x:v>
      </x:c>
    </x:row>
    <x:row r="460">
      <x:c r="A460" t="n">
        <x:v>459</x:v>
      </x:c>
      <x:c r="B460" t="str">
        <x:v>Fighting / Uncommons</x:v>
      </x:c>
      <x:c r="C460" t="str">
        <x:v>Riolu</x:v>
      </x:c>
      <x:c r="D460" t="str">
        <x:v>50/95</x:v>
      </x:c>
      <x:c r="E460" t="str">
        <x:v>Call of Legends</x:v>
      </x:c>
      <x:c r="F460" t="n">
        <x:v>2011</x:v>
      </x:c>
      <x:c r="G460" t="str">
        <x:v>Reverse Holo</x:v>
      </x:c>
      <x:c r="H460" t="str">
        <x:v>1 of 1</x:v>
      </x:c>
      <x:c r="I460" t="n">
        <x:v>4</x:v>
      </x:c>
      <x:c r="J460" t="n">
        <x:v>9</x:v>
      </x:c>
      <x:c r="K460" t="n">
        <x:v>6.5</x:v>
      </x:c>
      <x:c r="L460" t="str">
        <x:v>$5–20</x:v>
      </x:c>
      <x:c r="M460" t="str">
        <x:v>Yes</x:v>
      </x:c>
      <x:c r="N460" t="str">
        <x:v>No</x:v>
      </x:c>
      <x:c r="O460" t="str">
        <x:v>Yes</x:v>
      </x:c>
      <x:c r="P460" t="str">
        <x:v>Clean/NM benchmark unless noted</x:v>
      </x:c>
      <x:c r="Q460" t="n">
        <x:v>4</x:v>
      </x:c>
      <x:c r="R460" t="n">
        <x:v>9</x:v>
      </x:c>
      <x:c r="S460" t="n">
        <x:v>6.5</x:v>
      </x:c>
      <x:c r="T460" t="str">
        <x:v>Call of Legends Riolu 50/95 reverse holo. TCGplayer market about $8.73; PriceCharting ungraded about $5.26, with recent NM sales spanning roughly $3.5–10.8.</x:v>
      </x:c>
      <x:c r="U460" t="n">
        <x:v>939</x:v>
      </x:c>
      <x:c r="V460" t="str">
        <x:v>Current chat continuation / researched 2026-08-15</x:v>
      </x:c>
      <x:c r="W460" t="str">
        <x:v>https://www.pricecharting.com/game/pokemon-call-of-legends/riolu-reverse-holo-50</x:v>
      </x:c>
    </x:row>
    <x:row r="461">
      <x:c r="A461" t="n">
        <x:v>460</x:v>
      </x:c>
      <x:c r="B461" t="str">
        <x:v>Fighting / Uncommons</x:v>
      </x:c>
      <x:c r="C461" t="str">
        <x:v>Riolu</x:v>
      </x:c>
      <x:c r="D461" t="str">
        <x:v>79/113</x:v>
      </x:c>
      <x:c r="E461" t="str">
        <x:v>Legendary Treasures</x:v>
      </x:c>
      <x:c r="F461" t="n">
        <x:v>2013</x:v>
      </x:c>
      <x:c r="G461" t="str">
        <x:v>Reverse Holo</x:v>
      </x:c>
      <x:c r="H461" t="str">
        <x:v>1 of 1</x:v>
      </x:c>
      <x:c r="I461" t="n">
        <x:v>4.5</x:v>
      </x:c>
      <x:c r="J461" t="n">
        <x:v>7.5</x:v>
      </x:c>
      <x:c r="K461" t="n">
        <x:v>6</x:v>
      </x:c>
      <x:c r="L461" t="str">
        <x:v>$5–20</x:v>
      </x:c>
      <x:c r="M461" t="str">
        <x:v>Yes</x:v>
      </x:c>
      <x:c r="N461" t="str">
        <x:v>No</x:v>
      </x:c>
      <x:c r="O461" t="str">
        <x:v>Yes</x:v>
      </x:c>
      <x:c r="P461" t="str">
        <x:v>Clean/NM benchmark unless noted</x:v>
      </x:c>
      <x:c r="Q461" t="n">
        <x:v>4.5</x:v>
      </x:c>
      <x:c r="R461" t="n">
        <x:v>7.5</x:v>
      </x:c>
      <x:c r="S461" t="n">
        <x:v>6</x:v>
      </x:c>
      <x:c r="T461" t="str">
        <x:v>Legendary Treasures Riolu 79/113 reverse holo. TCGplayer NM reverse-holo market about $6.69; PriceCharting ungraded about $4.99.</x:v>
      </x:c>
      <x:c r="U461" t="n">
        <x:v>939</x:v>
      </x:c>
      <x:c r="V461" t="str">
        <x:v>Current chat continuation / researched 2026-08-15</x:v>
      </x:c>
      <x:c r="W461" t="str">
        <x:v>https://www.tcgplayer.com/categories/trading-and-collectible-card-games/pokemon/price-guides/legendary-treasures</x:v>
      </x:c>
    </x:row>
    <x:row r="462">
      <x:c r="A462" t="n">
        <x:v>461</x:v>
      </x:c>
      <x:c r="B462" t="str">
        <x:v>Fighting / Uncommons</x:v>
      </x:c>
      <x:c r="C462" t="str">
        <x:v>Stunfisk</x:v>
      </x:c>
      <x:c r="D462" t="str">
        <x:v>RC12/RC25</x:v>
      </x:c>
      <x:c r="E462" t="str">
        <x:v>Legendary Treasures: Radiant Collection</x:v>
      </x:c>
      <x:c r="F462" t="n">
        <x:v>2013</x:v>
      </x:c>
      <x:c r="G462" t="str">
        <x:v>Radiant Collection Foil</x:v>
      </x:c>
      <x:c r="H462" t="str">
        <x:v>1 of 2</x:v>
      </x:c>
      <x:c r="I462" t="n">
        <x:v>4.5</x:v>
      </x:c>
      <x:c r="J462" t="n">
        <x:v>6.5</x:v>
      </x:c>
      <x:c r="K462" t="n">
        <x:v>5.5</x:v>
      </x:c>
      <x:c r="L462" t="str">
        <x:v>$5–20</x:v>
      </x:c>
      <x:c r="M462" t="str">
        <x:v>Yes</x:v>
      </x:c>
      <x:c r="N462" t="str">
        <x:v>No</x:v>
      </x:c>
      <x:c r="O462" t="str">
        <x:v>Yes</x:v>
      </x:c>
      <x:c r="P462" t="str">
        <x:v>Clean/NM benchmark unless noted</x:v>
      </x:c>
      <x:c r="Q462" t="n">
        <x:v>4.5</x:v>
      </x:c>
      <x:c r="R462" t="n">
        <x:v>6.5</x:v>
      </x:c>
      <x:c r="S462" t="n">
        <x:v>5.5</x:v>
      </x:c>
      <x:c r="T462" t="str">
        <x:v>Legendary Treasures: Radiant Collection Stunfisk RC12/RC25. TCGplayer current market about $5.37 NM.</x:v>
      </x:c>
      <x:c r="U462" t="n">
        <x:v>940</x:v>
      </x:c>
      <x:c r="V462" t="str">
        <x:v>Current chat continuation / researched 2026-08-15</x:v>
      </x:c>
      <x:c r="W462" t="str">
        <x:v>https://www.tcgplayer.com/search/pokemon/legendary-treasures-radiant-collection?page=1&amp;productLineName=pokemon&amp;setName=legendary-treasures-radiant-collection&amp;view=grid</x:v>
      </x:c>
    </x:row>
    <x:row r="463">
      <x:c r="A463" t="n">
        <x:v>462</x:v>
      </x:c>
      <x:c r="B463" t="str">
        <x:v>Fighting / Uncommons</x:v>
      </x:c>
      <x:c r="C463" t="str">
        <x:v>Stunfisk</x:v>
      </x:c>
      <x:c r="D463" t="str">
        <x:v>RC12/RC25</x:v>
      </x:c>
      <x:c r="E463" t="str">
        <x:v>Legendary Treasures: Radiant Collection</x:v>
      </x:c>
      <x:c r="F463" t="n">
        <x:v>2013</x:v>
      </x:c>
      <x:c r="G463" t="str">
        <x:v>Radiant Collection Foil</x:v>
      </x:c>
      <x:c r="H463" t="str">
        <x:v>2 of 2</x:v>
      </x:c>
      <x:c r="I463" t="n">
        <x:v>4.5</x:v>
      </x:c>
      <x:c r="J463" t="n">
        <x:v>6.5</x:v>
      </x:c>
      <x:c r="K463" t="n">
        <x:v>5.5</x:v>
      </x:c>
      <x:c r="L463" t="str">
        <x:v>$5–20</x:v>
      </x:c>
      <x:c r="M463" t="str">
        <x:v>Yes</x:v>
      </x:c>
      <x:c r="N463" t="str">
        <x:v>No</x:v>
      </x:c>
      <x:c r="O463" t="str">
        <x:v>Yes</x:v>
      </x:c>
      <x:c r="P463" t="str">
        <x:v>Clean/NM benchmark unless noted</x:v>
      </x:c>
      <x:c r="Q463" t="n">
        <x:v>4.5</x:v>
      </x:c>
      <x:c r="R463" t="n">
        <x:v>6.5</x:v>
      </x:c>
      <x:c r="S463" t="n">
        <x:v>5.5</x:v>
      </x:c>
      <x:c r="T463" t="str">
        <x:v>Legendary Treasures: Radiant Collection Stunfisk RC12/RC25. TCGplayer current market about $5.37 NM.</x:v>
      </x:c>
      <x:c r="U463" t="n">
        <x:v>940</x:v>
      </x:c>
      <x:c r="V463" t="str">
        <x:v>Current chat continuation / researched 2026-08-15</x:v>
      </x:c>
      <x:c r="W463" t="str">
        <x:v>https://www.tcgplayer.com/search/pokemon/legendary-treasures-radiant-collection?page=1&amp;productLineName=pokemon&amp;setName=legendary-treasures-radiant-collection&amp;view=grid</x:v>
      </x:c>
    </x:row>
    <x:row r="464">
      <x:c r="A464" t="n">
        <x:v>463</x:v>
      </x:c>
      <x:c r="B464" t="str">
        <x:v>Fighting / Uncommons</x:v>
      </x:c>
      <x:c r="C464" t="str">
        <x:v>Stunfisk</x:v>
      </x:c>
      <x:c r="D464" t="str">
        <x:v>70/124</x:v>
      </x:c>
      <x:c r="E464" t="str">
        <x:v>Dragons Exalted</x:v>
      </x:c>
      <x:c r="F464" t="n">
        <x:v>2012</x:v>
      </x:c>
      <x:c r="G464" t="str">
        <x:v>Reverse Holo</x:v>
      </x:c>
      <x:c r="H464" t="str">
        <x:v>1 of 1</x:v>
      </x:c>
      <x:c r="I464" t="n">
        <x:v>0.75</x:v>
      </x:c>
      <x:c r="J464" t="n">
        <x:v>1.5</x:v>
      </x:c>
      <x:c r="K464" t="n">
        <x:v>1.125</x:v>
      </x:c>
      <x:c r="L464" t="str">
        <x:v>$1–5</x:v>
      </x:c>
      <x:c r="M464" t="str">
        <x:v>Yes</x:v>
      </x:c>
      <x:c r="N464" t="str">
        <x:v>No</x:v>
      </x:c>
      <x:c r="O464" t="str">
        <x:v>Yes</x:v>
      </x:c>
      <x:c r="P464" t="str">
        <x:v>Clean/NM benchmark unless noted</x:v>
      </x:c>
      <x:c r="Q464" t="n">
        <x:v>0.75</x:v>
      </x:c>
      <x:c r="R464" t="n">
        <x:v>1.5</x:v>
      </x:c>
      <x:c r="S464" t="n">
        <x:v>1.125</x:v>
      </x:c>
      <x:c r="T464" t="str">
        <x:v>Dragons Exalted Stunfisk 70/124 reverse holo. TCGplayer NM reverse-holo guide about $0.85; broader raw tracking is around $1.17, so kept on the about-$1 separator.</x:v>
      </x:c>
      <x:c r="U464" t="n">
        <x:v>940</x:v>
      </x:c>
      <x:c r="V464" t="str">
        <x:v>Current chat continuation / researched 2026-08-15</x:v>
      </x:c>
      <x:c r="W464" t="str">
        <x:v>https://www.tcgplayer.com/categories/trading-collectible-card-games/pokemon/price-guides/dragons-exalted</x:v>
      </x:c>
    </x:row>
    <x:row r="465">
      <x:c r="A465" t="n">
        <x:v>464</x:v>
      </x:c>
      <x:c r="B465" t="str">
        <x:v>Fighting / Uncommons</x:v>
      </x:c>
      <x:c r="C465" t="str">
        <x:v>Machoke</x:v>
      </x:c>
      <x:c r="D465" t="str">
        <x:v>48/101</x:v>
      </x:c>
      <x:c r="E465" t="str">
        <x:v>Plasma Blast</x:v>
      </x:c>
      <x:c r="F465" t="n">
        <x:v>2013</x:v>
      </x:c>
      <x:c r="G465" t="str">
        <x:v>Reverse Holo</x:v>
      </x:c>
      <x:c r="H465" t="str">
        <x:v>1 of 1</x:v>
      </x:c>
      <x:c r="I465" t="n">
        <x:v>0.8</x:v>
      </x:c>
      <x:c r="J465" t="n">
        <x:v>1.3</x:v>
      </x:c>
      <x:c r="K465" t="n">
        <x:v>1.05</x:v>
      </x:c>
      <x:c r="L465" t="str">
        <x:v>$1–5</x:v>
      </x:c>
      <x:c r="M465" t="str">
        <x:v>Yes</x:v>
      </x:c>
      <x:c r="N465" t="str">
        <x:v>No</x:v>
      </x:c>
      <x:c r="O465" t="str">
        <x:v>Yes</x:v>
      </x:c>
      <x:c r="P465" t="str">
        <x:v>Clean/NM benchmark unless noted</x:v>
      </x:c>
      <x:c r="Q465" t="n">
        <x:v>0.8</x:v>
      </x:c>
      <x:c r="R465" t="n">
        <x:v>1.3</x:v>
      </x:c>
      <x:c r="S465" t="n">
        <x:v>1.05</x:v>
      </x:c>
      <x:c r="T465" t="str">
        <x:v>Plasma Blast Machoke 48/101 reverse holo. TCGplayer NM reverse-holo price guide about $1.00.</x:v>
      </x:c>
      <x:c r="U465" t="n">
        <x:v>940</x:v>
      </x:c>
      <x:c r="V465" t="str">
        <x:v>Current chat continuation / researched 2026-08-15</x:v>
      </x:c>
      <x:c r="W465" t="str">
        <x:v>https://www.tcgplayer.com/categories/trading-and-collectible-card-games/pokemon/price-guides/plasma-blast</x:v>
      </x:c>
    </x:row>
    <x:row r="466">
      <x:c r="A466" t="n">
        <x:v>465</x:v>
      </x:c>
      <x:c r="B466" t="str">
        <x:v>Fighting / Uncommons</x:v>
      </x:c>
      <x:c r="C466" t="str">
        <x:v>Hippowdon</x:v>
      </x:c>
      <x:c r="D466" t="str">
        <x:v>66/99</x:v>
      </x:c>
      <x:c r="E466" t="str">
        <x:v>Next Destinies</x:v>
      </x:c>
      <x:c r="F466" t="n">
        <x:v>2012</x:v>
      </x:c>
      <x:c r="G466" t="str">
        <x:v>Reverse Holo</x:v>
      </x:c>
      <x:c r="H466" t="str">
        <x:v>1 of 2</x:v>
      </x:c>
      <x:c r="I466" t="n">
        <x:v>0.55</x:v>
      </x:c>
      <x:c r="J466" t="n">
        <x:v>1.1</x:v>
      </x:c>
      <x:c r="K466" t="n">
        <x:v>0.8250000000000001</x:v>
      </x:c>
      <x:c r="L466" t="str">
        <x:v>&lt;$1</x:v>
      </x:c>
      <x:c r="M466" t="str">
        <x:v>Yes</x:v>
      </x:c>
      <x:c r="N466" t="str">
        <x:v>No</x:v>
      </x:c>
      <x:c r="O466" t="str">
        <x:v>No</x:v>
      </x:c>
      <x:c r="P466" t="str">
        <x:v>Clean/NM benchmark unless noted</x:v>
      </x:c>
      <x:c r="Q466" t="n">
        <x:v>0.55</x:v>
      </x:c>
      <x:c r="R466" t="n">
        <x:v>1.1</x:v>
      </x:c>
      <x:c r="S466" t="n">
        <x:v>0.8250000000000001</x:v>
      </x:c>
      <x:c r="T466" t="str">
        <x:v>Next Destinies Hippowdon 66/99 reverse holo. TCGplayer NM reverse-holo market about $0.66; PriceCharting ungraded about $0.99.</x:v>
      </x:c>
      <x:c r="U466" t="n">
        <x:v>941</x:v>
      </x:c>
      <x:c r="V466" t="str">
        <x:v>Current chat continuation / researched 2026-08-15</x:v>
      </x:c>
      <x:c r="W466" t="str">
        <x:v>https://www.tcgplayer.com/categories/trading-collectible-card-games/pokemon/price-guides/next-destinies</x:v>
      </x:c>
    </x:row>
    <x:row r="467">
      <x:c r="A467" t="n">
        <x:v>466</x:v>
      </x:c>
      <x:c r="B467" t="str">
        <x:v>Fighting / Uncommons</x:v>
      </x:c>
      <x:c r="C467" t="str">
        <x:v>Hippowdon</x:v>
      </x:c>
      <x:c r="D467" t="str">
        <x:v>66/99</x:v>
      </x:c>
      <x:c r="E467" t="str">
        <x:v>Next Destinies</x:v>
      </x:c>
      <x:c r="F467" t="n">
        <x:v>2012</x:v>
      </x:c>
      <x:c r="G467" t="str">
        <x:v>Reverse Holo</x:v>
      </x:c>
      <x:c r="H467" t="str">
        <x:v>2 of 2</x:v>
      </x:c>
      <x:c r="I467" t="n">
        <x:v>0.55</x:v>
      </x:c>
      <x:c r="J467" t="n">
        <x:v>1.1</x:v>
      </x:c>
      <x:c r="K467" t="n">
        <x:v>0.8250000000000001</x:v>
      </x:c>
      <x:c r="L467" t="str">
        <x:v>&lt;$1</x:v>
      </x:c>
      <x:c r="M467" t="str">
        <x:v>Yes</x:v>
      </x:c>
      <x:c r="N467" t="str">
        <x:v>No</x:v>
      </x:c>
      <x:c r="O467" t="str">
        <x:v>No</x:v>
      </x:c>
      <x:c r="P467" t="str">
        <x:v>Clean/NM benchmark unless noted</x:v>
      </x:c>
      <x:c r="Q467" t="n">
        <x:v>0.55</x:v>
      </x:c>
      <x:c r="R467" t="n">
        <x:v>1.1</x:v>
      </x:c>
      <x:c r="S467" t="n">
        <x:v>0.8250000000000001</x:v>
      </x:c>
      <x:c r="T467" t="str">
        <x:v>Next Destinies Hippowdon 66/99 reverse holo. TCGplayer NM reverse-holo market about $0.66; PriceCharting ungraded about $0.99.</x:v>
      </x:c>
      <x:c r="U467" t="n">
        <x:v>941</x:v>
      </x:c>
      <x:c r="V467" t="str">
        <x:v>Current chat continuation / researched 2026-08-15</x:v>
      </x:c>
      <x:c r="W467" t="str">
        <x:v>https://www.tcgplayer.com/categories/trading-collectible-card-games/pokemon/price-guides/next-destinies</x:v>
      </x:c>
    </x:row>
    <x:row r="468">
      <x:c r="A468" t="n">
        <x:v>467</x:v>
      </x:c>
      <x:c r="B468" t="str">
        <x:v>Fighting / Uncommons</x:v>
      </x:c>
      <x:c r="C468" t="str">
        <x:v>Krokorok</x:v>
      </x:c>
      <x:c r="D468" t="str">
        <x:v>61/98</x:v>
      </x:c>
      <x:c r="E468" t="str">
        <x:v>Emerging Powers</x:v>
      </x:c>
      <x:c r="F468" t="n">
        <x:v>2011</x:v>
      </x:c>
      <x:c r="G468" t="str">
        <x:v>Reverse Holo</x:v>
      </x:c>
      <x:c r="H468" t="str">
        <x:v>1 of 1</x:v>
      </x:c>
      <x:c r="I468" t="n">
        <x:v>0.6</x:v>
      </x:c>
      <x:c r="J468" t="n">
        <x:v>1.1</x:v>
      </x:c>
      <x:c r="K468" t="n">
        <x:v>0.8500000000000001</x:v>
      </x:c>
      <x:c r="L468" t="str">
        <x:v>&lt;$1</x:v>
      </x:c>
      <x:c r="M468" t="str">
        <x:v>Yes</x:v>
      </x:c>
      <x:c r="N468" t="str">
        <x:v>No</x:v>
      </x:c>
      <x:c r="O468" t="str">
        <x:v>No</x:v>
      </x:c>
      <x:c r="P468" t="str">
        <x:v>Clean/NM benchmark unless noted</x:v>
      </x:c>
      <x:c r="Q468" t="n">
        <x:v>0.6</x:v>
      </x:c>
      <x:c r="R468" t="n">
        <x:v>1.1</x:v>
      </x:c>
      <x:c r="S468" t="n">
        <x:v>0.8500000000000001</x:v>
      </x:c>
      <x:c r="T468" t="str">
        <x:v>Emerging Powers Krokorok 61/98 reverse holo. PriceCharting ungraded about $0.86; TCGplayer-side pricing remains under $1.</x:v>
      </x:c>
      <x:c r="U468" t="n">
        <x:v>941</x:v>
      </x:c>
      <x:c r="V468" t="str">
        <x:v>Current chat continuation / researched 2026-08-15</x:v>
      </x:c>
      <x:c r="W468" t="str">
        <x:v>https://www.pricecharting.com/game/pokemon-emerging-powers/krokorok-reverse-holo-61</x:v>
      </x:c>
    </x:row>
    <x:row r="469">
      <x:c r="A469" t="n">
        <x:v>468</x:v>
      </x:c>
      <x:c r="B469" t="str">
        <x:v>Fighting / Uncommons</x:v>
      </x:c>
      <x:c r="C469" t="str">
        <x:v>Boldore</x:v>
      </x:c>
      <x:c r="D469" t="str">
        <x:v>52/98</x:v>
      </x:c>
      <x:c r="E469" t="str">
        <x:v>Emerging Powers</x:v>
      </x:c>
      <x:c r="F469" t="n">
        <x:v>2011</x:v>
      </x:c>
      <x:c r="G469" t="str">
        <x:v>Reverse Holo</x:v>
      </x:c>
      <x:c r="H469" t="str">
        <x:v>1 of 1</x:v>
      </x:c>
      <x:c r="I469" t="n">
        <x:v>0.45</x:v>
      </x:c>
      <x:c r="J469" t="n">
        <x:v>0.9</x:v>
      </x:c>
      <x:c r="K469" t="n">
        <x:v>0.675</x:v>
      </x:c>
      <x:c r="L469" t="str">
        <x:v>&lt;$1</x:v>
      </x:c>
      <x:c r="M469" t="str">
        <x:v>Yes</x:v>
      </x:c>
      <x:c r="N469" t="str">
        <x:v>No</x:v>
      </x:c>
      <x:c r="O469" t="str">
        <x:v>No</x:v>
      </x:c>
      <x:c r="P469" t="str">
        <x:v>Clean/NM benchmark unless noted</x:v>
      </x:c>
      <x:c r="Q469" t="n">
        <x:v>0.45</x:v>
      </x:c>
      <x:c r="R469" t="n">
        <x:v>0.9</x:v>
      </x:c>
      <x:c r="S469" t="n">
        <x:v>0.675</x:v>
      </x:c>
      <x:c r="T469" t="str">
        <x:v>Emerging Powers Boldore 52/98 reverse holo. PriceCharting ungraded about $0.72; TCGplayer-side pricing around $0.50.</x:v>
      </x:c>
      <x:c r="U469" t="n">
        <x:v>941</x:v>
      </x:c>
      <x:c r="V469" t="str">
        <x:v>Current chat continuation / researched 2026-08-15</x:v>
      </x:c>
      <x:c r="W469" t="str">
        <x:v>https://www.pricecharting.com/game/pokemon-emerging-powers/boldore-reverse-holo-52</x:v>
      </x:c>
    </x:row>
    <x:row r="470">
      <x:c r="A470" t="n">
        <x:v>469</x:v>
      </x:c>
      <x:c r="B470" t="str">
        <x:v>Fighting / Rares</x:v>
      </x:c>
      <x:c r="C470" t="str">
        <x:v>Terrakion</x:v>
      </x:c>
      <x:c r="D470" t="str">
        <x:v>63/98</x:v>
      </x:c>
      <x:c r="E470" t="str">
        <x:v>Emerging Powers</x:v>
      </x:c>
      <x:c r="F470" t="n">
        <x:v>2011</x:v>
      </x:c>
      <x:c r="G470" t="str">
        <x:v>Holofoil Rare</x:v>
      </x:c>
      <x:c r="H470" t="str">
        <x:v>1 of 4</x:v>
      </x:c>
      <x:c r="I470" t="n">
        <x:v>1.5</x:v>
      </x:c>
      <x:c r="J470" t="n">
        <x:v>2.25</x:v>
      </x:c>
      <x:c r="K470" t="n">
        <x:v>1.875</x:v>
      </x:c>
      <x:c r="L470" t="str">
        <x:v>$1–5</x:v>
      </x:c>
      <x:c r="M470" t="str">
        <x:v>Yes</x:v>
      </x:c>
      <x:c r="N470" t="str">
        <x:v>No</x:v>
      </x:c>
      <x:c r="O470" t="str">
        <x:v>Yes</x:v>
      </x:c>
      <x:c r="P470" t="str">
        <x:v>Clean/NM benchmark unless noted</x:v>
      </x:c>
      <x:c r="Q470" t="n">
        <x:v>1.5</x:v>
      </x:c>
      <x:c r="R470" t="n">
        <x:v>2.25</x:v>
      </x:c>
      <x:c r="S470" t="n">
        <x:v>1.875</x:v>
      </x:c>
      <x:c r="T470" t="str">
        <x:v>Emerging Powers Terrakion 63/98 standard holo rare. TCGplayer market about $1.75–1.80. Reverse holo is a separate printing with similar current raw value.</x:v>
      </x:c>
      <x:c r="U470" t="n">
        <x:v>942</x:v>
      </x:c>
      <x:c r="V470" t="str">
        <x:v>Current chat continuation / researched 2026-08-15</x:v>
      </x:c>
      <x:c r="W470" t="str">
        <x:v>https://www.tcgplayer.com/search/pokemon/product?q=Terrakion+Emerging+Powers+63</x:v>
      </x:c>
    </x:row>
    <x:row r="471">
      <x:c r="A471" t="n">
        <x:v>470</x:v>
      </x:c>
      <x:c r="B471" t="str">
        <x:v>Fighting / Rares</x:v>
      </x:c>
      <x:c r="C471" t="str">
        <x:v>Terrakion</x:v>
      </x:c>
      <x:c r="D471" t="str">
        <x:v>63/98</x:v>
      </x:c>
      <x:c r="E471" t="str">
        <x:v>Emerging Powers</x:v>
      </x:c>
      <x:c r="F471" t="n">
        <x:v>2011</x:v>
      </x:c>
      <x:c r="G471" t="str">
        <x:v>Holofoil Rare</x:v>
      </x:c>
      <x:c r="H471" t="str">
        <x:v>2 of 4</x:v>
      </x:c>
      <x:c r="I471" t="n">
        <x:v>1.5</x:v>
      </x:c>
      <x:c r="J471" t="n">
        <x:v>2.25</x:v>
      </x:c>
      <x:c r="K471" t="n">
        <x:v>1.875</x:v>
      </x:c>
      <x:c r="L471" t="str">
        <x:v>$1–5</x:v>
      </x:c>
      <x:c r="M471" t="str">
        <x:v>Yes</x:v>
      </x:c>
      <x:c r="N471" t="str">
        <x:v>No</x:v>
      </x:c>
      <x:c r="O471" t="str">
        <x:v>Yes</x:v>
      </x:c>
      <x:c r="P471" t="str">
        <x:v>Clean/NM benchmark unless noted</x:v>
      </x:c>
      <x:c r="Q471" t="n">
        <x:v>1.5</x:v>
      </x:c>
      <x:c r="R471" t="n">
        <x:v>2.25</x:v>
      </x:c>
      <x:c r="S471" t="n">
        <x:v>1.875</x:v>
      </x:c>
      <x:c r="T471" t="str">
        <x:v>Emerging Powers Terrakion 63/98 standard holo rare. TCGplayer market about $1.75–1.80. Reverse holo is a separate printing with similar current raw value.</x:v>
      </x:c>
      <x:c r="U471" t="n">
        <x:v>942</x:v>
      </x:c>
      <x:c r="V471" t="str">
        <x:v>Current chat continuation / researched 2026-08-15</x:v>
      </x:c>
      <x:c r="W471" t="str">
        <x:v>https://www.tcgplayer.com/search/pokemon/product?q=Terrakion+Emerging+Powers+63</x:v>
      </x:c>
    </x:row>
    <x:row r="472">
      <x:c r="A472" t="n">
        <x:v>471</x:v>
      </x:c>
      <x:c r="B472" t="str">
        <x:v>Fighting / Rares</x:v>
      </x:c>
      <x:c r="C472" t="str">
        <x:v>Terrakion</x:v>
      </x:c>
      <x:c r="D472" t="str">
        <x:v>63/98</x:v>
      </x:c>
      <x:c r="E472" t="str">
        <x:v>Emerging Powers</x:v>
      </x:c>
      <x:c r="F472" t="n">
        <x:v>2011</x:v>
      </x:c>
      <x:c r="G472" t="str">
        <x:v>Holofoil Rare</x:v>
      </x:c>
      <x:c r="H472" t="str">
        <x:v>3 of 4</x:v>
      </x:c>
      <x:c r="I472" t="n">
        <x:v>1.5</x:v>
      </x:c>
      <x:c r="J472" t="n">
        <x:v>2.25</x:v>
      </x:c>
      <x:c r="K472" t="n">
        <x:v>1.875</x:v>
      </x:c>
      <x:c r="L472" t="str">
        <x:v>$1–5</x:v>
      </x:c>
      <x:c r="M472" t="str">
        <x:v>Yes</x:v>
      </x:c>
      <x:c r="N472" t="str">
        <x:v>No</x:v>
      </x:c>
      <x:c r="O472" t="str">
        <x:v>Yes</x:v>
      </x:c>
      <x:c r="P472" t="str">
        <x:v>Clean/NM benchmark unless noted</x:v>
      </x:c>
      <x:c r="Q472" t="n">
        <x:v>1.5</x:v>
      </x:c>
      <x:c r="R472" t="n">
        <x:v>2.25</x:v>
      </x:c>
      <x:c r="S472" t="n">
        <x:v>1.875</x:v>
      </x:c>
      <x:c r="T472" t="str">
        <x:v>Emerging Powers Terrakion 63/98 standard holo rare. TCGplayer market about $1.75–1.80. Reverse holo is a separate printing with similar current raw value.</x:v>
      </x:c>
      <x:c r="U472" t="n">
        <x:v>942</x:v>
      </x:c>
      <x:c r="V472" t="str">
        <x:v>Current chat continuation / researched 2026-08-15</x:v>
      </x:c>
      <x:c r="W472" t="str">
        <x:v>https://www.tcgplayer.com/search/pokemon/product?q=Terrakion+Emerging+Powers+63</x:v>
      </x:c>
    </x:row>
    <x:row r="473">
      <x:c r="A473" t="n">
        <x:v>472</x:v>
      </x:c>
      <x:c r="B473" t="str">
        <x:v>Fighting / Rares</x:v>
      </x:c>
      <x:c r="C473" t="str">
        <x:v>Terrakion</x:v>
      </x:c>
      <x:c r="D473" t="str">
        <x:v>63/98</x:v>
      </x:c>
      <x:c r="E473" t="str">
        <x:v>Emerging Powers</x:v>
      </x:c>
      <x:c r="F473" t="n">
        <x:v>2011</x:v>
      </x:c>
      <x:c r="G473" t="str">
        <x:v>Holofoil Rare</x:v>
      </x:c>
      <x:c r="H473" t="str">
        <x:v>4 of 4</x:v>
      </x:c>
      <x:c r="I473" t="n">
        <x:v>1.5</x:v>
      </x:c>
      <x:c r="J473" t="n">
        <x:v>2.25</x:v>
      </x:c>
      <x:c r="K473" t="n">
        <x:v>1.875</x:v>
      </x:c>
      <x:c r="L473" t="str">
        <x:v>$1–5</x:v>
      </x:c>
      <x:c r="M473" t="str">
        <x:v>Yes</x:v>
      </x:c>
      <x:c r="N473" t="str">
        <x:v>No</x:v>
      </x:c>
      <x:c r="O473" t="str">
        <x:v>Yes</x:v>
      </x:c>
      <x:c r="P473" t="str">
        <x:v>Clean/NM benchmark unless noted</x:v>
      </x:c>
      <x:c r="Q473" t="n">
        <x:v>1.5</x:v>
      </x:c>
      <x:c r="R473" t="n">
        <x:v>2.25</x:v>
      </x:c>
      <x:c r="S473" t="n">
        <x:v>1.875</x:v>
      </x:c>
      <x:c r="T473" t="str">
        <x:v>Emerging Powers Terrakion 63/98 standard holo rare. TCGplayer market about $1.75–1.80. Reverse holo is a separate printing with similar current raw value.</x:v>
      </x:c>
      <x:c r="U473" t="n">
        <x:v>942</x:v>
      </x:c>
      <x:c r="V473" t="str">
        <x:v>Current chat continuation / researched 2026-08-15</x:v>
      </x:c>
      <x:c r="W473" t="str">
        <x:v>https://www.tcgplayer.com/search/pokemon/product?q=Terrakion+Emerging+Powers+63</x:v>
      </x:c>
    </x:row>
    <x:row r="474">
      <x:c r="A474" t="n">
        <x:v>473</x:v>
      </x:c>
      <x:c r="B474" t="str">
        <x:v>Fighting / Rares</x:v>
      </x:c>
      <x:c r="C474" t="str">
        <x:v>Krookodile</x:v>
      </x:c>
      <x:c r="D474" t="str">
        <x:v>65/114</x:v>
      </x:c>
      <x:c r="E474" t="str">
        <x:v>Black &amp; White</x:v>
      </x:c>
      <x:c r="F474" t="n">
        <x:v>2011</x:v>
      </x:c>
      <x:c r="G474" t="str">
        <x:v>Holofoil Rare</x:v>
      </x:c>
      <x:c r="H474" t="str">
        <x:v>1 of 1</x:v>
      </x:c>
      <x:c r="I474" t="n">
        <x:v>2.2</x:v>
      </x:c>
      <x:c r="J474" t="n">
        <x:v>3.2</x:v>
      </x:c>
      <x:c r="K474" t="n">
        <x:v>2.7</x:v>
      </x:c>
      <x:c r="L474" t="str">
        <x:v>$1–5</x:v>
      </x:c>
      <x:c r="M474" t="str">
        <x:v>Yes</x:v>
      </x:c>
      <x:c r="N474" t="str">
        <x:v>No</x:v>
      </x:c>
      <x:c r="O474" t="str">
        <x:v>Yes</x:v>
      </x:c>
      <x:c r="P474" t="str">
        <x:v>Clean/NM benchmark unless noted</x:v>
      </x:c>
      <x:c r="Q474" t="n">
        <x:v>2.2</x:v>
      </x:c>
      <x:c r="R474" t="n">
        <x:v>3.2</x:v>
      </x:c>
      <x:c r="S474" t="n">
        <x:v>2.7</x:v>
      </x:c>
      <x:c r="T474" t="str">
        <x:v>Black &amp; White Krookodile 65/114 standard holo rare. Current TCGplayer market about $2.64; reverse holo is a separate printing.</x:v>
      </x:c>
      <x:c r="U474" t="n">
        <x:v>943</x:v>
      </x:c>
      <x:c r="V474" t="str">
        <x:v>Current chat continuation / researched 2026-08-15</x:v>
      </x:c>
      <x:c r="W474" t="str">
        <x:v>https://www.tcgplayer.com/search/pokemon/product?page=1&amp;productLineName=pokemon&amp;productName=Krookodile&amp;view=grid</x:v>
      </x:c>
    </x:row>
    <x:row r="475">
      <x:c r="A475" t="n">
        <x:v>474</x:v>
      </x:c>
      <x:c r="B475" t="str">
        <x:v>Fighting / Rares</x:v>
      </x:c>
      <x:c r="C475" t="str">
        <x:v>Krookodile</x:v>
      </x:c>
      <x:c r="D475" t="str">
        <x:v>62/98</x:v>
      </x:c>
      <x:c r="E475" t="str">
        <x:v>Emerging Powers</x:v>
      </x:c>
      <x:c r="F475" t="n">
        <x:v>2011</x:v>
      </x:c>
      <x:c r="G475" t="str">
        <x:v>Reverse Holo</x:v>
      </x:c>
      <x:c r="H475" t="str">
        <x:v>1 of 1</x:v>
      </x:c>
      <x:c r="I475" t="n">
        <x:v>3</x:v>
      </x:c>
      <x:c r="J475" t="n">
        <x:v>6</x:v>
      </x:c>
      <x:c r="K475" t="n">
        <x:v>4.5</x:v>
      </x:c>
      <x:c r="L475" t="str">
        <x:v>$1–5</x:v>
      </x:c>
      <x:c r="M475" t="str">
        <x:v>Yes</x:v>
      </x:c>
      <x:c r="N475" t="str">
        <x:v>No</x:v>
      </x:c>
      <x:c r="O475" t="str">
        <x:v>Yes</x:v>
      </x:c>
      <x:c r="P475" t="str">
        <x:v>Clean/NM benchmark unless noted</x:v>
      </x:c>
      <x:c r="Q475" t="n">
        <x:v>3</x:v>
      </x:c>
      <x:c r="R475" t="n">
        <x:v>6</x:v>
      </x:c>
      <x:c r="S475" t="n">
        <x:v>4.5</x:v>
      </x:c>
      <x:c r="T475" t="str">
        <x:v>Emerging Powers Krookodile 62/98 reverse holo. PriceCharting current ungraded value about $4.26; recent 2026 NM sales commonly range roughly $3–6.</x:v>
      </x:c>
      <x:c r="U475" t="n">
        <x:v>943</x:v>
      </x:c>
      <x:c r="V475" t="str">
        <x:v>Current chat continuation / researched 2026-08-15</x:v>
      </x:c>
      <x:c r="W475" t="str">
        <x:v>https://www.pricecharting.com/game/pokemon-emerging-powers/krookodile-reverse-holo-62</x:v>
      </x:c>
    </x:row>
    <x:row r="476">
      <x:c r="A476" t="n">
        <x:v>475</x:v>
      </x:c>
      <x:c r="B476" t="str">
        <x:v>Fighting / Rares</x:v>
      </x:c>
      <x:c r="C476" t="str">
        <x:v>Machamp</x:v>
      </x:c>
      <x:c r="D476" t="str">
        <x:v>49/101</x:v>
      </x:c>
      <x:c r="E476" t="str">
        <x:v>Plasma Blast</x:v>
      </x:c>
      <x:c r="F476" t="n">
        <x:v>2013</x:v>
      </x:c>
      <x:c r="G476" t="str">
        <x:v>Holofoil Rare</x:v>
      </x:c>
      <x:c r="H476" t="str">
        <x:v>1 of 1</x:v>
      </x:c>
      <x:c r="I476" t="n">
        <x:v>3</x:v>
      </x:c>
      <x:c r="J476" t="n">
        <x:v>4.5</x:v>
      </x:c>
      <x:c r="K476" t="n">
        <x:v>3.75</x:v>
      </x:c>
      <x:c r="L476" t="str">
        <x:v>$1–5</x:v>
      </x:c>
      <x:c r="M476" t="str">
        <x:v>Yes</x:v>
      </x:c>
      <x:c r="N476" t="str">
        <x:v>No</x:v>
      </x:c>
      <x:c r="O476" t="str">
        <x:v>Yes</x:v>
      </x:c>
      <x:c r="P476" t="str">
        <x:v>Clean/NM benchmark unless noted</x:v>
      </x:c>
      <x:c r="Q476" t="n">
        <x:v>3</x:v>
      </x:c>
      <x:c r="R476" t="n">
        <x:v>4.5</x:v>
      </x:c>
      <x:c r="S476" t="n">
        <x:v>3.75</x:v>
      </x:c>
      <x:c r="T476" t="str">
        <x:v>Plasma Blast Machamp 49/101 standard holo rare. Current TCGplayer market about $3.66. Cosmos holo blister-exclusive is a separate printing worth more.</x:v>
      </x:c>
      <x:c r="U476" t="n">
        <x:v>944</x:v>
      </x:c>
      <x:c r="V476" t="str">
        <x:v>Current chat continuation / researched 2026-08-15</x:v>
      </x:c>
      <x:c r="W476" t="str">
        <x:v>https://www.tcgplayer.com/search/pokemon/product?q=Machamp+Plasma+Blast</x:v>
      </x:c>
    </x:row>
    <x:row r="477">
      <x:c r="A477" t="n">
        <x:v>476</x:v>
      </x:c>
      <x:c r="B477" t="str">
        <x:v>Fighting / Rares</x:v>
      </x:c>
      <x:c r="C477" t="str">
        <x:v>Lucario</x:v>
      </x:c>
      <x:c r="D477" t="str">
        <x:v>80/113</x:v>
      </x:c>
      <x:c r="E477" t="str">
        <x:v>Legendary Treasures</x:v>
      </x:c>
      <x:c r="F477" t="n">
        <x:v>2013</x:v>
      </x:c>
      <x:c r="G477" t="str">
        <x:v>Holofoil Rare</x:v>
      </x:c>
      <x:c r="H477" t="str">
        <x:v>1 of 1</x:v>
      </x:c>
      <x:c r="I477" t="n">
        <x:v>15</x:v>
      </x:c>
      <x:c r="J477" t="n">
        <x:v>22</x:v>
      </x:c>
      <x:c r="K477" t="n">
        <x:v>18.5</x:v>
      </x:c>
      <x:c r="L477" t="str">
        <x:v>$5–20</x:v>
      </x:c>
      <x:c r="M477" t="str">
        <x:v>Yes</x:v>
      </x:c>
      <x:c r="N477" t="str">
        <x:v>Yes</x:v>
      </x:c>
      <x:c r="O477" t="str">
        <x:v>Yes</x:v>
      </x:c>
      <x:c r="P477" t="str">
        <x:v>Clean/NM benchmark unless noted</x:v>
      </x:c>
      <x:c r="Q477" t="n">
        <x:v>15</x:v>
      </x:c>
      <x:c r="R477" t="n">
        <x:v>22</x:v>
      </x:c>
      <x:c r="S477" t="n">
        <x:v>18.5</x:v>
      </x:c>
      <x:c r="T477" t="str">
        <x:v>Legendary Treasures Lucario 80/113 standard holo rare. Current TCGplayer market about $18.13. Reverse holo and Cosmos holo promo are separate, more valuable variants.</x:v>
      </x:c>
      <x:c r="U477" t="n">
        <x:v>944</x:v>
      </x:c>
      <x:c r="V477" t="str">
        <x:v>Current chat continuation / researched 2026-08-15</x:v>
      </x:c>
      <x:c r="W477" t="str">
        <x:v>https://www.tcgplayer.com/search/pokemon/legendary-treasures?page=4&amp;productLineName=pokemon&amp;productTypeName=Cards&amp;setName=legendary-treasures&amp;view=grid</x:v>
      </x:c>
    </x:row>
    <x:row r="478">
      <x:c r="A478" t="n">
        <x:v>477</x:v>
      </x:c>
      <x:c r="B478" t="str">
        <x:v>Fighting / Rares</x:v>
      </x:c>
      <x:c r="C478" t="str">
        <x:v>Kabutops</x:v>
      </x:c>
      <x:c r="D478" t="str">
        <x:v>6/100</x:v>
      </x:c>
      <x:c r="E478" t="str">
        <x:v>Majestic Dawn</x:v>
      </x:c>
      <x:c r="F478" t="n">
        <x:v>2008</x:v>
      </x:c>
      <x:c r="G478" t="str">
        <x:v>Reverse Holo</x:v>
      </x:c>
      <x:c r="H478" t="str">
        <x:v>1 of 1</x:v>
      </x:c>
      <x:c r="I478" t="n">
        <x:v>13</x:v>
      </x:c>
      <x:c r="J478" t="n">
        <x:v>19</x:v>
      </x:c>
      <x:c r="K478" t="n">
        <x:v>16</x:v>
      </x:c>
      <x:c r="L478" t="str">
        <x:v>$5–20</x:v>
      </x:c>
      <x:c r="M478" t="str">
        <x:v>Yes</x:v>
      </x:c>
      <x:c r="N478" t="str">
        <x:v>Yes</x:v>
      </x:c>
      <x:c r="O478" t="str">
        <x:v>Yes</x:v>
      </x:c>
      <x:c r="P478" t="str">
        <x:v>Clean/NM benchmark unless noted</x:v>
      </x:c>
      <x:c r="Q478" t="n">
        <x:v>13</x:v>
      </x:c>
      <x:c r="R478" t="n">
        <x:v>19</x:v>
      </x:c>
      <x:c r="S478" t="n">
        <x:v>16</x:v>
      </x:c>
      <x:c r="T478" t="str">
        <x:v>Majestic Dawn Kabutops 6/100 reverse holo. TCGplayer NM reverse-holo price guide about $17.77; recent raw/NM sales commonly around $10–15+, so working clean/NM range $13–19.</x:v>
      </x:c>
      <x:c r="U478" t="n">
        <x:v>945</x:v>
      </x:c>
      <x:c r="V478" t="str">
        <x:v>Current chat continuation / researched 2026-08-15</x:v>
      </x:c>
      <x:c r="W478" t="str">
        <x:v>https://www.tcgplayer.com/categories/trading-and-collectible-card-games/pokemon/price-guides/majestic-dawn</x:v>
      </x:c>
    </x:row>
    <x:row r="479">
      <x:c r="A479" t="n">
        <x:v>478</x:v>
      </x:c>
      <x:c r="B479" t="str">
        <x:v>Fighting / Rares</x:v>
      </x:c>
      <x:c r="C479" t="str">
        <x:v>Dark Pupitar</x:v>
      </x:c>
      <x:c r="D479" t="str">
        <x:v>38/105</x:v>
      </x:c>
      <x:c r="E479" t="str">
        <x:v>Neo Destiny</x:v>
      </x:c>
      <x:c r="F479" t="n">
        <x:v>2002</x:v>
      </x:c>
      <x:c r="G479" t="str">
        <x:v>Regular (Unlimited assumed)</x:v>
      </x:c>
      <x:c r="H479" t="str">
        <x:v>1 of 1</x:v>
      </x:c>
      <x:c r="I479" t="n">
        <x:v>3</x:v>
      </x:c>
      <x:c r="J479" t="n">
        <x:v>6</x:v>
      </x:c>
      <x:c r="K479" t="n">
        <x:v>4.5</x:v>
      </x:c>
      <x:c r="L479" t="str">
        <x:v>$1–5</x:v>
      </x:c>
      <x:c r="M479" t="str">
        <x:v>Yes</x:v>
      </x:c>
      <x:c r="N479" t="str">
        <x:v>No</x:v>
      </x:c>
      <x:c r="O479" t="str">
        <x:v>Yes</x:v>
      </x:c>
      <x:c r="P479" t="str">
        <x:v>Clean/NM benchmark unless noted</x:v>
      </x:c>
      <x:c r="Q479" t="n">
        <x:v>3</x:v>
      </x:c>
      <x:c r="R479" t="n">
        <x:v>6</x:v>
      </x:c>
      <x:c r="S479" t="n">
        <x:v>4.5</x:v>
      </x:c>
      <x:c r="T479" t="str">
        <x:v>Neo Destiny Dark Pupitar 38/105, Fighting type, Unlimited assumed. PriceCharting ungraded about $4.00; recent NM TCGplayer sales commonly around $3–6. Reprice if 1st Edition.</x:v>
      </x:c>
      <x:c r="U479" t="n">
        <x:v>945</x:v>
      </x:c>
      <x:c r="V479" t="str">
        <x:v>Current chat continuation / researched 2026-08-15</x:v>
      </x:c>
      <x:c r="W479" t="str">
        <x:v>https://www.pricecharting.com/game/pokemon-neo-destiny/dark-pupitar-38</x:v>
      </x:c>
    </x:row>
    <x:row r="480">
      <x:c r="A480" t="n">
        <x:v>479</x:v>
      </x:c>
      <x:c r="B480" t="str">
        <x:v>Fighting / Rares</x:v>
      </x:c>
      <x:c r="C480" t="str">
        <x:v>Dugtrio</x:v>
      </x:c>
      <x:c r="D480" t="str">
        <x:v>24/127</x:v>
      </x:c>
      <x:c r="E480" t="str">
        <x:v>Platinum</x:v>
      </x:c>
      <x:c r="F480" t="n">
        <x:v>2009</x:v>
      </x:c>
      <x:c r="G480" t="str">
        <x:v>Regular Rare (LV.50)</x:v>
      </x:c>
      <x:c r="H480" t="str">
        <x:v>1 of 1</x:v>
      </x:c>
      <x:c r="I480" t="n">
        <x:v>0.5</x:v>
      </x:c>
      <x:c r="J480" t="n">
        <x:v>1</x:v>
      </x:c>
      <x:c r="K480" t="n">
        <x:v>0.75</x:v>
      </x:c>
      <x:c r="L480" t="str">
        <x:v>&lt;$1</x:v>
      </x:c>
      <x:c r="M480" t="str">
        <x:v>Yes</x:v>
      </x:c>
      <x:c r="N480" t="str">
        <x:v>No</x:v>
      </x:c>
      <x:c r="O480" t="str">
        <x:v>No</x:v>
      </x:c>
      <x:c r="P480" t="str">
        <x:v>Clean/NM benchmark unless noted</x:v>
      </x:c>
      <x:c r="Q480" t="n">
        <x:v>0.5</x:v>
      </x:c>
      <x:c r="R480" t="n">
        <x:v>1</x:v>
      </x:c>
      <x:c r="S480" t="n">
        <x:v>0.75</x:v>
      </x:c>
      <x:c r="T480" t="str">
        <x:v>Platinum Dugtrio LV.50 24/127 regular rare. TCGplayer current market about $0.70. Reverse holo is a separate printing worth about $3.30 NM.</x:v>
      </x:c>
      <x:c r="U480" t="n">
        <x:v>945</x:v>
      </x:c>
      <x:c r="V480" t="str">
        <x:v>Current chat continuation / researched 2026-08-15</x:v>
      </x:c>
      <x:c r="W480" t="str">
        <x:v>https://www.tcgplayer.com/categories/trading-and-collectible-card-games/pokemon/price-guides/platinum</x:v>
      </x:c>
    </x:row>
    <x:row r="481">
      <x:c r="A481" t="n">
        <x:v>480</x:v>
      </x:c>
      <x:c r="B481" t="str">
        <x:v>Fighting / Rares</x:v>
      </x:c>
      <x:c r="C481" t="str">
        <x:v>Aerodactyl</x:v>
      </x:c>
      <x:c r="D481" t="str">
        <x:v>16/62</x:v>
      </x:c>
      <x:c r="E481" t="str">
        <x:v>Fossil</x:v>
      </x:c>
      <x:c r="F481" t="n">
        <x:v>1999</x:v>
      </x:c>
      <x:c r="G481" t="str">
        <x:v>Regular Rare (Unlimited assumed)</x:v>
      </x:c>
      <x:c r="H481" t="str">
        <x:v>1 of 1</x:v>
      </x:c>
      <x:c r="I481" t="n">
        <x:v>5</x:v>
      </x:c>
      <x:c r="J481" t="n">
        <x:v>8.5</x:v>
      </x:c>
      <x:c r="K481" t="n">
        <x:v>6.75</x:v>
      </x:c>
      <x:c r="L481" t="str">
        <x:v>$5–20</x:v>
      </x:c>
      <x:c r="M481" t="str">
        <x:v>Yes</x:v>
      </x:c>
      <x:c r="N481" t="str">
        <x:v>No</x:v>
      </x:c>
      <x:c r="O481" t="str">
        <x:v>Yes</x:v>
      </x:c>
      <x:c r="P481" t="str">
        <x:v>Clean/NM benchmark unless noted</x:v>
      </x:c>
      <x:c r="Q481" t="n">
        <x:v>5</x:v>
      </x:c>
      <x:c r="R481" t="n">
        <x:v>8.5</x:v>
      </x:c>
      <x:c r="S481" t="n">
        <x:v>6.75</x:v>
      </x:c>
      <x:c r="T481" t="str">
        <x:v>Fossil Aerodactyl 16/62 non-holo rare, Unlimited assumed. TCGplayer Fossil NM guide about $6.55 and PriceCharting ungraded about $5.87; working clean/NM range $5–8.50. Reprice if 1st Edition.</x:v>
      </x:c>
      <x:c r="U481" t="n">
        <x:v>946</x:v>
      </x:c>
      <x:c r="V481" t="str">
        <x:v>Current chat continuation / researched 2026-08-15</x:v>
      </x:c>
      <x:c r="W481" t="str">
        <x:v>https://www.tcgplayer.com/categories/trading-and-collectible-card-games/pokemon/price-guides/fossil</x:v>
      </x:c>
    </x:row>
    <x:row r="482">
      <x:c r="A482" t="n">
        <x:v>481</x:v>
      </x:c>
      <x:c r="B482" t="str">
        <x:v>Fighting / Rares</x:v>
      </x:c>
      <x:c r="C482" t="str">
        <x:v>Dark Machamp</x:v>
      </x:c>
      <x:c r="D482" t="str">
        <x:v>27/82</x:v>
      </x:c>
      <x:c r="E482" t="str">
        <x:v>Team Rocket</x:v>
      </x:c>
      <x:c r="F482" t="n">
        <x:v>2000</x:v>
      </x:c>
      <x:c r="G482" t="str">
        <x:v>Regular Rare (Unlimited assumed)</x:v>
      </x:c>
      <x:c r="H482" t="str">
        <x:v>1 of 1</x:v>
      </x:c>
      <x:c r="I482" t="n">
        <x:v>5</x:v>
      </x:c>
      <x:c r="J482" t="n">
        <x:v>9</x:v>
      </x:c>
      <x:c r="K482" t="n">
        <x:v>7</x:v>
      </x:c>
      <x:c r="L482" t="str">
        <x:v>$5–20</x:v>
      </x:c>
      <x:c r="M482" t="str">
        <x:v>Yes</x:v>
      </x:c>
      <x:c r="N482" t="str">
        <x:v>No</x:v>
      </x:c>
      <x:c r="O482" t="str">
        <x:v>Yes</x:v>
      </x:c>
      <x:c r="P482" t="str">
        <x:v>Clean/NM benchmark unless noted</x:v>
      </x:c>
      <x:c r="Q482" t="n">
        <x:v>5</x:v>
      </x:c>
      <x:c r="R482" t="n">
        <x:v>9</x:v>
      </x:c>
      <x:c r="S482" t="n">
        <x:v>7</x:v>
      </x:c>
      <x:c r="T482" t="str">
        <x:v>Team Rocket Dark Machamp 27/82 non-holo rare, Unlimited assumed. TCGplayer marketplace headline market is currently much higher, but PriceCharting recent ungraded sales are around $5.50 and NM listings begin around $8.49; working range $5–9. Reprice if 1st Edition.</x:v>
      </x:c>
      <x:c r="U482" t="n">
        <x:v>946</x:v>
      </x:c>
      <x:c r="V482" t="str">
        <x:v>Current chat continuation / researched 2026-08-15</x:v>
      </x:c>
      <x:c r="W482" t="str">
        <x:v>https://www.pricecharting.com/game/pokemon-team-rocket/dark-machamp-27</x:v>
      </x:c>
    </x:row>
    <x:row r="483">
      <x:c r="A483" t="n">
        <x:v>482</x:v>
      </x:c>
      <x:c r="B483" t="str">
        <x:v>Fighting / Rares</x:v>
      </x:c>
      <x:c r="C483" t="str">
        <x:v>Cacturne δ</x:v>
      </x:c>
      <x:c r="D483" t="str">
        <x:v>15/100</x:v>
      </x:c>
      <x:c r="E483" t="str">
        <x:v>EX Crystal Guardians</x:v>
      </x:c>
      <x:c r="F483" t="n">
        <x:v>2006</x:v>
      </x:c>
      <x:c r="G483" t="str">
        <x:v>Stamped Reverse Holo (Delta Species — Fighting type)</x:v>
      </x:c>
      <x:c r="H483" t="str">
        <x:v>1 of 1</x:v>
      </x:c>
      <x:c r="I483" t="n">
        <x:v>20</x:v>
      </x:c>
      <x:c r="J483" t="n">
        <x:v>29</x:v>
      </x:c>
      <x:c r="K483" t="n">
        <x:v>24.5</x:v>
      </x:c>
      <x:c r="L483" t="str">
        <x:v>$20+</x:v>
      </x:c>
      <x:c r="M483" t="str">
        <x:v>Yes</x:v>
      </x:c>
      <x:c r="N483" t="str">
        <x:v>Yes</x:v>
      </x:c>
      <x:c r="O483" t="str">
        <x:v>Yes</x:v>
      </x:c>
      <x:c r="P483" t="str">
        <x:v>Clean/NM benchmark unless noted</x:v>
      </x:c>
      <x:c r="Q483" t="n">
        <x:v>20</x:v>
      </x:c>
      <x:c r="R483" t="n">
        <x:v>29</x:v>
      </x:c>
      <x:c r="S483" t="n">
        <x:v>24.5</x:v>
      </x:c>
      <x:c r="T483" t="str">
        <x:v>EX Crystal Guardians Cacturne δ 15/100 stamped reverse holo; Fighting-type Delta Species. User identified the Crystal Guardians logo stamp. TCGplayer NM reverse-holo market about $24.43.</x:v>
      </x:c>
      <x:c r="U483" t="n">
        <x:v>946</x:v>
      </x:c>
      <x:c r="V483" t="str">
        <x:v>Current chat continuation / researched 2026-08-15</x:v>
      </x:c>
      <x:c r="W483" t="str">
        <x:v>https://www.tcgplayer.com/categories/trading-and-collectible-card-games/pokemon/price-guides/crystal-guardians</x:v>
      </x:c>
    </x:row>
    <x:row r="484">
      <x:c r="A484" t="n">
        <x:v>483</x:v>
      </x:c>
      <x:c r="B484" t="str">
        <x:v>Fighting / Rares</x:v>
      </x:c>
      <x:c r="C484" t="str">
        <x:v>Crustle</x:v>
      </x:c>
      <x:c r="D484" t="str">
        <x:v>85/149</x:v>
      </x:c>
      <x:c r="E484" t="str">
        <x:v>Boundaries Crossed</x:v>
      </x:c>
      <x:c r="F484" t="n">
        <x:v>2012</x:v>
      </x:c>
      <x:c r="G484" t="str">
        <x:v>Holofoil Rare</x:v>
      </x:c>
      <x:c r="H484" t="str">
        <x:v>1 of 1</x:v>
      </x:c>
      <x:c r="I484" t="n">
        <x:v>2.5</x:v>
      </x:c>
      <x:c r="J484" t="n">
        <x:v>4.5</x:v>
      </x:c>
      <x:c r="K484" t="n">
        <x:v>3.5</x:v>
      </x:c>
      <x:c r="L484" t="str">
        <x:v>$1–5</x:v>
      </x:c>
      <x:c r="M484" t="str">
        <x:v>Yes</x:v>
      </x:c>
      <x:c r="N484" t="str">
        <x:v>No</x:v>
      </x:c>
      <x:c r="O484" t="str">
        <x:v>Yes</x:v>
      </x:c>
      <x:c r="P484" t="str">
        <x:v>Clean/NM benchmark unless noted</x:v>
      </x:c>
      <x:c r="Q484" t="n">
        <x:v>2.5</x:v>
      </x:c>
      <x:c r="R484" t="n">
        <x:v>4.5</x:v>
      </x:c>
      <x:c r="S484" t="n">
        <x:v>3.5</x:v>
      </x:c>
      <x:c r="T484" t="str">
        <x:v>Boundaries Crossed Crustle 85/149 standard holo rare. Current TCGplayer market about $3.64; recent sold comps commonly around $2.75–3.80.</x:v>
      </x:c>
      <x:c r="U484" t="n">
        <x:v>947</x:v>
      </x:c>
      <x:c r="V484" t="str">
        <x:v>Current chat continuation / researched 2026-08-15</x:v>
      </x:c>
      <x:c r="W484" t="str">
        <x:v>https://www.tcgplayer.com/search/pokemon/product?productLineName=pokemon&amp;q=Crustle&amp;view=grid</x:v>
      </x:c>
    </x:row>
    <x:row r="485">
      <x:c r="A485" t="n">
        <x:v>484</x:v>
      </x:c>
      <x:c r="B485" t="str">
        <x:v>Fighting / Rares</x:v>
      </x:c>
      <x:c r="C485" t="str">
        <x:v>Crustle</x:v>
      </x:c>
      <x:c r="D485" t="str">
        <x:v>85/149</x:v>
      </x:c>
      <x:c r="E485" t="str">
        <x:v>Boundaries Crossed</x:v>
      </x:c>
      <x:c r="F485" t="n">
        <x:v>2012</x:v>
      </x:c>
      <x:c r="G485" t="str">
        <x:v>Reverse Holo</x:v>
      </x:c>
      <x:c r="H485" t="str">
        <x:v>1 of 1</x:v>
      </x:c>
      <x:c r="I485" t="n">
        <x:v>3.5</x:v>
      </x:c>
      <x:c r="J485" t="n">
        <x:v>5.5</x:v>
      </x:c>
      <x:c r="K485" t="n">
        <x:v>4.5</x:v>
      </x:c>
      <x:c r="L485" t="str">
        <x:v>$1–5</x:v>
      </x:c>
      <x:c r="M485" t="str">
        <x:v>Yes</x:v>
      </x:c>
      <x:c r="N485" t="str">
        <x:v>No</x:v>
      </x:c>
      <x:c r="O485" t="str">
        <x:v>Yes</x:v>
      </x:c>
      <x:c r="P485" t="str">
        <x:v>Clean/NM benchmark unless noted</x:v>
      </x:c>
      <x:c r="Q485" t="n">
        <x:v>3.5</x:v>
      </x:c>
      <x:c r="R485" t="n">
        <x:v>5.5</x:v>
      </x:c>
      <x:c r="S485" t="n">
        <x:v>4.5</x:v>
      </x:c>
      <x:c r="T485" t="str">
        <x:v>Boundaries Crossed Crustle 85/149 reverse holo. PriceCharting ungraded about $5.00; recent 2026 NM TCGplayer sales around $4.74–5.37.</x:v>
      </x:c>
      <x:c r="U485" t="n">
        <x:v>947</x:v>
      </x:c>
      <x:c r="V485" t="str">
        <x:v>Current chat continuation / researched 2026-08-15</x:v>
      </x:c>
      <x:c r="W485" t="str">
        <x:v>https://www.pricecharting.com/game/pokemon-boundaries-crossed/crustle-reverse-holo-85</x:v>
      </x:c>
    </x:row>
    <x:row r="486">
      <x:c r="A486" t="n">
        <x:v>485</x:v>
      </x:c>
      <x:c r="B486" t="str">
        <x:v>Fighting / Rares</x:v>
      </x:c>
      <x:c r="C486" t="str">
        <x:v>Marowak</x:v>
      </x:c>
      <x:c r="D486" t="str">
        <x:v>61/124</x:v>
      </x:c>
      <x:c r="E486" t="str">
        <x:v>Dragons Exalted</x:v>
      </x:c>
      <x:c r="F486" t="n">
        <x:v>2012</x:v>
      </x:c>
      <x:c r="G486" t="str">
        <x:v>Reverse Holo</x:v>
      </x:c>
      <x:c r="H486" t="str">
        <x:v>1 of 1</x:v>
      </x:c>
      <x:c r="I486" t="n">
        <x:v>1.5</x:v>
      </x:c>
      <x:c r="J486" t="n">
        <x:v>4</x:v>
      </x:c>
      <x:c r="K486" t="n">
        <x:v>2.75</x:v>
      </x:c>
      <x:c r="L486" t="str">
        <x:v>$1–5</x:v>
      </x:c>
      <x:c r="M486" t="str">
        <x:v>Yes</x:v>
      </x:c>
      <x:c r="N486" t="str">
        <x:v>No</x:v>
      </x:c>
      <x:c r="O486" t="str">
        <x:v>Yes</x:v>
      </x:c>
      <x:c r="P486" t="str">
        <x:v>Clean/NM benchmark unless noted</x:v>
      </x:c>
      <x:c r="Q486" t="n">
        <x:v>1.5</x:v>
      </x:c>
      <x:c r="R486" t="n">
        <x:v>4</x:v>
      </x:c>
      <x:c r="S486" t="n">
        <x:v>2.75</x:v>
      </x:c>
      <x:c r="T486" t="str">
        <x:v>Dragons Exalted Marowak 61/124 reverse holo. TCGplayer comparison about $2.13 and PriceCharting ungraded about $2.65; recent sales vary.</x:v>
      </x:c>
      <x:c r="U486" t="n">
        <x:v>947</x:v>
      </x:c>
      <x:c r="V486" t="str">
        <x:v>Current chat continuation / researched 2026-08-15</x:v>
      </x:c>
      <x:c r="W486" t="str">
        <x:v>https://www.pricecharting.com/game/pokemon-dragons-exalted/marowak-reverse-holo-61</x:v>
      </x:c>
    </x:row>
    <x:row r="487">
      <x:c r="A487" t="n">
        <x:v>486</x:v>
      </x:c>
      <x:c r="B487" t="str">
        <x:v>Fighting / Rares</x:v>
      </x:c>
      <x:c r="C487" t="str">
        <x:v>Claydol</x:v>
      </x:c>
      <x:c r="D487" t="str">
        <x:v>64/124</x:v>
      </x:c>
      <x:c r="E487" t="str">
        <x:v>Dragons Exalted</x:v>
      </x:c>
      <x:c r="F487" t="n">
        <x:v>2012</x:v>
      </x:c>
      <x:c r="G487" t="str">
        <x:v>Reverse Holo</x:v>
      </x:c>
      <x:c r="H487" t="str">
        <x:v>1 of 1</x:v>
      </x:c>
      <x:c r="I487" t="n">
        <x:v>0.7</x:v>
      </x:c>
      <x:c r="J487" t="n">
        <x:v>1.5</x:v>
      </x:c>
      <x:c r="K487" t="n">
        <x:v>1.1</x:v>
      </x:c>
      <x:c r="L487" t="str">
        <x:v>$1–5</x:v>
      </x:c>
      <x:c r="M487" t="str">
        <x:v>Yes</x:v>
      </x:c>
      <x:c r="N487" t="str">
        <x:v>No</x:v>
      </x:c>
      <x:c r="O487" t="str">
        <x:v>Yes</x:v>
      </x:c>
      <x:c r="P487" t="str">
        <x:v>Clean/NM benchmark unless noted</x:v>
      </x:c>
      <x:c r="Q487" t="n">
        <x:v>0.7</x:v>
      </x:c>
      <x:c r="R487" t="n">
        <x:v>1.5</x:v>
      </x:c>
      <x:c r="S487" t="n">
        <x:v>1.1</x:v>
      </x:c>
      <x:c r="T487" t="str">
        <x:v>Dragons Exalted Claydol 64/124 reverse holo. TCGplayer NM guide about $0.85; broader ungraded tracking about $1.14, so kept on the about-$1 separator.</x:v>
      </x:c>
      <x:c r="U487" t="n">
        <x:v>947</x:v>
      </x:c>
      <x:c r="V487" t="str">
        <x:v>Current chat continuation / researched 2026-08-15</x:v>
      </x:c>
      <x:c r="W487" t="str">
        <x:v>https://www.pricecharting.com/game/pokemon-dragons-exalted/claydol-reverse-holo-64</x:v>
      </x:c>
    </x:row>
    <x:row r="488">
      <x:c r="A488" t="n">
        <x:v>487</x:v>
      </x:c>
      <x:c r="B488" t="str">
        <x:v>Fighting / Rares</x:v>
      </x:c>
      <x:c r="C488" t="str">
        <x:v>Gliscor LV.X</x:v>
      </x:c>
      <x:c r="D488" t="str">
        <x:v>141/146</x:v>
      </x:c>
      <x:c r="E488" t="str">
        <x:v>Legends Awakened</x:v>
      </x:c>
      <x:c r="F488" t="n">
        <x:v>2008</x:v>
      </x:c>
      <x:c r="G488" t="str">
        <x:v>Holofoil Ultra Rare (LV.X)</x:v>
      </x:c>
      <x:c r="H488" t="str">
        <x:v>1 of 4</x:v>
      </x:c>
      <x:c r="I488" t="n">
        <x:v>80</x:v>
      </x:c>
      <x:c r="J488" t="n">
        <x:v>100</x:v>
      </x:c>
      <x:c r="K488" t="n">
        <x:v>90</x:v>
      </x:c>
      <x:c r="L488" t="str">
        <x:v>$20+</x:v>
      </x:c>
      <x:c r="M488" t="str">
        <x:v>Yes</x:v>
      </x:c>
      <x:c r="N488" t="str">
        <x:v>Yes</x:v>
      </x:c>
      <x:c r="O488" t="str">
        <x:v>Yes</x:v>
      </x:c>
      <x:c r="P488" t="str">
        <x:v>Played / likely MP; exact condition TBD</x:v>
      </x:c>
      <x:c r="Q488" t="n">
        <x:v>25</x:v>
      </x:c>
      <x:c r="R488" t="n">
        <x:v>40</x:v>
      </x:c>
      <x:c r="S488" t="n">
        <x:v>32.5</x:v>
      </x:c>
      <x:c r="T488"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488" t="n">
        <x:v>948</x:v>
      </x:c>
      <x:c r="V488" t="str">
        <x:v>Current chat continuation / researched 2026-08-15</x:v>
      </x:c>
      <x:c r="W488" t="str">
        <x:v>https://www.pricecharting.com/game/pokemon-legends-awakened/gliscor-lv-x-141</x:v>
      </x:c>
    </x:row>
    <x:row r="489">
      <x:c r="A489" t="n">
        <x:v>488</x:v>
      </x:c>
      <x:c r="B489" t="str">
        <x:v>Fighting / Rares</x:v>
      </x:c>
      <x:c r="C489" t="str">
        <x:v>Gliscor LV.X</x:v>
      </x:c>
      <x:c r="D489" t="str">
        <x:v>141/146</x:v>
      </x:c>
      <x:c r="E489" t="str">
        <x:v>Legends Awakened</x:v>
      </x:c>
      <x:c r="F489" t="n">
        <x:v>2008</x:v>
      </x:c>
      <x:c r="G489" t="str">
        <x:v>Holofoil Ultra Rare (LV.X)</x:v>
      </x:c>
      <x:c r="H489" t="str">
        <x:v>2 of 4</x:v>
      </x:c>
      <x:c r="I489" t="n">
        <x:v>80</x:v>
      </x:c>
      <x:c r="J489" t="n">
        <x:v>100</x:v>
      </x:c>
      <x:c r="K489" t="n">
        <x:v>90</x:v>
      </x:c>
      <x:c r="L489" t="str">
        <x:v>$20+</x:v>
      </x:c>
      <x:c r="M489" t="str">
        <x:v>Yes</x:v>
      </x:c>
      <x:c r="N489" t="str">
        <x:v>Yes</x:v>
      </x:c>
      <x:c r="O489" t="str">
        <x:v>Yes</x:v>
      </x:c>
      <x:c r="P489" t="str">
        <x:v>Played / likely MP; exact condition TBD</x:v>
      </x:c>
      <x:c r="Q489" t="n">
        <x:v>25</x:v>
      </x:c>
      <x:c r="R489" t="n">
        <x:v>40</x:v>
      </x:c>
      <x:c r="S489" t="n">
        <x:v>32.5</x:v>
      </x:c>
      <x:c r="T489"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489" t="n">
        <x:v>948</x:v>
      </x:c>
      <x:c r="V489" t="str">
        <x:v>Current chat continuation / researched 2026-08-15</x:v>
      </x:c>
      <x:c r="W489" t="str">
        <x:v>https://www.pricecharting.com/game/pokemon-legends-awakened/gliscor-lv-x-141</x:v>
      </x:c>
    </x:row>
    <x:row r="490">
      <x:c r="A490" t="n">
        <x:v>489</x:v>
      </x:c>
      <x:c r="B490" t="str">
        <x:v>Fighting / Rares</x:v>
      </x:c>
      <x:c r="C490" t="str">
        <x:v>Gliscor</x:v>
      </x:c>
      <x:c r="D490" t="str">
        <x:v>5/146</x:v>
      </x:c>
      <x:c r="E490" t="str">
        <x:v>Legends Awakened</x:v>
      </x:c>
      <x:c r="F490" t="n">
        <x:v>2008</x:v>
      </x:c>
      <x:c r="G490" t="str">
        <x:v>Holofoil Rare (LV.42)</x:v>
      </x:c>
      <x:c r="H490" t="str">
        <x:v>1 of 1</x:v>
      </x:c>
      <x:c r="I490" t="n">
        <x:v>10</x:v>
      </x:c>
      <x:c r="J490" t="n">
        <x:v>22</x:v>
      </x:c>
      <x:c r="K490" t="n">
        <x:v>16</x:v>
      </x:c>
      <x:c r="L490" t="str">
        <x:v>$5–20</x:v>
      </x:c>
      <x:c r="M490" t="str">
        <x:v>Yes</x:v>
      </x:c>
      <x:c r="N490" t="str">
        <x:v>Yes</x:v>
      </x:c>
      <x:c r="O490" t="str">
        <x:v>Yes</x:v>
      </x:c>
      <x:c r="P490" t="str">
        <x:v>Clean/NM benchmark unless noted</x:v>
      </x:c>
      <x:c r="Q490" t="n">
        <x:v>10</x:v>
      </x:c>
      <x:c r="R490" t="n">
        <x:v>22</x:v>
      </x:c>
      <x:c r="S490" t="n">
        <x:v>16</x:v>
      </x:c>
      <x:c r="T490" t="str">
        <x:v>Legends Awakened Gliscor LV.42 5/146 standard holo rare. TCGplayer current market about $23.42; recent 2026 NM sales range from roughly $9 to $25.48, with recent NM eBay sales around $9.24–14.99. Working clean/NM range $10–22.</x:v>
      </x:c>
      <x:c r="U490" t="n">
        <x:v>948</x:v>
      </x:c>
      <x:c r="V490" t="str">
        <x:v>Current chat continuation / researched 2026-08-15</x:v>
      </x:c>
      <x:c r="W490" t="str">
        <x:v>https://www.pricecharting.com/game/pokemon-legends-awakened/gliscor-holo-5</x:v>
      </x:c>
    </x:row>
    <x:row r="491">
      <x:c r="A491" t="n">
        <x:v>490</x:v>
      </x:c>
      <x:c r="B491" t="str">
        <x:v>Fighting / Rares</x:v>
      </x:c>
      <x:c r="C491" t="str">
        <x:v>Excadrill</x:v>
      </x:c>
      <x:c r="D491" t="str">
        <x:v>57/?</x:v>
      </x:c>
      <x:c r="E491" t="str">
        <x:v>Set unresolved</x:v>
      </x:c>
      <x:c r="F491"/>
      <x:c r="G491" t="str">
        <x:v>Reverse Holo</x:v>
      </x:c>
      <x:c r="H491" t="str">
        <x:v>1 of 2</x:v>
      </x:c>
      <x:c r="I491"/>
      <x:c r="J491"/>
      <x:c r="K491"/>
      <x:c r="L491" t="str">
        <x:v>Needs ID</x:v>
      </x:c>
      <x:c r="M491" t="str">
        <x:v>Yes</x:v>
      </x:c>
      <x:c r="N491" t="str">
        <x:v>No</x:v>
      </x:c>
      <x:c r="O491" t="str">
        <x:v>Yes</x:v>
      </x:c>
      <x:c r="P491" t="str">
        <x:v>Needs denominator/set confirmation</x:v>
      </x:c>
      <x:c r="Q491"/>
      <x:c r="R491"/>
      <x:c r="S491"/>
      <x:c r="T491" t="str">
        <x:v>Excadrill #57 reverse holo is ambiguous: 57/98 = Emerging Powers or 57/108 = Dark Explorers. Both reverse printings are currently around the $1–2 range; denominator needed before assigning exact set/value.</x:v>
      </x:c>
      <x:c r="U491" t="n">
        <x:v>949</x:v>
      </x:c>
      <x:c r="V491" t="str">
        <x:v>Current chat continuation / unresolved 2026-08-15</x:v>
      </x:c>
      <x:c r="W491" t="str">
        <x:v>https://www.tcgplayer.com/search/pokemon/product?Language=English&amp;page=1&amp;productLineName=pokemon&amp;productName=Excadrill+%2857%29&amp;view=grid</x:v>
      </x:c>
    </x:row>
    <x:row r="492">
      <x:c r="A492" t="n">
        <x:v>491</x:v>
      </x:c>
      <x:c r="B492" t="str">
        <x:v>Fighting / Rares</x:v>
      </x:c>
      <x:c r="C492" t="str">
        <x:v>Excadrill</x:v>
      </x:c>
      <x:c r="D492" t="str">
        <x:v>57/?</x:v>
      </x:c>
      <x:c r="E492" t="str">
        <x:v>Set unresolved</x:v>
      </x:c>
      <x:c r="F492"/>
      <x:c r="G492" t="str">
        <x:v>Reverse Holo</x:v>
      </x:c>
      <x:c r="H492" t="str">
        <x:v>2 of 2</x:v>
      </x:c>
      <x:c r="I492"/>
      <x:c r="J492"/>
      <x:c r="K492"/>
      <x:c r="L492" t="str">
        <x:v>Needs ID</x:v>
      </x:c>
      <x:c r="M492" t="str">
        <x:v>Yes</x:v>
      </x:c>
      <x:c r="N492" t="str">
        <x:v>No</x:v>
      </x:c>
      <x:c r="O492" t="str">
        <x:v>Yes</x:v>
      </x:c>
      <x:c r="P492" t="str">
        <x:v>Needs denominator/set confirmation</x:v>
      </x:c>
      <x:c r="Q492"/>
      <x:c r="R492"/>
      <x:c r="S492"/>
      <x:c r="T492" t="str">
        <x:v>Excadrill #57 reverse holo is ambiguous: 57/98 = Emerging Powers or 57/108 = Dark Explorers. Both reverse printings are currently around the $1–2 range; denominator needed before assigning exact set/value.</x:v>
      </x:c>
      <x:c r="U492" t="n">
        <x:v>949</x:v>
      </x:c>
      <x:c r="V492" t="str">
        <x:v>Current chat continuation / unresolved 2026-08-15</x:v>
      </x:c>
      <x:c r="W492" t="str">
        <x:v>https://www.tcgplayer.com/search/pokemon/product?Language=English&amp;page=1&amp;productLineName=pokemon&amp;productName=Excadrill+%2857%29&amp;view=grid</x:v>
      </x:c>
    </x:row>
    <x:row r="493">
      <x:c r="A493" t="n">
        <x:v>492</x:v>
      </x:c>
      <x:c r="B493" t="str">
        <x:v>Fighting / Rares</x:v>
      </x:c>
      <x:c r="C493" t="str">
        <x:v>Excadrill</x:v>
      </x:c>
      <x:c r="D493" t="str">
        <x:v>56/98</x:v>
      </x:c>
      <x:c r="E493" t="str">
        <x:v>Emerging Powers</x:v>
      </x:c>
      <x:c r="F493" t="n">
        <x:v>2011</x:v>
      </x:c>
      <x:c r="G493" t="str">
        <x:v>Reverse Holo</x:v>
      </x:c>
      <x:c r="H493" t="str">
        <x:v>1 of 1</x:v>
      </x:c>
      <x:c r="I493" t="n">
        <x:v>1.5</x:v>
      </x:c>
      <x:c r="J493" t="n">
        <x:v>3.25</x:v>
      </x:c>
      <x:c r="K493" t="n">
        <x:v>2.375</x:v>
      </x:c>
      <x:c r="L493" t="str">
        <x:v>$1–5</x:v>
      </x:c>
      <x:c r="M493" t="str">
        <x:v>Yes</x:v>
      </x:c>
      <x:c r="N493" t="str">
        <x:v>No</x:v>
      </x:c>
      <x:c r="O493" t="str">
        <x:v>Yes</x:v>
      </x:c>
      <x:c r="P493" t="str">
        <x:v>Clean/NM benchmark unless noted</x:v>
      </x:c>
      <x:c r="Q493" t="n">
        <x:v>1.5</x:v>
      </x:c>
      <x:c r="R493" t="n">
        <x:v>3.25</x:v>
      </x:c>
      <x:c r="S493" t="n">
        <x:v>2.375</x:v>
      </x:c>
      <x:c r="T493" t="str">
        <x:v>Emerging Powers Excadrill 56/98 reverse holo. PriceCharting ungraded about $2.48; recent NM sales include about $1.85 and $2.93. Working clean/NM range $1.50–3.25.</x:v>
      </x:c>
      <x:c r="U493" t="n">
        <x:v>949</x:v>
      </x:c>
      <x:c r="V493" t="str">
        <x:v>Current chat continuation / researched 2026-08-15</x:v>
      </x:c>
      <x:c r="W493" t="str">
        <x:v>https://www.pricecharting.com/game/pokemon-emerging-powers/excadrill-reverse-holo-56</x:v>
      </x:c>
    </x:row>
    <x:row r="494">
      <x:c r="A494" t="n">
        <x:v>493</x:v>
      </x:c>
      <x:c r="B494" t="str">
        <x:v>Fighting / Rares</x:v>
      </x:c>
      <x:c r="C494" t="str">
        <x:v>Excadrill</x:v>
      </x:c>
      <x:c r="D494" t="str">
        <x:v>56/98</x:v>
      </x:c>
      <x:c r="E494" t="str">
        <x:v>Emerging Powers</x:v>
      </x:c>
      <x:c r="F494" t="n">
        <x:v>2011</x:v>
      </x:c>
      <x:c r="G494" t="str">
        <x:v>Holofoil Rare</x:v>
      </x:c>
      <x:c r="H494" t="str">
        <x:v>1 of 1</x:v>
      </x:c>
      <x:c r="I494" t="n">
        <x:v>1.5</x:v>
      </x:c>
      <x:c r="J494" t="n">
        <x:v>3</x:v>
      </x:c>
      <x:c r="K494" t="n">
        <x:v>2.25</x:v>
      </x:c>
      <x:c r="L494" t="str">
        <x:v>$1–5</x:v>
      </x:c>
      <x:c r="M494" t="str">
        <x:v>Yes</x:v>
      </x:c>
      <x:c r="N494" t="str">
        <x:v>No</x:v>
      </x:c>
      <x:c r="O494" t="str">
        <x:v>Yes</x:v>
      </x:c>
      <x:c r="P494" t="str">
        <x:v>Clean/NM benchmark unless noted</x:v>
      </x:c>
      <x:c r="Q494" t="n">
        <x:v>1.5</x:v>
      </x:c>
      <x:c r="R494" t="n">
        <x:v>3</x:v>
      </x:c>
      <x:c r="S494" t="n">
        <x:v>2.25</x:v>
      </x:c>
      <x:c r="T494" t="str">
        <x:v>Emerging Powers Excadrill 56/98 standard holo rare. Recent NM sale about $2.65; working clean/NM range $1.50–3.00. Separate Cosmos Holo promo exists and is materially higher (~$7 current signal); reclassify if foil pattern is Cosmos/starry.</x:v>
      </x:c>
      <x:c r="U494" t="n">
        <x:v>949</x:v>
      </x:c>
      <x:c r="V494" t="str">
        <x:v>Current chat continuation / researched 2026-08-15</x:v>
      </x:c>
      <x:c r="W494" t="str">
        <x:v>https://www.sportscardinvestor.com/cards/excadrill-pokemon/2011-black-white-emerging-powers-holo-56-98</x:v>
      </x:c>
    </x:row>
    <x:row r="495">
      <x:c r="A495" t="n">
        <x:v>494</x:v>
      </x:c>
      <x:c r="B495" t="str">
        <x:v>Electric / Commons</x:v>
      </x:c>
      <x:c r="C495" t="str">
        <x:v>Charmander δ</x:v>
      </x:c>
      <x:c r="D495" t="str">
        <x:v>49/100</x:v>
      </x:c>
      <x:c r="E495" t="str">
        <x:v>EX Crystal Guardians</x:v>
      </x:c>
      <x:c r="F495" t="n">
        <x:v>2006</x:v>
      </x:c>
      <x:c r="G495" t="str">
        <x:v>Regular (Delta Species — Lightning type)</x:v>
      </x:c>
      <x:c r="H495" t="str">
        <x:v>1 of 1</x:v>
      </x:c>
      <x:c r="I495" t="n">
        <x:v>4.5</x:v>
      </x:c>
      <x:c r="J495" t="n">
        <x:v>7</x:v>
      </x:c>
      <x:c r="K495" t="n">
        <x:v>5.75</x:v>
      </x:c>
      <x:c r="L495" t="str">
        <x:v>$5–20</x:v>
      </x:c>
      <x:c r="M495" t="str">
        <x:v>Yes</x:v>
      </x:c>
      <x:c r="N495" t="str">
        <x:v>No</x:v>
      </x:c>
      <x:c r="O495" t="str">
        <x:v>Yes</x:v>
      </x:c>
      <x:c r="P495" t="str">
        <x:v>Clean/NM benchmark unless noted</x:v>
      </x:c>
      <x:c r="Q495" t="n">
        <x:v>4.5</x:v>
      </x:c>
      <x:c r="R495" t="n">
        <x:v>7</x:v>
      </x:c>
      <x:c r="S495" t="n">
        <x:v>5.75</x:v>
      </x:c>
      <x:c r="T495" t="str">
        <x:v>EX Crystal Guardians Charmander δ 49/100 regular non-stamped printing; Lightning-type Delta Species. PriceCharting ungraded $4.50, TCGplayer current comparison about $6.21, with recent NM TCGplayer sales around $5.00–6.99. If the card has the Crystal Guardians set-logo stamp, reclassify as stamped reverse holo; that variant is dramatically more valuable.</x:v>
      </x:c>
      <x:c r="U495" t="n">
        <x:v>950</x:v>
      </x:c>
      <x:c r="V495" t="str">
        <x:v>Current chat continuation / researched 2026-08-15</x:v>
      </x:c>
      <x:c r="W495" t="str">
        <x:v>https://www.pricecharting.com/game/pokemon-crystal-guardians/charmander-49</x:v>
      </x:c>
    </x:row>
    <x:row r="496">
      <x:c r="A496" t="n">
        <x:v>495</x:v>
      </x:c>
      <x:c r="B496" t="str">
        <x:v>Electric / Uncommons</x:v>
      </x:c>
      <x:c r="C496" t="str">
        <x:v>Raichu</x:v>
      </x:c>
      <x:c r="D496" t="str">
        <x:v>77/147</x:v>
      </x:c>
      <x:c r="E496" t="str">
        <x:v>Supreme Victors</x:v>
      </x:c>
      <x:c r="F496" t="n">
        <x:v>2009</x:v>
      </x:c>
      <x:c r="G496" t="str">
        <x:v>Reverse Holo (LV.35)</x:v>
      </x:c>
      <x:c r="H496" t="str">
        <x:v>1 of 1</x:v>
      </x:c>
      <x:c r="I496" t="n">
        <x:v>10</x:v>
      </x:c>
      <x:c r="J496" t="n">
        <x:v>18</x:v>
      </x:c>
      <x:c r="K496" t="n">
        <x:v>14</x:v>
      </x:c>
      <x:c r="L496" t="str">
        <x:v>$5–20</x:v>
      </x:c>
      <x:c r="M496" t="str">
        <x:v>Yes</x:v>
      </x:c>
      <x:c r="N496" t="str">
        <x:v>Yes</x:v>
      </x:c>
      <x:c r="O496" t="str">
        <x:v>Yes</x:v>
      </x:c>
      <x:c r="P496" t="str">
        <x:v>Damaged / altered — marker on card</x:v>
      </x:c>
      <x:c r="Q496" t="n">
        <x:v>1.5</x:v>
      </x:c>
      <x:c r="R496" t="n">
        <x:v>3.5</x:v>
      </x:c>
      <x:c r="S496" t="n">
        <x:v>2.5</x:v>
      </x:c>
      <x:c r="T496" t="str">
        <x:v>Supreme Victors Raichu LV.35 77/147 reverse holo. Clean/NM benchmark roughly $10–18, with TCGplayer around $13.64 and PriceCharting ungraded around $16.40. User reports marker drawn on the card; treated as Damaged/Altered. Damaged reverse-holo comps are roughly $1.68–3.00, so working as-is range is $1.50–3.50.</x:v>
      </x:c>
      <x:c r="U496" t="n">
        <x:v>951</x:v>
      </x:c>
      <x:c r="V496" t="str">
        <x:v>Current chat continuation / researched 2026-08-15</x:v>
      </x:c>
      <x:c r="W496" t="str">
        <x:v>https://www.pricecharting.com/game/pokemon-supreme-victors/raichu-reverse-holo-77</x:v>
      </x:c>
    </x:row>
    <x:row r="497">
      <x:c r="A497" t="n">
        <x:v>496</x:v>
      </x:c>
      <x:c r="B497" t="str">
        <x:v>Electric / Uncommons</x:v>
      </x:c>
      <x:c r="C497" t="str">
        <x:v>Jolteon</x:v>
      </x:c>
      <x:c r="D497" t="str">
        <x:v>45/95</x:v>
      </x:c>
      <x:c r="E497" t="str">
        <x:v>Call of Legends</x:v>
      </x:c>
      <x:c r="F497" t="n">
        <x:v>2011</x:v>
      </x:c>
      <x:c r="G497" t="str">
        <x:v>Regular Uncommon</x:v>
      </x:c>
      <x:c r="H497" t="str">
        <x:v>1 of 1</x:v>
      </x:c>
      <x:c r="I497" t="n">
        <x:v>3</x:v>
      </x:c>
      <x:c r="J497" t="n">
        <x:v>4.5</x:v>
      </x:c>
      <x:c r="K497" t="n">
        <x:v>3.75</x:v>
      </x:c>
      <x:c r="L497" t="str">
        <x:v>$1–5</x:v>
      </x:c>
      <x:c r="M497" t="str">
        <x:v>Yes</x:v>
      </x:c>
      <x:c r="N497" t="str">
        <x:v>No</x:v>
      </x:c>
      <x:c r="O497" t="str">
        <x:v>Yes</x:v>
      </x:c>
      <x:c r="P497" t="str">
        <x:v>Clean/NM benchmark unless noted</x:v>
      </x:c>
      <x:c r="Q497" t="n">
        <x:v>3</x:v>
      </x:c>
      <x:c r="R497" t="n">
        <x:v>4.5</x:v>
      </x:c>
      <x:c r="S497" t="n">
        <x:v>3.75</x:v>
      </x:c>
      <x:c r="T497" t="str">
        <x:v>Call of Legends Jolteon 45/95 regular uncommon. Current TCGplayer market about $3.64–3.86. Reverse holo is a separate printing worth roughly $14–15 raw; reclassify if foil across the card.</x:v>
      </x:c>
      <x:c r="U497" t="n">
        <x:v>952</x:v>
      </x:c>
      <x:c r="V497" t="str">
        <x:v>Current chat continuation / researched 2026-08-15</x:v>
      </x:c>
      <x:c r="W497" t="str">
        <x:v>https://www.tcgplayer.com/search/pokemon/product?productLineName=pokemon&amp;productName=Jolteon</x:v>
      </x:c>
    </x:row>
    <x:row r="498">
      <x:c r="A498" t="n">
        <x:v>497</x:v>
      </x:c>
      <x:c r="B498" t="str">
        <x:v>Electric / Commons</x:v>
      </x:c>
      <x:c r="C498" t="str">
        <x:v>Pikachu</x:v>
      </x:c>
      <x:c r="D498" t="str">
        <x:v>50/149</x:v>
      </x:c>
      <x:c r="E498" t="str">
        <x:v>Boundaries Crossed</x:v>
      </x:c>
      <x:c r="F498" t="n">
        <x:v>2012</x:v>
      </x:c>
      <x:c r="G498" t="str">
        <x:v>Reverse Holo</x:v>
      </x:c>
      <x:c r="H498" t="str">
        <x:v>1 of 1</x:v>
      </x:c>
      <x:c r="I498" t="n">
        <x:v>24</x:v>
      </x:c>
      <x:c r="J498" t="n">
        <x:v>34</x:v>
      </x:c>
      <x:c r="K498" t="n">
        <x:v>29</x:v>
      </x:c>
      <x:c r="L498" t="str">
        <x:v>$20+</x:v>
      </x:c>
      <x:c r="M498" t="str">
        <x:v>Yes</x:v>
      </x:c>
      <x:c r="N498" t="str">
        <x:v>Yes</x:v>
      </x:c>
      <x:c r="O498" t="str">
        <x:v>Yes</x:v>
      </x:c>
      <x:c r="P498" t="str">
        <x:v>Clean/NM benchmark unless noted</x:v>
      </x:c>
      <x:c r="Q498" t="n">
        <x:v>24</x:v>
      </x:c>
      <x:c r="R498" t="n">
        <x:v>34</x:v>
      </x:c>
      <x:c r="S498" t="n">
        <x:v>29</x:v>
      </x:c>
      <x:c r="T498" t="str">
        <x:v>Boundaries Crossed Pikachu 50/149 reverse holo. TCGplayer NM guide currently about $31.68; PriceCharting recent NM TCGplayer sale $26.08 and recent raw/NM sales broadly support a mid/high-$20s working value.</x:v>
      </x:c>
      <x:c r="U498" t="n">
        <x:v>953</x:v>
      </x:c>
      <x:c r="V498" t="str">
        <x:v>Current chat continuation / researched 2026-08-15</x:v>
      </x:c>
      <x:c r="W498" t="str">
        <x:v>https://www.tcgplayer.com/categories/trading-and-collectible-card-games/pokemon/price-guides/boundaries-crossed</x:v>
      </x:c>
    </x:row>
    <x:row r="499">
      <x:c r="A499" t="n">
        <x:v>498</x:v>
      </x:c>
      <x:c r="B499" t="str">
        <x:v>Electric / Commons</x:v>
      </x:c>
      <x:c r="C499" t="str">
        <x:v>Pikachu</x:v>
      </x:c>
      <x:c r="D499" t="str">
        <x:v>50/149</x:v>
      </x:c>
      <x:c r="E499" t="str">
        <x:v>Boundaries Crossed</x:v>
      </x:c>
      <x:c r="F499" t="n">
        <x:v>2012</x:v>
      </x:c>
      <x:c r="G499" t="str">
        <x:v>Regular Common</x:v>
      </x:c>
      <x:c r="H499" t="str">
        <x:v>1 of 15</x:v>
      </x:c>
      <x:c r="I499" t="n">
        <x:v>2.25</x:v>
      </x:c>
      <x:c r="J499" t="n">
        <x:v>4</x:v>
      </x:c>
      <x:c r="K499" t="n">
        <x:v>3.125</x:v>
      </x:c>
      <x:c r="L499" t="str">
        <x:v>$1–5</x:v>
      </x:c>
      <x:c r="M499" t="str">
        <x:v>Yes</x:v>
      </x:c>
      <x:c r="N499" t="str">
        <x:v>No</x:v>
      </x:c>
      <x:c r="O499" t="str">
        <x:v>Yes</x:v>
      </x:c>
      <x:c r="P499" t="str">
        <x:v>Clean/NM benchmark unless noted</x:v>
      </x:c>
      <x:c r="Q499" t="n">
        <x:v>2.25</x:v>
      </x:c>
      <x:c r="R499" t="n">
        <x:v>4</x:v>
      </x:c>
      <x:c r="S499" t="n">
        <x:v>3.125</x:v>
      </x:c>
      <x:c r="T499" t="str">
        <x:v>Boundaries Crossed Pikachu 50/149 regular common. TCGplayer market currently about $2.99–3.04; working clean/NM range $2.25–4.00.</x:v>
      </x:c>
      <x:c r="U499" t="n">
        <x:v>953</x:v>
      </x:c>
      <x:c r="V499" t="str">
        <x:v>Current chat continuation / researched 2026-08-15</x:v>
      </x:c>
      <x:c r="W499" t="str">
        <x:v>https://www.tcgplayer.com/categories/trading-and-collectible-card-games/pokemon/price-guides/boundaries-crossed</x:v>
      </x:c>
    </x:row>
    <x:row r="500">
      <x:c r="A500" t="n">
        <x:v>499</x:v>
      </x:c>
      <x:c r="B500" t="str">
        <x:v>Electric / Commons</x:v>
      </x:c>
      <x:c r="C500" t="str">
        <x:v>Pikachu</x:v>
      </x:c>
      <x:c r="D500" t="str">
        <x:v>50/149</x:v>
      </x:c>
      <x:c r="E500" t="str">
        <x:v>Boundaries Crossed</x:v>
      </x:c>
      <x:c r="F500" t="n">
        <x:v>2012</x:v>
      </x:c>
      <x:c r="G500" t="str">
        <x:v>Regular Common</x:v>
      </x:c>
      <x:c r="H500" t="str">
        <x:v>2 of 15</x:v>
      </x:c>
      <x:c r="I500" t="n">
        <x:v>2.25</x:v>
      </x:c>
      <x:c r="J500" t="n">
        <x:v>4</x:v>
      </x:c>
      <x:c r="K500" t="n">
        <x:v>3.125</x:v>
      </x:c>
      <x:c r="L500" t="str">
        <x:v>$1–5</x:v>
      </x:c>
      <x:c r="M500" t="str">
        <x:v>Yes</x:v>
      </x:c>
      <x:c r="N500" t="str">
        <x:v>No</x:v>
      </x:c>
      <x:c r="O500" t="str">
        <x:v>Yes</x:v>
      </x:c>
      <x:c r="P500" t="str">
        <x:v>Clean/NM benchmark unless noted</x:v>
      </x:c>
      <x:c r="Q500" t="n">
        <x:v>2.25</x:v>
      </x:c>
      <x:c r="R500" t="n">
        <x:v>4</x:v>
      </x:c>
      <x:c r="S500" t="n">
        <x:v>3.125</x:v>
      </x:c>
      <x:c r="T500" t="str">
        <x:v>Boundaries Crossed Pikachu 50/149 regular common. TCGplayer market currently about $2.99–3.04; working clean/NM range $2.25–4.00.</x:v>
      </x:c>
      <x:c r="U500" t="n">
        <x:v>953</x:v>
      </x:c>
      <x:c r="V500" t="str">
        <x:v>Current chat continuation / researched 2026-08-15</x:v>
      </x:c>
      <x:c r="W500" t="str">
        <x:v>https://www.tcgplayer.com/categories/trading-and-collectible-card-games/pokemon/price-guides/boundaries-crossed</x:v>
      </x:c>
    </x:row>
    <x:row r="501">
      <x:c r="A501" t="n">
        <x:v>500</x:v>
      </x:c>
      <x:c r="B501" t="str">
        <x:v>Electric / Commons</x:v>
      </x:c>
      <x:c r="C501" t="str">
        <x:v>Pikachu</x:v>
      </x:c>
      <x:c r="D501" t="str">
        <x:v>50/149</x:v>
      </x:c>
      <x:c r="E501" t="str">
        <x:v>Boundaries Crossed</x:v>
      </x:c>
      <x:c r="F501" t="n">
        <x:v>2012</x:v>
      </x:c>
      <x:c r="G501" t="str">
        <x:v>Regular Common</x:v>
      </x:c>
      <x:c r="H501" t="str">
        <x:v>3 of 15</x:v>
      </x:c>
      <x:c r="I501" t="n">
        <x:v>2.25</x:v>
      </x:c>
      <x:c r="J501" t="n">
        <x:v>4</x:v>
      </x:c>
      <x:c r="K501" t="n">
        <x:v>3.125</x:v>
      </x:c>
      <x:c r="L501" t="str">
        <x:v>$1–5</x:v>
      </x:c>
      <x:c r="M501" t="str">
        <x:v>Yes</x:v>
      </x:c>
      <x:c r="N501" t="str">
        <x:v>No</x:v>
      </x:c>
      <x:c r="O501" t="str">
        <x:v>Yes</x:v>
      </x:c>
      <x:c r="P501" t="str">
        <x:v>Clean/NM benchmark unless noted</x:v>
      </x:c>
      <x:c r="Q501" t="n">
        <x:v>2.25</x:v>
      </x:c>
      <x:c r="R501" t="n">
        <x:v>4</x:v>
      </x:c>
      <x:c r="S501" t="n">
        <x:v>3.125</x:v>
      </x:c>
      <x:c r="T501" t="str">
        <x:v>Boundaries Crossed Pikachu 50/149 regular common. TCGplayer market currently about $2.99–3.04; working clean/NM range $2.25–4.00.</x:v>
      </x:c>
      <x:c r="U501" t="n">
        <x:v>953</x:v>
      </x:c>
      <x:c r="V501" t="str">
        <x:v>Current chat continuation / researched 2026-08-15</x:v>
      </x:c>
      <x:c r="W501" t="str">
        <x:v>https://www.tcgplayer.com/categories/trading-and-collectible-card-games/pokemon/price-guides/boundaries-crossed</x:v>
      </x:c>
    </x:row>
    <x:row r="502">
      <x:c r="A502" t="n">
        <x:v>501</x:v>
      </x:c>
      <x:c r="B502" t="str">
        <x:v>Electric / Commons</x:v>
      </x:c>
      <x:c r="C502" t="str">
        <x:v>Pikachu</x:v>
      </x:c>
      <x:c r="D502" t="str">
        <x:v>50/149</x:v>
      </x:c>
      <x:c r="E502" t="str">
        <x:v>Boundaries Crossed</x:v>
      </x:c>
      <x:c r="F502" t="n">
        <x:v>2012</x:v>
      </x:c>
      <x:c r="G502" t="str">
        <x:v>Regular Common</x:v>
      </x:c>
      <x:c r="H502" t="str">
        <x:v>4 of 15</x:v>
      </x:c>
      <x:c r="I502" t="n">
        <x:v>2.25</x:v>
      </x:c>
      <x:c r="J502" t="n">
        <x:v>4</x:v>
      </x:c>
      <x:c r="K502" t="n">
        <x:v>3.125</x:v>
      </x:c>
      <x:c r="L502" t="str">
        <x:v>$1–5</x:v>
      </x:c>
      <x:c r="M502" t="str">
        <x:v>Yes</x:v>
      </x:c>
      <x:c r="N502" t="str">
        <x:v>No</x:v>
      </x:c>
      <x:c r="O502" t="str">
        <x:v>Yes</x:v>
      </x:c>
      <x:c r="P502" t="str">
        <x:v>Clean/NM benchmark unless noted</x:v>
      </x:c>
      <x:c r="Q502" t="n">
        <x:v>2.25</x:v>
      </x:c>
      <x:c r="R502" t="n">
        <x:v>4</x:v>
      </x:c>
      <x:c r="S502" t="n">
        <x:v>3.125</x:v>
      </x:c>
      <x:c r="T502" t="str">
        <x:v>Boundaries Crossed Pikachu 50/149 regular common. TCGplayer market currently about $2.99–3.04; working clean/NM range $2.25–4.00.</x:v>
      </x:c>
      <x:c r="U502" t="n">
        <x:v>953</x:v>
      </x:c>
      <x:c r="V502" t="str">
        <x:v>Current chat continuation / researched 2026-08-15</x:v>
      </x:c>
      <x:c r="W502" t="str">
        <x:v>https://www.tcgplayer.com/categories/trading-and-collectible-card-games/pokemon/price-guides/boundaries-crossed</x:v>
      </x:c>
    </x:row>
    <x:row r="503">
      <x:c r="A503" t="n">
        <x:v>502</x:v>
      </x:c>
      <x:c r="B503" t="str">
        <x:v>Electric / Commons</x:v>
      </x:c>
      <x:c r="C503" t="str">
        <x:v>Pikachu</x:v>
      </x:c>
      <x:c r="D503" t="str">
        <x:v>50/149</x:v>
      </x:c>
      <x:c r="E503" t="str">
        <x:v>Boundaries Crossed</x:v>
      </x:c>
      <x:c r="F503" t="n">
        <x:v>2012</x:v>
      </x:c>
      <x:c r="G503" t="str">
        <x:v>Regular Common</x:v>
      </x:c>
      <x:c r="H503" t="str">
        <x:v>5 of 15</x:v>
      </x:c>
      <x:c r="I503" t="n">
        <x:v>2.25</x:v>
      </x:c>
      <x:c r="J503" t="n">
        <x:v>4</x:v>
      </x:c>
      <x:c r="K503" t="n">
        <x:v>3.125</x:v>
      </x:c>
      <x:c r="L503" t="str">
        <x:v>$1–5</x:v>
      </x:c>
      <x:c r="M503" t="str">
        <x:v>Yes</x:v>
      </x:c>
      <x:c r="N503" t="str">
        <x:v>No</x:v>
      </x:c>
      <x:c r="O503" t="str">
        <x:v>Yes</x:v>
      </x:c>
      <x:c r="P503" t="str">
        <x:v>Clean/NM benchmark unless noted</x:v>
      </x:c>
      <x:c r="Q503" t="n">
        <x:v>2.25</x:v>
      </x:c>
      <x:c r="R503" t="n">
        <x:v>4</x:v>
      </x:c>
      <x:c r="S503" t="n">
        <x:v>3.125</x:v>
      </x:c>
      <x:c r="T503" t="str">
        <x:v>Boundaries Crossed Pikachu 50/149 regular common. TCGplayer market currently about $2.99–3.04; working clean/NM range $2.25–4.00.</x:v>
      </x:c>
      <x:c r="U503" t="n">
        <x:v>953</x:v>
      </x:c>
      <x:c r="V503" t="str">
        <x:v>Current chat continuation / researched 2026-08-15</x:v>
      </x:c>
      <x:c r="W503" t="str">
        <x:v>https://www.tcgplayer.com/categories/trading-and-collectible-card-games/pokemon/price-guides/boundaries-crossed</x:v>
      </x:c>
    </x:row>
    <x:row r="504">
      <x:c r="A504" t="n">
        <x:v>503</x:v>
      </x:c>
      <x:c r="B504" t="str">
        <x:v>Electric / Commons</x:v>
      </x:c>
      <x:c r="C504" t="str">
        <x:v>Pikachu</x:v>
      </x:c>
      <x:c r="D504" t="str">
        <x:v>50/149</x:v>
      </x:c>
      <x:c r="E504" t="str">
        <x:v>Boundaries Crossed</x:v>
      </x:c>
      <x:c r="F504" t="n">
        <x:v>2012</x:v>
      </x:c>
      <x:c r="G504" t="str">
        <x:v>Regular Common</x:v>
      </x:c>
      <x:c r="H504" t="str">
        <x:v>6 of 15</x:v>
      </x:c>
      <x:c r="I504" t="n">
        <x:v>2.25</x:v>
      </x:c>
      <x:c r="J504" t="n">
        <x:v>4</x:v>
      </x:c>
      <x:c r="K504" t="n">
        <x:v>3.125</x:v>
      </x:c>
      <x:c r="L504" t="str">
        <x:v>$1–5</x:v>
      </x:c>
      <x:c r="M504" t="str">
        <x:v>Yes</x:v>
      </x:c>
      <x:c r="N504" t="str">
        <x:v>No</x:v>
      </x:c>
      <x:c r="O504" t="str">
        <x:v>Yes</x:v>
      </x:c>
      <x:c r="P504" t="str">
        <x:v>Clean/NM benchmark unless noted</x:v>
      </x:c>
      <x:c r="Q504" t="n">
        <x:v>2.25</x:v>
      </x:c>
      <x:c r="R504" t="n">
        <x:v>4</x:v>
      </x:c>
      <x:c r="S504" t="n">
        <x:v>3.125</x:v>
      </x:c>
      <x:c r="T504" t="str">
        <x:v>Boundaries Crossed Pikachu 50/149 regular common. TCGplayer market currently about $2.99–3.04; working clean/NM range $2.25–4.00.</x:v>
      </x:c>
      <x:c r="U504" t="n">
        <x:v>953</x:v>
      </x:c>
      <x:c r="V504" t="str">
        <x:v>Current chat continuation / researched 2026-08-15</x:v>
      </x:c>
      <x:c r="W504" t="str">
        <x:v>https://www.tcgplayer.com/categories/trading-and-collectible-card-games/pokemon/price-guides/boundaries-crossed</x:v>
      </x:c>
    </x:row>
    <x:row r="505">
      <x:c r="A505" t="n">
        <x:v>504</x:v>
      </x:c>
      <x:c r="B505" t="str">
        <x:v>Electric / Commons</x:v>
      </x:c>
      <x:c r="C505" t="str">
        <x:v>Pikachu</x:v>
      </x:c>
      <x:c r="D505" t="str">
        <x:v>50/149</x:v>
      </x:c>
      <x:c r="E505" t="str">
        <x:v>Boundaries Crossed</x:v>
      </x:c>
      <x:c r="F505" t="n">
        <x:v>2012</x:v>
      </x:c>
      <x:c r="G505" t="str">
        <x:v>Regular Common</x:v>
      </x:c>
      <x:c r="H505" t="str">
        <x:v>7 of 15</x:v>
      </x:c>
      <x:c r="I505" t="n">
        <x:v>2.25</x:v>
      </x:c>
      <x:c r="J505" t="n">
        <x:v>4</x:v>
      </x:c>
      <x:c r="K505" t="n">
        <x:v>3.125</x:v>
      </x:c>
      <x:c r="L505" t="str">
        <x:v>$1–5</x:v>
      </x:c>
      <x:c r="M505" t="str">
        <x:v>Yes</x:v>
      </x:c>
      <x:c r="N505" t="str">
        <x:v>No</x:v>
      </x:c>
      <x:c r="O505" t="str">
        <x:v>Yes</x:v>
      </x:c>
      <x:c r="P505" t="str">
        <x:v>Clean/NM benchmark unless noted</x:v>
      </x:c>
      <x:c r="Q505" t="n">
        <x:v>2.25</x:v>
      </x:c>
      <x:c r="R505" t="n">
        <x:v>4</x:v>
      </x:c>
      <x:c r="S505" t="n">
        <x:v>3.125</x:v>
      </x:c>
      <x:c r="T505" t="str">
        <x:v>Boundaries Crossed Pikachu 50/149 regular common. TCGplayer market currently about $2.99–3.04; working clean/NM range $2.25–4.00.</x:v>
      </x:c>
      <x:c r="U505" t="n">
        <x:v>953</x:v>
      </x:c>
      <x:c r="V505" t="str">
        <x:v>Current chat continuation / researched 2026-08-15</x:v>
      </x:c>
      <x:c r="W505" t="str">
        <x:v>https://www.tcgplayer.com/categories/trading-and-collectible-card-games/pokemon/price-guides/boundaries-crossed</x:v>
      </x:c>
    </x:row>
    <x:row r="506">
      <x:c r="A506" t="n">
        <x:v>505</x:v>
      </x:c>
      <x:c r="B506" t="str">
        <x:v>Electric / Commons</x:v>
      </x:c>
      <x:c r="C506" t="str">
        <x:v>Pikachu</x:v>
      </x:c>
      <x:c r="D506" t="str">
        <x:v>50/149</x:v>
      </x:c>
      <x:c r="E506" t="str">
        <x:v>Boundaries Crossed</x:v>
      </x:c>
      <x:c r="F506" t="n">
        <x:v>2012</x:v>
      </x:c>
      <x:c r="G506" t="str">
        <x:v>Regular Common</x:v>
      </x:c>
      <x:c r="H506" t="str">
        <x:v>8 of 15</x:v>
      </x:c>
      <x:c r="I506" t="n">
        <x:v>2.25</x:v>
      </x:c>
      <x:c r="J506" t="n">
        <x:v>4</x:v>
      </x:c>
      <x:c r="K506" t="n">
        <x:v>3.125</x:v>
      </x:c>
      <x:c r="L506" t="str">
        <x:v>$1–5</x:v>
      </x:c>
      <x:c r="M506" t="str">
        <x:v>Yes</x:v>
      </x:c>
      <x:c r="N506" t="str">
        <x:v>No</x:v>
      </x:c>
      <x:c r="O506" t="str">
        <x:v>Yes</x:v>
      </x:c>
      <x:c r="P506" t="str">
        <x:v>Clean/NM benchmark unless noted</x:v>
      </x:c>
      <x:c r="Q506" t="n">
        <x:v>2.25</x:v>
      </x:c>
      <x:c r="R506" t="n">
        <x:v>4</x:v>
      </x:c>
      <x:c r="S506" t="n">
        <x:v>3.125</x:v>
      </x:c>
      <x:c r="T506" t="str">
        <x:v>Boundaries Crossed Pikachu 50/149 regular common. TCGplayer market currently about $2.99–3.04; working clean/NM range $2.25–4.00.</x:v>
      </x:c>
      <x:c r="U506" t="n">
        <x:v>953</x:v>
      </x:c>
      <x:c r="V506" t="str">
        <x:v>Current chat continuation / researched 2026-08-15</x:v>
      </x:c>
      <x:c r="W506" t="str">
        <x:v>https://www.tcgplayer.com/categories/trading-and-collectible-card-games/pokemon/price-guides/boundaries-crossed</x:v>
      </x:c>
    </x:row>
    <x:row r="507">
      <x:c r="A507" t="n">
        <x:v>506</x:v>
      </x:c>
      <x:c r="B507" t="str">
        <x:v>Electric / Commons</x:v>
      </x:c>
      <x:c r="C507" t="str">
        <x:v>Pikachu</x:v>
      </x:c>
      <x:c r="D507" t="str">
        <x:v>50/149</x:v>
      </x:c>
      <x:c r="E507" t="str">
        <x:v>Boundaries Crossed</x:v>
      </x:c>
      <x:c r="F507" t="n">
        <x:v>2012</x:v>
      </x:c>
      <x:c r="G507" t="str">
        <x:v>Regular Common</x:v>
      </x:c>
      <x:c r="H507" t="str">
        <x:v>9 of 15</x:v>
      </x:c>
      <x:c r="I507" t="n">
        <x:v>2.25</x:v>
      </x:c>
      <x:c r="J507" t="n">
        <x:v>4</x:v>
      </x:c>
      <x:c r="K507" t="n">
        <x:v>3.125</x:v>
      </x:c>
      <x:c r="L507" t="str">
        <x:v>$1–5</x:v>
      </x:c>
      <x:c r="M507" t="str">
        <x:v>Yes</x:v>
      </x:c>
      <x:c r="N507" t="str">
        <x:v>No</x:v>
      </x:c>
      <x:c r="O507" t="str">
        <x:v>Yes</x:v>
      </x:c>
      <x:c r="P507" t="str">
        <x:v>Clean/NM benchmark unless noted</x:v>
      </x:c>
      <x:c r="Q507" t="n">
        <x:v>2.25</x:v>
      </x:c>
      <x:c r="R507" t="n">
        <x:v>4</x:v>
      </x:c>
      <x:c r="S507" t="n">
        <x:v>3.125</x:v>
      </x:c>
      <x:c r="T507" t="str">
        <x:v>Boundaries Crossed Pikachu 50/149 regular common. TCGplayer market currently about $2.99–3.04; working clean/NM range $2.25–4.00.</x:v>
      </x:c>
      <x:c r="U507" t="n">
        <x:v>953</x:v>
      </x:c>
      <x:c r="V507" t="str">
        <x:v>Current chat continuation / researched 2026-08-15</x:v>
      </x:c>
      <x:c r="W507" t="str">
        <x:v>https://www.tcgplayer.com/categories/trading-and-collectible-card-games/pokemon/price-guides/boundaries-crossed</x:v>
      </x:c>
    </x:row>
    <x:row r="508">
      <x:c r="A508" t="n">
        <x:v>507</x:v>
      </x:c>
      <x:c r="B508" t="str">
        <x:v>Electric / Commons</x:v>
      </x:c>
      <x:c r="C508" t="str">
        <x:v>Pikachu</x:v>
      </x:c>
      <x:c r="D508" t="str">
        <x:v>50/149</x:v>
      </x:c>
      <x:c r="E508" t="str">
        <x:v>Boundaries Crossed</x:v>
      </x:c>
      <x:c r="F508" t="n">
        <x:v>2012</x:v>
      </x:c>
      <x:c r="G508" t="str">
        <x:v>Regular Common</x:v>
      </x:c>
      <x:c r="H508" t="str">
        <x:v>10 of 15</x:v>
      </x:c>
      <x:c r="I508" t="n">
        <x:v>2.25</x:v>
      </x:c>
      <x:c r="J508" t="n">
        <x:v>4</x:v>
      </x:c>
      <x:c r="K508" t="n">
        <x:v>3.125</x:v>
      </x:c>
      <x:c r="L508" t="str">
        <x:v>$1–5</x:v>
      </x:c>
      <x:c r="M508" t="str">
        <x:v>Yes</x:v>
      </x:c>
      <x:c r="N508" t="str">
        <x:v>No</x:v>
      </x:c>
      <x:c r="O508" t="str">
        <x:v>Yes</x:v>
      </x:c>
      <x:c r="P508" t="str">
        <x:v>Clean/NM benchmark unless noted</x:v>
      </x:c>
      <x:c r="Q508" t="n">
        <x:v>2.25</x:v>
      </x:c>
      <x:c r="R508" t="n">
        <x:v>4</x:v>
      </x:c>
      <x:c r="S508" t="n">
        <x:v>3.125</x:v>
      </x:c>
      <x:c r="T508" t="str">
        <x:v>Boundaries Crossed Pikachu 50/149 regular common. TCGplayer market currently about $2.99–3.04; working clean/NM range $2.25–4.00.</x:v>
      </x:c>
      <x:c r="U508" t="n">
        <x:v>953</x:v>
      </x:c>
      <x:c r="V508" t="str">
        <x:v>Current chat continuation / researched 2026-08-15</x:v>
      </x:c>
      <x:c r="W508" t="str">
        <x:v>https://www.tcgplayer.com/categories/trading-and-collectible-card-games/pokemon/price-guides/boundaries-crossed</x:v>
      </x:c>
    </x:row>
    <x:row r="509">
      <x:c r="A509" t="n">
        <x:v>508</x:v>
      </x:c>
      <x:c r="B509" t="str">
        <x:v>Electric / Commons</x:v>
      </x:c>
      <x:c r="C509" t="str">
        <x:v>Pikachu</x:v>
      </x:c>
      <x:c r="D509" t="str">
        <x:v>50/149</x:v>
      </x:c>
      <x:c r="E509" t="str">
        <x:v>Boundaries Crossed</x:v>
      </x:c>
      <x:c r="F509" t="n">
        <x:v>2012</x:v>
      </x:c>
      <x:c r="G509" t="str">
        <x:v>Regular Common</x:v>
      </x:c>
      <x:c r="H509" t="str">
        <x:v>11 of 15</x:v>
      </x:c>
      <x:c r="I509" t="n">
        <x:v>2.25</x:v>
      </x:c>
      <x:c r="J509" t="n">
        <x:v>4</x:v>
      </x:c>
      <x:c r="K509" t="n">
        <x:v>3.125</x:v>
      </x:c>
      <x:c r="L509" t="str">
        <x:v>$1–5</x:v>
      </x:c>
      <x:c r="M509" t="str">
        <x:v>Yes</x:v>
      </x:c>
      <x:c r="N509" t="str">
        <x:v>No</x:v>
      </x:c>
      <x:c r="O509" t="str">
        <x:v>Yes</x:v>
      </x:c>
      <x:c r="P509" t="str">
        <x:v>Clean/NM benchmark unless noted</x:v>
      </x:c>
      <x:c r="Q509" t="n">
        <x:v>2.25</x:v>
      </x:c>
      <x:c r="R509" t="n">
        <x:v>4</x:v>
      </x:c>
      <x:c r="S509" t="n">
        <x:v>3.125</x:v>
      </x:c>
      <x:c r="T509" t="str">
        <x:v>Boundaries Crossed Pikachu 50/149 regular common. TCGplayer market currently about $2.99–3.04; working clean/NM range $2.25–4.00.</x:v>
      </x:c>
      <x:c r="U509" t="n">
        <x:v>953</x:v>
      </x:c>
      <x:c r="V509" t="str">
        <x:v>Current chat continuation / researched 2026-08-15</x:v>
      </x:c>
      <x:c r="W509" t="str">
        <x:v>https://www.tcgplayer.com/categories/trading-and-collectible-card-games/pokemon/price-guides/boundaries-crossed</x:v>
      </x:c>
    </x:row>
    <x:row r="510">
      <x:c r="A510" t="n">
        <x:v>509</x:v>
      </x:c>
      <x:c r="B510" t="str">
        <x:v>Electric / Commons</x:v>
      </x:c>
      <x:c r="C510" t="str">
        <x:v>Pikachu</x:v>
      </x:c>
      <x:c r="D510" t="str">
        <x:v>50/149</x:v>
      </x:c>
      <x:c r="E510" t="str">
        <x:v>Boundaries Crossed</x:v>
      </x:c>
      <x:c r="F510" t="n">
        <x:v>2012</x:v>
      </x:c>
      <x:c r="G510" t="str">
        <x:v>Regular Common</x:v>
      </x:c>
      <x:c r="H510" t="str">
        <x:v>12 of 15</x:v>
      </x:c>
      <x:c r="I510" t="n">
        <x:v>2.25</x:v>
      </x:c>
      <x:c r="J510" t="n">
        <x:v>4</x:v>
      </x:c>
      <x:c r="K510" t="n">
        <x:v>3.125</x:v>
      </x:c>
      <x:c r="L510" t="str">
        <x:v>$1–5</x:v>
      </x:c>
      <x:c r="M510" t="str">
        <x:v>Yes</x:v>
      </x:c>
      <x:c r="N510" t="str">
        <x:v>No</x:v>
      </x:c>
      <x:c r="O510" t="str">
        <x:v>Yes</x:v>
      </x:c>
      <x:c r="P510" t="str">
        <x:v>Clean/NM benchmark unless noted</x:v>
      </x:c>
      <x:c r="Q510" t="n">
        <x:v>2.25</x:v>
      </x:c>
      <x:c r="R510" t="n">
        <x:v>4</x:v>
      </x:c>
      <x:c r="S510" t="n">
        <x:v>3.125</x:v>
      </x:c>
      <x:c r="T510" t="str">
        <x:v>Boundaries Crossed Pikachu 50/149 regular common. TCGplayer market currently about $2.99–3.04; working clean/NM range $2.25–4.00.</x:v>
      </x:c>
      <x:c r="U510" t="n">
        <x:v>953</x:v>
      </x:c>
      <x:c r="V510" t="str">
        <x:v>Current chat continuation / researched 2026-08-15</x:v>
      </x:c>
      <x:c r="W510" t="str">
        <x:v>https://www.tcgplayer.com/categories/trading-and-collectible-card-games/pokemon/price-guides/boundaries-crossed</x:v>
      </x:c>
    </x:row>
    <x:row r="511">
      <x:c r="A511" t="n">
        <x:v>510</x:v>
      </x:c>
      <x:c r="B511" t="str">
        <x:v>Electric / Commons</x:v>
      </x:c>
      <x:c r="C511" t="str">
        <x:v>Pikachu</x:v>
      </x:c>
      <x:c r="D511" t="str">
        <x:v>50/149</x:v>
      </x:c>
      <x:c r="E511" t="str">
        <x:v>Boundaries Crossed</x:v>
      </x:c>
      <x:c r="F511" t="n">
        <x:v>2012</x:v>
      </x:c>
      <x:c r="G511" t="str">
        <x:v>Regular Common</x:v>
      </x:c>
      <x:c r="H511" t="str">
        <x:v>13 of 15</x:v>
      </x:c>
      <x:c r="I511" t="n">
        <x:v>2.25</x:v>
      </x:c>
      <x:c r="J511" t="n">
        <x:v>4</x:v>
      </x:c>
      <x:c r="K511" t="n">
        <x:v>3.125</x:v>
      </x:c>
      <x:c r="L511" t="str">
        <x:v>$1–5</x:v>
      </x:c>
      <x:c r="M511" t="str">
        <x:v>Yes</x:v>
      </x:c>
      <x:c r="N511" t="str">
        <x:v>No</x:v>
      </x:c>
      <x:c r="O511" t="str">
        <x:v>Yes</x:v>
      </x:c>
      <x:c r="P511" t="str">
        <x:v>Clean/NM benchmark unless noted</x:v>
      </x:c>
      <x:c r="Q511" t="n">
        <x:v>2.25</x:v>
      </x:c>
      <x:c r="R511" t="n">
        <x:v>4</x:v>
      </x:c>
      <x:c r="S511" t="n">
        <x:v>3.125</x:v>
      </x:c>
      <x:c r="T511" t="str">
        <x:v>Boundaries Crossed Pikachu 50/149 regular common. TCGplayer market currently about $2.99–3.04; working clean/NM range $2.25–4.00.</x:v>
      </x:c>
      <x:c r="U511" t="n">
        <x:v>953</x:v>
      </x:c>
      <x:c r="V511" t="str">
        <x:v>Current chat continuation / researched 2026-08-15</x:v>
      </x:c>
      <x:c r="W511" t="str">
        <x:v>https://www.tcgplayer.com/categories/trading-and-collectible-card-games/pokemon/price-guides/boundaries-crossed</x:v>
      </x:c>
    </x:row>
    <x:row r="512">
      <x:c r="A512" t="n">
        <x:v>511</x:v>
      </x:c>
      <x:c r="B512" t="str">
        <x:v>Electric / Commons</x:v>
      </x:c>
      <x:c r="C512" t="str">
        <x:v>Pikachu</x:v>
      </x:c>
      <x:c r="D512" t="str">
        <x:v>50/149</x:v>
      </x:c>
      <x:c r="E512" t="str">
        <x:v>Boundaries Crossed</x:v>
      </x:c>
      <x:c r="F512" t="n">
        <x:v>2012</x:v>
      </x:c>
      <x:c r="G512" t="str">
        <x:v>Regular Common</x:v>
      </x:c>
      <x:c r="H512" t="str">
        <x:v>14 of 15</x:v>
      </x:c>
      <x:c r="I512" t="n">
        <x:v>2.25</x:v>
      </x:c>
      <x:c r="J512" t="n">
        <x:v>4</x:v>
      </x:c>
      <x:c r="K512" t="n">
        <x:v>3.125</x:v>
      </x:c>
      <x:c r="L512" t="str">
        <x:v>$1–5</x:v>
      </x:c>
      <x:c r="M512" t="str">
        <x:v>Yes</x:v>
      </x:c>
      <x:c r="N512" t="str">
        <x:v>No</x:v>
      </x:c>
      <x:c r="O512" t="str">
        <x:v>Yes</x:v>
      </x:c>
      <x:c r="P512" t="str">
        <x:v>Clean/NM benchmark unless noted</x:v>
      </x:c>
      <x:c r="Q512" t="n">
        <x:v>2.25</x:v>
      </x:c>
      <x:c r="R512" t="n">
        <x:v>4</x:v>
      </x:c>
      <x:c r="S512" t="n">
        <x:v>3.125</x:v>
      </x:c>
      <x:c r="T512" t="str">
        <x:v>Boundaries Crossed Pikachu 50/149 regular common. TCGplayer market currently about $2.99–3.04; working clean/NM range $2.25–4.00.</x:v>
      </x:c>
      <x:c r="U512" t="n">
        <x:v>953</x:v>
      </x:c>
      <x:c r="V512" t="str">
        <x:v>Current chat continuation / researched 2026-08-15</x:v>
      </x:c>
      <x:c r="W512" t="str">
        <x:v>https://www.tcgplayer.com/categories/trading-and-collectible-card-games/pokemon/price-guides/boundaries-crossed</x:v>
      </x:c>
    </x:row>
    <x:row r="513">
      <x:c r="A513" t="n">
        <x:v>512</x:v>
      </x:c>
      <x:c r="B513" t="str">
        <x:v>Electric / Commons</x:v>
      </x:c>
      <x:c r="C513" t="str">
        <x:v>Pikachu</x:v>
      </x:c>
      <x:c r="D513" t="str">
        <x:v>50/149</x:v>
      </x:c>
      <x:c r="E513" t="str">
        <x:v>Boundaries Crossed</x:v>
      </x:c>
      <x:c r="F513" t="n">
        <x:v>2012</x:v>
      </x:c>
      <x:c r="G513" t="str">
        <x:v>Regular Common</x:v>
      </x:c>
      <x:c r="H513" t="str">
        <x:v>15 of 15</x:v>
      </x:c>
      <x:c r="I513" t="n">
        <x:v>2.25</x:v>
      </x:c>
      <x:c r="J513" t="n">
        <x:v>4</x:v>
      </x:c>
      <x:c r="K513" t="n">
        <x:v>3.125</x:v>
      </x:c>
      <x:c r="L513" t="str">
        <x:v>$1–5</x:v>
      </x:c>
      <x:c r="M513" t="str">
        <x:v>Yes</x:v>
      </x:c>
      <x:c r="N513" t="str">
        <x:v>No</x:v>
      </x:c>
      <x:c r="O513" t="str">
        <x:v>Yes</x:v>
      </x:c>
      <x:c r="P513" t="str">
        <x:v>Clean/NM benchmark unless noted</x:v>
      </x:c>
      <x:c r="Q513" t="n">
        <x:v>2.25</x:v>
      </x:c>
      <x:c r="R513" t="n">
        <x:v>4</x:v>
      </x:c>
      <x:c r="S513" t="n">
        <x:v>3.125</x:v>
      </x:c>
      <x:c r="T513" t="str">
        <x:v>Boundaries Crossed Pikachu 50/149 regular common. TCGplayer market currently about $2.99–3.04; working clean/NM range $2.25–4.00.</x:v>
      </x:c>
      <x:c r="U513" t="n">
        <x:v>953</x:v>
      </x:c>
      <x:c r="V513" t="str">
        <x:v>Current chat continuation / researched 2026-08-15</x:v>
      </x:c>
      <x:c r="W513" t="str">
        <x:v>https://www.tcgplayer.com/categories/trading-and-collectible-card-games/pokemon/price-guides/boundaries-crossed</x:v>
      </x:c>
    </x:row>
    <x:row r="514">
      <x:c r="A514" t="n">
        <x:v>513</x:v>
      </x:c>
      <x:c r="B514" t="str">
        <x:v>Electric / Commons</x:v>
      </x:c>
      <x:c r="C514" t="str">
        <x:v>Pikachu</x:v>
      </x:c>
      <x:c r="D514" t="str">
        <x:v>39/99</x:v>
      </x:c>
      <x:c r="E514" t="str">
        <x:v>Next Destinies</x:v>
      </x:c>
      <x:c r="F514" t="n">
        <x:v>2012</x:v>
      </x:c>
      <x:c r="G514" t="str">
        <x:v>Reverse Holo</x:v>
      </x:c>
      <x:c r="H514" t="str">
        <x:v>1 of 2</x:v>
      </x:c>
      <x:c r="I514" t="n">
        <x:v>20</x:v>
      </x:c>
      <x:c r="J514" t="n">
        <x:v>30</x:v>
      </x:c>
      <x:c r="K514" t="n">
        <x:v>25</x:v>
      </x:c>
      <x:c r="L514" t="str">
        <x:v>$20+</x:v>
      </x:c>
      <x:c r="M514" t="str">
        <x:v>Yes</x:v>
      </x:c>
      <x:c r="N514" t="str">
        <x:v>Yes</x:v>
      </x:c>
      <x:c r="O514" t="str">
        <x:v>Yes</x:v>
      </x:c>
      <x:c r="P514" t="str">
        <x:v>Clean/NM benchmark unless noted</x:v>
      </x:c>
      <x:c r="Q514" t="n">
        <x:v>20</x:v>
      </x:c>
      <x:c r="R514" t="n">
        <x:v>30</x:v>
      </x:c>
      <x:c r="S514" t="n">
        <x:v>25</x:v>
      </x:c>
      <x:c r="T514" t="str">
        <x:v>Next Destinies Pikachu 39/99 reverse holo. TCGplayer NM reverse-holo guide about $24.35; recent NM sale around $25.93 and recent raw/NM comps extend into the upper $20s/30s. Working clean/NM range $20–30.</x:v>
      </x:c>
      <x:c r="U514" t="n">
        <x:v>954</x:v>
      </x:c>
      <x:c r="V514" t="str">
        <x:v>Current chat continuation / researched 2026-08-15</x:v>
      </x:c>
      <x:c r="W514" t="str">
        <x:v>https://www.tcgplayer.com/categories/trading-collectible-card-games/pokemon/price-guides/next-destinies</x:v>
      </x:c>
    </x:row>
    <x:row r="515">
      <x:c r="A515" t="n">
        <x:v>514</x:v>
      </x:c>
      <x:c r="B515" t="str">
        <x:v>Electric / Commons</x:v>
      </x:c>
      <x:c r="C515" t="str">
        <x:v>Pikachu</x:v>
      </x:c>
      <x:c r="D515" t="str">
        <x:v>39/99</x:v>
      </x:c>
      <x:c r="E515" t="str">
        <x:v>Next Destinies</x:v>
      </x:c>
      <x:c r="F515" t="n">
        <x:v>2012</x:v>
      </x:c>
      <x:c r="G515" t="str">
        <x:v>Reverse Holo</x:v>
      </x:c>
      <x:c r="H515" t="str">
        <x:v>2 of 2</x:v>
      </x:c>
      <x:c r="I515" t="n">
        <x:v>20</x:v>
      </x:c>
      <x:c r="J515" t="n">
        <x:v>30</x:v>
      </x:c>
      <x:c r="K515" t="n">
        <x:v>25</x:v>
      </x:c>
      <x:c r="L515" t="str">
        <x:v>$20+</x:v>
      </x:c>
      <x:c r="M515" t="str">
        <x:v>Yes</x:v>
      </x:c>
      <x:c r="N515" t="str">
        <x:v>Yes</x:v>
      </x:c>
      <x:c r="O515" t="str">
        <x:v>Yes</x:v>
      </x:c>
      <x:c r="P515" t="str">
        <x:v>Clean/NM benchmark unless noted</x:v>
      </x:c>
      <x:c r="Q515" t="n">
        <x:v>20</x:v>
      </x:c>
      <x:c r="R515" t="n">
        <x:v>30</x:v>
      </x:c>
      <x:c r="S515" t="n">
        <x:v>25</x:v>
      </x:c>
      <x:c r="T515" t="str">
        <x:v>Next Destinies Pikachu 39/99 reverse holo. TCGplayer NM reverse-holo guide about $24.35; recent NM sale around $25.93 and recent raw/NM comps extend into the upper $20s/30s. Working clean/NM range $20–30.</x:v>
      </x:c>
      <x:c r="U515" t="n">
        <x:v>954</x:v>
      </x:c>
      <x:c r="V515" t="str">
        <x:v>Current chat continuation / researched 2026-08-15</x:v>
      </x:c>
      <x:c r="W515" t="str">
        <x:v>https://www.tcgplayer.com/categories/trading-collectible-card-games/pokemon/price-guides/next-destinies</x:v>
      </x:c>
    </x:row>
    <x:row r="516">
      <x:c r="A516" t="n">
        <x:v>515</x:v>
      </x:c>
      <x:c r="B516" t="str">
        <x:v>Electric / Commons</x:v>
      </x:c>
      <x:c r="C516" t="str">
        <x:v>Pikachu</x:v>
      </x:c>
      <x:c r="D516" t="str">
        <x:v>39/99</x:v>
      </x:c>
      <x:c r="E516" t="str">
        <x:v>Next Destinies</x:v>
      </x:c>
      <x:c r="F516" t="n">
        <x:v>2012</x:v>
      </x:c>
      <x:c r="G516" t="str">
        <x:v>Regular Common</x:v>
      </x:c>
      <x:c r="H516" t="str">
        <x:v>1 of 6</x:v>
      </x:c>
      <x:c r="I516" t="n">
        <x:v>4</x:v>
      </x:c>
      <x:c r="J516" t="n">
        <x:v>6</x:v>
      </x:c>
      <x:c r="K516" t="n">
        <x:v>5</x:v>
      </x:c>
      <x:c r="L516" t="str">
        <x:v>$5–20</x:v>
      </x:c>
      <x:c r="M516" t="str">
        <x:v>Yes</x:v>
      </x:c>
      <x:c r="N516" t="str">
        <x:v>No</x:v>
      </x:c>
      <x:c r="O516" t="str">
        <x:v>Yes</x:v>
      </x:c>
      <x:c r="P516" t="str">
        <x:v>Clean/NM benchmark unless noted</x:v>
      </x:c>
      <x:c r="Q516" t="n">
        <x:v>4</x:v>
      </x:c>
      <x:c r="R516" t="n">
        <x:v>6</x:v>
      </x:c>
      <x:c r="S516" t="n">
        <x:v>5</x:v>
      </x:c>
      <x:c r="T516" t="str">
        <x:v>Next Destinies Pikachu 39/99 regular common. TCGplayer market currently about $5.02–5.08. Working clean/NM range $4–6.</x:v>
      </x:c>
      <x:c r="U516" t="n">
        <x:v>954</x:v>
      </x:c>
      <x:c r="V516" t="str">
        <x:v>Current chat continuation / researched 2026-08-15</x:v>
      </x:c>
      <x:c r="W516" t="str">
        <x:v>https://www.tcgplayer.com/categories/trading-collectible-card-games/pokemon/price-guides/next-destinies</x:v>
      </x:c>
    </x:row>
    <x:row r="517">
      <x:c r="A517" t="n">
        <x:v>516</x:v>
      </x:c>
      <x:c r="B517" t="str">
        <x:v>Electric / Commons</x:v>
      </x:c>
      <x:c r="C517" t="str">
        <x:v>Pikachu</x:v>
      </x:c>
      <x:c r="D517" t="str">
        <x:v>39/99</x:v>
      </x:c>
      <x:c r="E517" t="str">
        <x:v>Next Destinies</x:v>
      </x:c>
      <x:c r="F517" t="n">
        <x:v>2012</x:v>
      </x:c>
      <x:c r="G517" t="str">
        <x:v>Regular Common</x:v>
      </x:c>
      <x:c r="H517" t="str">
        <x:v>2 of 6</x:v>
      </x:c>
      <x:c r="I517" t="n">
        <x:v>4</x:v>
      </x:c>
      <x:c r="J517" t="n">
        <x:v>6</x:v>
      </x:c>
      <x:c r="K517" t="n">
        <x:v>5</x:v>
      </x:c>
      <x:c r="L517" t="str">
        <x:v>$5–20</x:v>
      </x:c>
      <x:c r="M517" t="str">
        <x:v>Yes</x:v>
      </x:c>
      <x:c r="N517" t="str">
        <x:v>No</x:v>
      </x:c>
      <x:c r="O517" t="str">
        <x:v>Yes</x:v>
      </x:c>
      <x:c r="P517" t="str">
        <x:v>Clean/NM benchmark unless noted</x:v>
      </x:c>
      <x:c r="Q517" t="n">
        <x:v>4</x:v>
      </x:c>
      <x:c r="R517" t="n">
        <x:v>6</x:v>
      </x:c>
      <x:c r="S517" t="n">
        <x:v>5</x:v>
      </x:c>
      <x:c r="T517" t="str">
        <x:v>Next Destinies Pikachu 39/99 regular common. TCGplayer market currently about $5.02–5.08. Working clean/NM range $4–6.</x:v>
      </x:c>
      <x:c r="U517" t="n">
        <x:v>954</x:v>
      </x:c>
      <x:c r="V517" t="str">
        <x:v>Current chat continuation / researched 2026-08-15</x:v>
      </x:c>
      <x:c r="W517" t="str">
        <x:v>https://www.tcgplayer.com/categories/trading-collectible-card-games/pokemon/price-guides/next-destinies</x:v>
      </x:c>
    </x:row>
    <x:row r="518">
      <x:c r="A518" t="n">
        <x:v>517</x:v>
      </x:c>
      <x:c r="B518" t="str">
        <x:v>Electric / Commons</x:v>
      </x:c>
      <x:c r="C518" t="str">
        <x:v>Pikachu</x:v>
      </x:c>
      <x:c r="D518" t="str">
        <x:v>39/99</x:v>
      </x:c>
      <x:c r="E518" t="str">
        <x:v>Next Destinies</x:v>
      </x:c>
      <x:c r="F518" t="n">
        <x:v>2012</x:v>
      </x:c>
      <x:c r="G518" t="str">
        <x:v>Regular Common</x:v>
      </x:c>
      <x:c r="H518" t="str">
        <x:v>3 of 6</x:v>
      </x:c>
      <x:c r="I518" t="n">
        <x:v>4</x:v>
      </x:c>
      <x:c r="J518" t="n">
        <x:v>6</x:v>
      </x:c>
      <x:c r="K518" t="n">
        <x:v>5</x:v>
      </x:c>
      <x:c r="L518" t="str">
        <x:v>$5–20</x:v>
      </x:c>
      <x:c r="M518" t="str">
        <x:v>Yes</x:v>
      </x:c>
      <x:c r="N518" t="str">
        <x:v>No</x:v>
      </x:c>
      <x:c r="O518" t="str">
        <x:v>Yes</x:v>
      </x:c>
      <x:c r="P518" t="str">
        <x:v>Clean/NM benchmark unless noted</x:v>
      </x:c>
      <x:c r="Q518" t="n">
        <x:v>4</x:v>
      </x:c>
      <x:c r="R518" t="n">
        <x:v>6</x:v>
      </x:c>
      <x:c r="S518" t="n">
        <x:v>5</x:v>
      </x:c>
      <x:c r="T518" t="str">
        <x:v>Next Destinies Pikachu 39/99 regular common. TCGplayer market currently about $5.02–5.08. Working clean/NM range $4–6.</x:v>
      </x:c>
      <x:c r="U518" t="n">
        <x:v>954</x:v>
      </x:c>
      <x:c r="V518" t="str">
        <x:v>Current chat continuation / researched 2026-08-15</x:v>
      </x:c>
      <x:c r="W518" t="str">
        <x:v>https://www.tcgplayer.com/categories/trading-collectible-card-games/pokemon/price-guides/next-destinies</x:v>
      </x:c>
    </x:row>
    <x:row r="519">
      <x:c r="A519" t="n">
        <x:v>518</x:v>
      </x:c>
      <x:c r="B519" t="str">
        <x:v>Electric / Commons</x:v>
      </x:c>
      <x:c r="C519" t="str">
        <x:v>Pikachu</x:v>
      </x:c>
      <x:c r="D519" t="str">
        <x:v>39/99</x:v>
      </x:c>
      <x:c r="E519" t="str">
        <x:v>Next Destinies</x:v>
      </x:c>
      <x:c r="F519" t="n">
        <x:v>2012</x:v>
      </x:c>
      <x:c r="G519" t="str">
        <x:v>Regular Common</x:v>
      </x:c>
      <x:c r="H519" t="str">
        <x:v>4 of 6</x:v>
      </x:c>
      <x:c r="I519" t="n">
        <x:v>4</x:v>
      </x:c>
      <x:c r="J519" t="n">
        <x:v>6</x:v>
      </x:c>
      <x:c r="K519" t="n">
        <x:v>5</x:v>
      </x:c>
      <x:c r="L519" t="str">
        <x:v>$5–20</x:v>
      </x:c>
      <x:c r="M519" t="str">
        <x:v>Yes</x:v>
      </x:c>
      <x:c r="N519" t="str">
        <x:v>No</x:v>
      </x:c>
      <x:c r="O519" t="str">
        <x:v>Yes</x:v>
      </x:c>
      <x:c r="P519" t="str">
        <x:v>Clean/NM benchmark unless noted</x:v>
      </x:c>
      <x:c r="Q519" t="n">
        <x:v>4</x:v>
      </x:c>
      <x:c r="R519" t="n">
        <x:v>6</x:v>
      </x:c>
      <x:c r="S519" t="n">
        <x:v>5</x:v>
      </x:c>
      <x:c r="T519" t="str">
        <x:v>Next Destinies Pikachu 39/99 regular common. TCGplayer market currently about $5.02–5.08. Working clean/NM range $4–6.</x:v>
      </x:c>
      <x:c r="U519" t="n">
        <x:v>954</x:v>
      </x:c>
      <x:c r="V519" t="str">
        <x:v>Current chat continuation / researched 2026-08-15</x:v>
      </x:c>
      <x:c r="W519" t="str">
        <x:v>https://www.tcgplayer.com/categories/trading-collectible-card-games/pokemon/price-guides/next-destinies</x:v>
      </x:c>
    </x:row>
    <x:row r="520">
      <x:c r="A520" t="n">
        <x:v>519</x:v>
      </x:c>
      <x:c r="B520" t="str">
        <x:v>Electric / Commons</x:v>
      </x:c>
      <x:c r="C520" t="str">
        <x:v>Pikachu</x:v>
      </x:c>
      <x:c r="D520" t="str">
        <x:v>39/99</x:v>
      </x:c>
      <x:c r="E520" t="str">
        <x:v>Next Destinies</x:v>
      </x:c>
      <x:c r="F520" t="n">
        <x:v>2012</x:v>
      </x:c>
      <x:c r="G520" t="str">
        <x:v>Regular Common</x:v>
      </x:c>
      <x:c r="H520" t="str">
        <x:v>5 of 6</x:v>
      </x:c>
      <x:c r="I520" t="n">
        <x:v>4</x:v>
      </x:c>
      <x:c r="J520" t="n">
        <x:v>6</x:v>
      </x:c>
      <x:c r="K520" t="n">
        <x:v>5</x:v>
      </x:c>
      <x:c r="L520" t="str">
        <x:v>$5–20</x:v>
      </x:c>
      <x:c r="M520" t="str">
        <x:v>Yes</x:v>
      </x:c>
      <x:c r="N520" t="str">
        <x:v>No</x:v>
      </x:c>
      <x:c r="O520" t="str">
        <x:v>Yes</x:v>
      </x:c>
      <x:c r="P520" t="str">
        <x:v>Clean/NM benchmark unless noted</x:v>
      </x:c>
      <x:c r="Q520" t="n">
        <x:v>4</x:v>
      </x:c>
      <x:c r="R520" t="n">
        <x:v>6</x:v>
      </x:c>
      <x:c r="S520" t="n">
        <x:v>5</x:v>
      </x:c>
      <x:c r="T520" t="str">
        <x:v>Next Destinies Pikachu 39/99 regular common. TCGplayer market currently about $5.02–5.08. Working clean/NM range $4–6.</x:v>
      </x:c>
      <x:c r="U520" t="n">
        <x:v>954</x:v>
      </x:c>
      <x:c r="V520" t="str">
        <x:v>Current chat continuation / researched 2026-08-15</x:v>
      </x:c>
      <x:c r="W520" t="str">
        <x:v>https://www.tcgplayer.com/categories/trading-collectible-card-games/pokemon/price-guides/next-destinies</x:v>
      </x:c>
    </x:row>
    <x:row r="521">
      <x:c r="A521" t="n">
        <x:v>520</x:v>
      </x:c>
      <x:c r="B521" t="str">
        <x:v>Electric / Commons</x:v>
      </x:c>
      <x:c r="C521" t="str">
        <x:v>Pikachu</x:v>
      </x:c>
      <x:c r="D521" t="str">
        <x:v>39/99</x:v>
      </x:c>
      <x:c r="E521" t="str">
        <x:v>Next Destinies</x:v>
      </x:c>
      <x:c r="F521" t="n">
        <x:v>2012</x:v>
      </x:c>
      <x:c r="G521" t="str">
        <x:v>Regular Common</x:v>
      </x:c>
      <x:c r="H521" t="str">
        <x:v>6 of 6</x:v>
      </x:c>
      <x:c r="I521" t="n">
        <x:v>4</x:v>
      </x:c>
      <x:c r="J521" t="n">
        <x:v>6</x:v>
      </x:c>
      <x:c r="K521" t="n">
        <x:v>5</x:v>
      </x:c>
      <x:c r="L521" t="str">
        <x:v>$5–20</x:v>
      </x:c>
      <x:c r="M521" t="str">
        <x:v>Yes</x:v>
      </x:c>
      <x:c r="N521" t="str">
        <x:v>No</x:v>
      </x:c>
      <x:c r="O521" t="str">
        <x:v>Yes</x:v>
      </x:c>
      <x:c r="P521" t="str">
        <x:v>Clean/NM benchmark unless noted</x:v>
      </x:c>
      <x:c r="Q521" t="n">
        <x:v>4</x:v>
      </x:c>
      <x:c r="R521" t="n">
        <x:v>6</x:v>
      </x:c>
      <x:c r="S521" t="n">
        <x:v>5</x:v>
      </x:c>
      <x:c r="T521" t="str">
        <x:v>Next Destinies Pikachu 39/99 regular common. TCGplayer market currently about $5.02–5.08. Working clean/NM range $4–6.</x:v>
      </x:c>
      <x:c r="U521" t="n">
        <x:v>954</x:v>
      </x:c>
      <x:c r="V521" t="str">
        <x:v>Current chat continuation / researched 2026-08-15</x:v>
      </x:c>
      <x:c r="W521" t="str">
        <x:v>https://www.tcgplayer.com/categories/trading-collectible-card-games/pokemon/price-guides/next-destinies</x:v>
      </x:c>
    </x:row>
    <x:row r="522">
      <x:c r="A522" t="n">
        <x:v>521</x:v>
      </x:c>
      <x:c r="B522" t="str">
        <x:v>Electric / Commons</x:v>
      </x:c>
      <x:c r="C522" t="str">
        <x:v>Pikachu</x:v>
      </x:c>
      <x:c r="D522" t="str">
        <x:v>94/123</x:v>
      </x:c>
      <x:c r="E522" t="str">
        <x:v>Mysterious Treasures</x:v>
      </x:c>
      <x:c r="F522" t="n">
        <x:v>2007</x:v>
      </x:c>
      <x:c r="G522" t="str">
        <x:v>Regular Common (LV.15)</x:v>
      </x:c>
      <x:c r="H522" t="str">
        <x:v>1 of 1</x:v>
      </x:c>
      <x:c r="I522" t="n">
        <x:v>13</x:v>
      </x:c>
      <x:c r="J522" t="n">
        <x:v>22</x:v>
      </x:c>
      <x:c r="K522" t="n">
        <x:v>17.5</x:v>
      </x:c>
      <x:c r="L522" t="str">
        <x:v>$5–20</x:v>
      </x:c>
      <x:c r="M522" t="str">
        <x:v>Yes</x:v>
      </x:c>
      <x:c r="N522" t="str">
        <x:v>Yes</x:v>
      </x:c>
      <x:c r="O522" t="str">
        <x:v>Yes</x:v>
      </x:c>
      <x:c r="P522" t="str">
        <x:v>Played / likely MP; notable back wear</x:v>
      </x:c>
      <x:c r="Q522" t="n">
        <x:v>6</x:v>
      </x:c>
      <x:c r="R522" t="n">
        <x:v>12</x:v>
      </x:c>
      <x:c r="S522" t="n">
        <x:v>9</x:v>
      </x:c>
      <x:c r="T522" t="str">
        <x:v>Mysterious Treasures Pikachu LV.15 94/123 regular. Clean/NM recent TCGplayer sales are commonly about $17–22; PriceCharting ungraded about $13.61. User reports the back is not in great shape, so as-is value is temporarily $6–12 pending photos. Reverse holo is a separate, much higher-value printing.</x:v>
      </x:c>
      <x:c r="U522" t="n">
        <x:v>955</x:v>
      </x:c>
      <x:c r="V522" t="str">
        <x:v>Current chat continuation / researched 2026-08-15</x:v>
      </x:c>
      <x:c r="W522" t="str">
        <x:v>https://www.pricecharting.com/game/pokemon-mysterious-treasures/pikachu-94</x:v>
      </x:c>
    </x:row>
    <x:row r="523">
      <x:c r="A523" t="n">
        <x:v>522</x:v>
      </x:c>
      <x:c r="B523" t="str">
        <x:v>Electric / Commons</x:v>
      </x:c>
      <x:c r="C523" t="str">
        <x:v>Pikachu</x:v>
      </x:c>
      <x:c r="D523" t="str">
        <x:v>71/99</x:v>
      </x:c>
      <x:c r="E523" t="str">
        <x:v>Arceus</x:v>
      </x:c>
      <x:c r="F523" t="n">
        <x:v>2009</x:v>
      </x:c>
      <x:c r="G523" t="str">
        <x:v>Regular Common (LV.17)</x:v>
      </x:c>
      <x:c r="H523" t="str">
        <x:v>1 of 1</x:v>
      </x:c>
      <x:c r="I523" t="n">
        <x:v>5</x:v>
      </x:c>
      <x:c r="J523" t="n">
        <x:v>7.5</x:v>
      </x:c>
      <x:c r="K523" t="n">
        <x:v>6.25</x:v>
      </x:c>
      <x:c r="L523" t="str">
        <x:v>$5–20</x:v>
      </x:c>
      <x:c r="M523" t="str">
        <x:v>Yes</x:v>
      </x:c>
      <x:c r="N523" t="str">
        <x:v>No</x:v>
      </x:c>
      <x:c r="O523" t="str">
        <x:v>Yes</x:v>
      </x:c>
      <x:c r="P523" t="str">
        <x:v>Clean/NM benchmark unless noted</x:v>
      </x:c>
      <x:c r="Q523" t="n">
        <x:v>5</x:v>
      </x:c>
      <x:c r="R523" t="n">
        <x:v>7.5</x:v>
      </x:c>
      <x:c r="S523" t="n">
        <x:v>6.25</x:v>
      </x:c>
      <x:c r="T523" t="str">
        <x:v>Arceus Pikachu LV.17 71/99 regular common. TCGplayer market currently about $6.55; PriceCharting ungraded about $5.99. Reverse holo is a separate, significantly more valuable printing.</x:v>
      </x:c>
      <x:c r="U523" t="n">
        <x:v>955</x:v>
      </x:c>
      <x:c r="V523" t="str">
        <x:v>Current chat continuation / researched 2026-08-15</x:v>
      </x:c>
      <x:c r="W523" t="str">
        <x:v>https://www.pricecharting.com/game/pokemon-arceus/pikachu-71</x:v>
      </x:c>
    </x:row>
    <x:row r="524">
      <x:c r="A524" t="n">
        <x:v>523</x:v>
      </x:c>
      <x:c r="B524" t="str">
        <x:v>Electric / Commons</x:v>
      </x:c>
      <x:c r="C524" t="str">
        <x:v>Pikachu</x:v>
      </x:c>
      <x:c r="D524" t="str">
        <x:v>87/130</x:v>
      </x:c>
      <x:c r="E524" t="str">
        <x:v>Base Set 2</x:v>
      </x:c>
      <x:c r="F524" t="n">
        <x:v>2000</x:v>
      </x:c>
      <x:c r="G524" t="str">
        <x:v>Regular Common</x:v>
      </x:c>
      <x:c r="H524" t="str">
        <x:v>1 of 1</x:v>
      </x:c>
      <x:c r="I524" t="n">
        <x:v>2</x:v>
      </x:c>
      <x:c r="J524" t="n">
        <x:v>3.5</x:v>
      </x:c>
      <x:c r="K524" t="n">
        <x:v>2.75</x:v>
      </x:c>
      <x:c r="L524" t="str">
        <x:v>$1–5</x:v>
      </x:c>
      <x:c r="M524" t="str">
        <x:v>Yes</x:v>
      </x:c>
      <x:c r="N524" t="str">
        <x:v>No</x:v>
      </x:c>
      <x:c r="O524" t="str">
        <x:v>Yes</x:v>
      </x:c>
      <x:c r="P524" t="str">
        <x:v>Clean/NM benchmark unless noted</x:v>
      </x:c>
      <x:c r="Q524" t="n">
        <x:v>2</x:v>
      </x:c>
      <x:c r="R524" t="n">
        <x:v>3.5</x:v>
      </x:c>
      <x:c r="S524" t="n">
        <x:v>2.75</x:v>
      </x:c>
      <x:c r="T524" t="str">
        <x:v>Base Set 2 Pikachu 87/130 regular common. TCGplayer market currently about $2.75–2.85; PriceCharting ungraded about $2.59.</x:v>
      </x:c>
      <x:c r="U524" t="n">
        <x:v>955</x:v>
      </x:c>
      <x:c r="V524" t="str">
        <x:v>Current chat continuation / researched 2026-08-15</x:v>
      </x:c>
      <x:c r="W524" t="str">
        <x:v>https://www.pricecharting.com/game/pokemon-base-set-2/pikachu-87</x:v>
      </x:c>
    </x:row>
    <x:row r="525">
      <x:c r="A525" t="n">
        <x:v>524</x:v>
      </x:c>
      <x:c r="B525" t="str">
        <x:v>Electric / Commons</x:v>
      </x:c>
      <x:c r="C525" t="str">
        <x:v>Lt. Surge's Pikachu</x:v>
      </x:c>
      <x:c r="D525" t="str">
        <x:v>81/132</x:v>
      </x:c>
      <x:c r="E525" t="str">
        <x:v>Gym Heroes</x:v>
      </x:c>
      <x:c r="F525" t="n">
        <x:v>2000</x:v>
      </x:c>
      <x:c r="G525" t="str">
        <x:v>Regular Common (Unlimited assumed)</x:v>
      </x:c>
      <x:c r="H525" t="str">
        <x:v>1 of 1</x:v>
      </x:c>
      <x:c r="I525" t="n">
        <x:v>4</x:v>
      </x:c>
      <x:c r="J525" t="n">
        <x:v>8.5</x:v>
      </x:c>
      <x:c r="K525" t="n">
        <x:v>6.25</x:v>
      </x:c>
      <x:c r="L525" t="str">
        <x:v>$5–20</x:v>
      </x:c>
      <x:c r="M525" t="str">
        <x:v>Yes</x:v>
      </x:c>
      <x:c r="N525" t="str">
        <x:v>No</x:v>
      </x:c>
      <x:c r="O525" t="str">
        <x:v>Yes</x:v>
      </x:c>
      <x:c r="P525" t="str">
        <x:v>Played / HP-DMG; wrinkles/creases</x:v>
      </x:c>
      <x:c r="Q525" t="n">
        <x:v>2.5</x:v>
      </x:c>
      <x:c r="R525" t="n">
        <x:v>5.5</x:v>
      </x:c>
      <x:c r="S525" t="n">
        <x:v>4</x:v>
      </x:c>
      <x:c r="T525" t="str">
        <x:v>Gym Heroes Lt. Surge's Pikachu 81/132, Unlimited assumed. Recent 2026 NM TCGplayer sales commonly fall around $4–8.50. User reports a few wrinkles/creases, so treated as heavily played/damaged with a temporary $2.50–5.50 as-is range. Reprice materially higher if 1st Edition.</x:v>
      </x:c>
      <x:c r="U525" t="n">
        <x:v>955</x:v>
      </x:c>
      <x:c r="V525" t="str">
        <x:v>Current chat continuation / researched 2026-08-15</x:v>
      </x:c>
      <x:c r="W525" t="str">
        <x:v>https://www.pricecharting.com/game/pokemon-gym-heroes/lt-surge%27s-pikachu-81</x:v>
      </x:c>
    </x:row>
    <x:row r="526">
      <x:c r="A526" t="n">
        <x:v>525</x:v>
      </x:c>
      <x:c r="B526" t="str">
        <x:v>Electric / Commons</x:v>
      </x:c>
      <x:c r="C526" t="str">
        <x:v>Blitzle</x:v>
      </x:c>
      <x:c r="D526" t="str">
        <x:v>47/99</x:v>
      </x:c>
      <x:c r="E526" t="str">
        <x:v>Next Destinies</x:v>
      </x:c>
      <x:c r="F526" t="n">
        <x:v>2012</x:v>
      </x:c>
      <x:c r="G526" t="str">
        <x:v>Reverse Holo</x:v>
      </x:c>
      <x:c r="H526" t="str">
        <x:v>1 of 2</x:v>
      </x:c>
      <x:c r="I526" t="n">
        <x:v>0.7</x:v>
      </x:c>
      <x:c r="J526" t="n">
        <x:v>1.1</x:v>
      </x:c>
      <x:c r="K526" t="n">
        <x:v>0.9</x:v>
      </x:c>
      <x:c r="L526" t="str">
        <x:v>$1–5</x:v>
      </x:c>
      <x:c r="M526" t="str">
        <x:v>Yes</x:v>
      </x:c>
      <x:c r="N526" t="str">
        <x:v>No</x:v>
      </x:c>
      <x:c r="O526" t="str">
        <x:v>Yes</x:v>
      </x:c>
      <x:c r="P526" t="str">
        <x:v>Clean/NM benchmark unless noted</x:v>
      </x:c>
      <x:c r="Q526" t="n">
        <x:v>0.7</x:v>
      </x:c>
      <x:c r="R526" t="n">
        <x:v>1.1</x:v>
      </x:c>
      <x:c r="S526" t="n">
        <x:v>0.9</x:v>
      </x:c>
      <x:c r="T526" t="str">
        <x:v>Next Destinies Blitzle 47/99 reverse holo. PriceCharting currently places ungraded around $0.90; TCGplayer reverse/holofoil pricing is roughly $0.70. Borderline, but included under the user's 'about $1+' logging rule.</x:v>
      </x:c>
      <x:c r="U526" t="n">
        <x:v>956</x:v>
      </x:c>
      <x:c r="V526" t="str">
        <x:v>Current chat continuation / researched 2026-08-15</x:v>
      </x:c>
      <x:c r="W526" t="str">
        <x:v>https://www.pricecharting.com/game/pokemon-next-destinies/blitzle-reverse-holo-47</x:v>
      </x:c>
    </x:row>
    <x:row r="527">
      <x:c r="A527" t="n">
        <x:v>526</x:v>
      </x:c>
      <x:c r="B527" t="str">
        <x:v>Electric / Commons</x:v>
      </x:c>
      <x:c r="C527" t="str">
        <x:v>Mareep</x:v>
      </x:c>
      <x:c r="D527" t="str">
        <x:v>38/124</x:v>
      </x:c>
      <x:c r="E527" t="str">
        <x:v>Dragons Exalted</x:v>
      </x:c>
      <x:c r="F527" t="n">
        <x:v>2012</x:v>
      </x:c>
      <x:c r="G527" t="str">
        <x:v>Reverse Holo</x:v>
      </x:c>
      <x:c r="H527" t="str">
        <x:v>1 of 1</x:v>
      </x:c>
      <x:c r="I527" t="n">
        <x:v>1.1</x:v>
      </x:c>
      <x:c r="J527" t="n">
        <x:v>2.2</x:v>
      </x:c>
      <x:c r="K527" t="n">
        <x:v>1.65</x:v>
      </x:c>
      <x:c r="L527" t="str">
        <x:v>$1–5</x:v>
      </x:c>
      <x:c r="M527" t="str">
        <x:v>Yes</x:v>
      </x:c>
      <x:c r="N527" t="str">
        <x:v>No</x:v>
      </x:c>
      <x:c r="O527" t="str">
        <x:v>Yes</x:v>
      </x:c>
      <x:c r="P527" t="str">
        <x:v>Clean/NM benchmark unless noted</x:v>
      </x:c>
      <x:c r="Q527" t="n">
        <x:v>1.1</x:v>
      </x:c>
      <x:c r="R527" t="n">
        <x:v>2.2</x:v>
      </x:c>
      <x:c r="S527" t="n">
        <x:v>1.65</x:v>
      </x:c>
      <x:c r="T527" t="str">
        <x:v>Dragons Exalted Mareep 38/124 reverse holo. Recent NM TCGplayer sales are about $1.10–1.40, while PriceCharting ungraded is about $2.18; working clean/NM range $1.10–2.20.</x:v>
      </x:c>
      <x:c r="U527" t="n">
        <x:v>956</x:v>
      </x:c>
      <x:c r="V527" t="str">
        <x:v>Current chat continuation / researched 2026-08-15</x:v>
      </x:c>
      <x:c r="W527" t="str">
        <x:v>https://www.pricecharting.com/game/pokemon-dragons-exalted/mareep-reverse-holo-38</x:v>
      </x:c>
    </x:row>
    <x:row r="528">
      <x:c r="A528" t="n">
        <x:v>527</x:v>
      </x:c>
      <x:c r="B528" t="str">
        <x:v>Electric / Commons</x:v>
      </x:c>
      <x:c r="C528" t="str">
        <x:v>Manectric</x:v>
      </x:c>
      <x:c r="D528" t="str">
        <x:v>38/107</x:v>
      </x:c>
      <x:c r="E528" t="str">
        <x:v>EX Deoxys</x:v>
      </x:c>
      <x:c r="F528" t="n">
        <x:v>2005</x:v>
      </x:c>
      <x:c r="G528" t="str">
        <x:v>Regular</x:v>
      </x:c>
      <x:c r="H528" t="str">
        <x:v>1 of 1</x:v>
      </x:c>
      <x:c r="I528" t="n">
        <x:v>0.85</x:v>
      </x:c>
      <x:c r="J528" t="n">
        <x:v>2</x:v>
      </x:c>
      <x:c r="K528" t="n">
        <x:v>1.425</x:v>
      </x:c>
      <x:c r="L528" t="str">
        <x:v>$1–5</x:v>
      </x:c>
      <x:c r="M528" t="str">
        <x:v>Yes</x:v>
      </x:c>
      <x:c r="N528" t="str">
        <x:v>No</x:v>
      </x:c>
      <x:c r="O528" t="str">
        <x:v>Yes</x:v>
      </x:c>
      <x:c r="P528" t="str">
        <x:v>Clean/NM benchmark unless noted</x:v>
      </x:c>
      <x:c r="Q528" t="n">
        <x:v>0.85</x:v>
      </x:c>
      <x:c r="R528" t="n">
        <x:v>2</x:v>
      </x:c>
      <x:c r="S528" t="n">
        <x:v>1.425</x:v>
      </x:c>
      <x:c r="T528" t="str">
        <x:v>CORRECTED: EX Deoxys Manectric 38/107 regular printing. User did not identify this copy as reverse holo. TCGplayer normal market is about $1.19; recent NM sales are roughly $0.86–$1.99. Working clean/NM range $0.85–2.00.</x:v>
      </x:c>
      <x:c r="U528" t="n">
        <x:v>957</x:v>
      </x:c>
      <x:c r="V528" t="str">
        <x:v>Current chat continuation / corrected 2026-08-15</x:v>
      </x:c>
      <x:c r="W528" t="str">
        <x:v>https://www.tcgplayer.com/product/87155/pokemon-deoxys-manectric</x:v>
      </x:c>
    </x:row>
    <x:row r="529">
      <x:c r="A529" t="n">
        <x:v>528</x:v>
      </x:c>
      <x:c r="B529" t="str">
        <x:v>Electric / Commons</x:v>
      </x:c>
      <x:c r="C529" t="str">
        <x:v>Manectric G</x:v>
      </x:c>
      <x:c r="D529" t="str">
        <x:v>66/147</x:v>
      </x:c>
      <x:c r="E529" t="str">
        <x:v>Supreme Victors</x:v>
      </x:c>
      <x:c r="F529" t="n">
        <x:v>2009</x:v>
      </x:c>
      <x:c r="G529" t="str">
        <x:v>Regular (LV.58)</x:v>
      </x:c>
      <x:c r="H529" t="str">
        <x:v>1 of 1</x:v>
      </x:c>
      <x:c r="I529" t="n">
        <x:v>0.75</x:v>
      </x:c>
      <x:c r="J529" t="n">
        <x:v>1.5</x:v>
      </x:c>
      <x:c r="K529" t="n">
        <x:v>1.125</x:v>
      </x:c>
      <x:c r="L529" t="str">
        <x:v>$1–5</x:v>
      </x:c>
      <x:c r="M529" t="str">
        <x:v>Yes</x:v>
      </x:c>
      <x:c r="N529" t="str">
        <x:v>No</x:v>
      </x:c>
      <x:c r="O529" t="str">
        <x:v>Yes</x:v>
      </x:c>
      <x:c r="P529" t="str">
        <x:v>Clean/NM benchmark unless noted</x:v>
      </x:c>
      <x:c r="Q529" t="n">
        <x:v>0.75</x:v>
      </x:c>
      <x:c r="R529" t="n">
        <x:v>1.5</x:v>
      </x:c>
      <x:c r="S529" t="n">
        <x:v>1.125</x:v>
      </x:c>
      <x:c r="T529" t="str">
        <x:v>CORRECTED: Supreme Victors Manectric G LV.58 66/147 regular printing. User did not identify this copy as reverse holo. TCGplayer normal market is about $0.98; PriceCharting ungraded is about $1.50. Working clean/NM range $0.75–1.50; borderline but included under the user's 'about $1+' rule.</x:v>
      </x:c>
      <x:c r="U529" t="n">
        <x:v>957</x:v>
      </x:c>
      <x:c r="V529" t="str">
        <x:v>Current chat continuation / corrected 2026-08-15</x:v>
      </x:c>
      <x:c r="W529" t="str">
        <x:v>https://www.tcgplayer.com/product/87168/pokemon-supreme-victors-manectric-g</x:v>
      </x:c>
    </x:row>
    <x:row r="530">
      <x:c r="A530" t="n">
        <x:v>529</x:v>
      </x:c>
      <x:c r="B530" t="str">
        <x:v>Electric / Commons</x:v>
      </x:c>
      <x:c r="C530" t="str">
        <x:v>Blitzle</x:v>
      </x:c>
      <x:c r="D530" t="str">
        <x:v>47/99</x:v>
      </x:c>
      <x:c r="E530" t="str">
        <x:v>Next Destinies</x:v>
      </x:c>
      <x:c r="F530" t="n">
        <x:v>2012</x:v>
      </x:c>
      <x:c r="G530" t="str">
        <x:v>Reverse Holo</x:v>
      </x:c>
      <x:c r="H530" t="str">
        <x:v>2 of 2</x:v>
      </x:c>
      <x:c r="I530" t="n">
        <x:v>0.7</x:v>
      </x:c>
      <x:c r="J530" t="n">
        <x:v>1.1</x:v>
      </x:c>
      <x:c r="K530" t="n">
        <x:v>0.9</x:v>
      </x:c>
      <x:c r="L530" t="str">
        <x:v>$1–5</x:v>
      </x:c>
      <x:c r="M530" t="str">
        <x:v>Yes</x:v>
      </x:c>
      <x:c r="N530" t="str">
        <x:v>No</x:v>
      </x:c>
      <x:c r="O530" t="str">
        <x:v>Yes</x:v>
      </x:c>
      <x:c r="P530" t="str">
        <x:v>Clean/NM benchmark unless noted</x:v>
      </x:c>
      <x:c r="Q530" t="n">
        <x:v>0.7</x:v>
      </x:c>
      <x:c r="R530" t="n">
        <x:v>1.1</x:v>
      </x:c>
      <x:c r="S530" t="n">
        <x:v>0.9</x:v>
      </x:c>
      <x:c r="T530" t="str">
        <x:v>Second physical copy. Next Destinies Blitzle 47/99 reverse holo. TCGplayer reverse-holo pricing is about $0.71; recent NM sales are commonly about $0.56–0.69. Kept in the $1+ collection under the user's 'about $1+' borderline rule.</x:v>
      </x:c>
      <x:c r="U530" t="n">
        <x:v>958</x:v>
      </x:c>
      <x:c r="V530" t="str">
        <x:v>Current chat continuation / researched 2026-08-15</x:v>
      </x:c>
      <x:c r="W530" t="str">
        <x:v>https://www.tcgplayer.com/product/83931/pokemon-next-destinies-blitzle</x:v>
      </x:c>
    </x:row>
    <x:row r="531">
      <x:c r="A531" t="n">
        <x:v>530</x:v>
      </x:c>
      <x:c r="B531" t="str">
        <x:v>Electric / Commons</x:v>
      </x:c>
      <x:c r="C531" t="str">
        <x:v>Blitzle</x:v>
      </x:c>
      <x:c r="D531" t="str">
        <x:v>56/149</x:v>
      </x:c>
      <x:c r="E531" t="str">
        <x:v>Boundaries Crossed</x:v>
      </x:c>
      <x:c r="F531" t="n">
        <x:v>2012</x:v>
      </x:c>
      <x:c r="G531" t="str">
        <x:v>Reverse Holo</x:v>
      </x:c>
      <x:c r="H531" t="str">
        <x:v>1 of 1</x:v>
      </x:c>
      <x:c r="I531" t="n">
        <x:v>0.8</x:v>
      </x:c>
      <x:c r="J531" t="n">
        <x:v>1.8</x:v>
      </x:c>
      <x:c r="K531" t="n">
        <x:v>1.3</x:v>
      </x:c>
      <x:c r="L531" t="str">
        <x:v>$1–5</x:v>
      </x:c>
      <x:c r="M531" t="str">
        <x:v>Yes</x:v>
      </x:c>
      <x:c r="N531" t="str">
        <x:v>No</x:v>
      </x:c>
      <x:c r="O531" t="str">
        <x:v>Yes</x:v>
      </x:c>
      <x:c r="P531" t="str">
        <x:v>Clean/NM benchmark unless noted</x:v>
      </x:c>
      <x:c r="Q531" t="n">
        <x:v>0.8</x:v>
      </x:c>
      <x:c r="R531" t="n">
        <x:v>1.8</x:v>
      </x:c>
      <x:c r="S531" t="n">
        <x:v>1.3</x:v>
      </x:c>
      <x:c r="T531" t="str">
        <x:v>Boundaries Crossed Blitzle 56/149 reverse holo. Recent NM TCGplayer sales are roughly $0.81–0.99; PriceCharting guide/listings are around $1.60–1.74. Working clean/NM range $0.80–1.80.</x:v>
      </x:c>
      <x:c r="U531" t="n">
        <x:v>958</x:v>
      </x:c>
      <x:c r="V531" t="str">
        <x:v>Current chat continuation / researched 2026-08-15</x:v>
      </x:c>
      <x:c r="W531" t="str">
        <x:v>https://www.pricecharting.com/game/pokemon-boundaries-crossed/blitzle-reverse-holo-56</x:v>
      </x:c>
    </x:row>
    <x:row r="532">
      <x:c r="A532" t="n">
        <x:v>531</x:v>
      </x:c>
      <x:c r="B532" t="str">
        <x:v>Electric / Commons</x:v>
      </x:c>
      <x:c r="C532" t="str">
        <x:v>Mareep</x:v>
      </x:c>
      <x:c r="D532" t="str">
        <x:v>67/109</x:v>
      </x:c>
      <x:c r="E532" t="str">
        <x:v>EX Team Rocket Returns</x:v>
      </x:c>
      <x:c r="F532" t="n">
        <x:v>2004</x:v>
      </x:c>
      <x:c r="G532" t="str">
        <x:v>Stamped Reverse Holo</x:v>
      </x:c>
      <x:c r="H532" t="str">
        <x:v>1 of 2</x:v>
      </x:c>
      <x:c r="I532" t="n">
        <x:v>26</x:v>
      </x:c>
      <x:c r="J532" t="n">
        <x:v>50.5</x:v>
      </x:c>
      <x:c r="K532" t="n">
        <x:v>38.25</x:v>
      </x:c>
      <x:c r="L532" t="str">
        <x:v>$20+</x:v>
      </x:c>
      <x:c r="M532" t="str">
        <x:v>Yes</x:v>
      </x:c>
      <x:c r="N532" t="str">
        <x:v>Yes</x:v>
      </x:c>
      <x:c r="O532" t="str">
        <x:v>Yes</x:v>
      </x:c>
      <x:c r="P532" t="str">
        <x:v>Clean/NM benchmark unless noted</x:v>
      </x:c>
      <x:c r="Q532" t="n">
        <x:v>26</x:v>
      </x:c>
      <x:c r="R532" t="n">
        <x:v>50.5</x:v>
      </x:c>
      <x:c r="S532" t="n">
        <x:v>38.25</x:v>
      </x:c>
      <x:c r="T532" t="str">
        <x:v>EX Team Rocket Returns Mareep 67/109 stamped reverse holo. Recent raw sales include roughly $26.48 LP, $29.00, $33.00 LP, $34.99, and $38.98; TCGplayer reverse-holo price is currently about $50.50. Working clean/NM benchmark $26–50.50 pending condition.</x:v>
      </x:c>
      <x:c r="U532" t="n">
        <x:v>958</x:v>
      </x:c>
      <x:c r="V532" t="str">
        <x:v>Current chat continuation / researched 2026-08-15</x:v>
      </x:c>
      <x:c r="W532" t="str">
        <x:v>https://www.pricecharting.com/game/pokemon-team-rocket-returns/mareep-reverse-holo-67</x:v>
      </x:c>
    </x:row>
    <x:row r="533">
      <x:c r="A533" t="n">
        <x:v>532</x:v>
      </x:c>
      <x:c r="B533" t="str">
        <x:v>Electric / Commons</x:v>
      </x:c>
      <x:c r="C533" t="str">
        <x:v>Emolga</x:v>
      </x:c>
      <x:c r="D533" t="str">
        <x:v>6/12</x:v>
      </x:c>
      <x:c r="E533" t="str">
        <x:v>McDonald's Promos 2012</x:v>
      </x:c>
      <x:c r="F533" t="n">
        <x:v>2012</x:v>
      </x:c>
      <x:c r="G533" t="str">
        <x:v>Holo Promo</x:v>
      </x:c>
      <x:c r="H533" t="str">
        <x:v>1 of 1</x:v>
      </x:c>
      <x:c r="I533" t="n">
        <x:v>7.5</x:v>
      </x:c>
      <x:c r="J533" t="n">
        <x:v>11</x:v>
      </x:c>
      <x:c r="K533" t="n">
        <x:v>9.25</x:v>
      </x:c>
      <x:c r="L533" t="str">
        <x:v>$5–20</x:v>
      </x:c>
      <x:c r="M533" t="str">
        <x:v>Yes</x:v>
      </x:c>
      <x:c r="N533" t="str">
        <x:v>No</x:v>
      </x:c>
      <x:c r="O533" t="str">
        <x:v>Yes</x:v>
      </x:c>
      <x:c r="P533" t="str">
        <x:v>Clean/NM benchmark unless noted</x:v>
      </x:c>
      <x:c r="Q533" t="n">
        <x:v>7.5</x:v>
      </x:c>
      <x:c r="R533" t="n">
        <x:v>11</x:v>
      </x:c>
      <x:c r="S533" t="n">
        <x:v>9.25</x:v>
      </x:c>
      <x:c r="T533" t="str">
        <x:v>2012 McDonald's promo Emolga 6/12 holo. Recent NM TCGplayer sales are about $7.77–10.32, with TCGplayer market around $10.33. Working clean/NM range $7.50–11.</x:v>
      </x:c>
      <x:c r="U533" t="n">
        <x:v>958</x:v>
      </x:c>
      <x:c r="V533" t="str">
        <x:v>Current chat continuation / researched 2026-08-15</x:v>
      </x:c>
      <x:c r="W533" t="str">
        <x:v>https://www.pricecharting.com/game/pokemon-mcdonalds-2012/emolga-6</x:v>
      </x:c>
    </x:row>
    <x:row r="534">
      <x:c r="A534" t="n">
        <x:v>533</x:v>
      </x:c>
      <x:c r="B534" t="str">
        <x:v>Electric / Commons</x:v>
      </x:c>
      <x:c r="C534" t="str">
        <x:v>Electabuzz</x:v>
      </x:c>
      <x:c r="D534" t="str">
        <x:v>53/149</x:v>
      </x:c>
      <x:c r="E534" t="str">
        <x:v>Boundaries Crossed</x:v>
      </x:c>
      <x:c r="F534" t="n">
        <x:v>2012</x:v>
      </x:c>
      <x:c r="G534" t="str">
        <x:v>Reverse Holo</x:v>
      </x:c>
      <x:c r="H534" t="str">
        <x:v>1 of 1</x:v>
      </x:c>
      <x:c r="I534" t="n">
        <x:v>1.25</x:v>
      </x:c>
      <x:c r="J534" t="n">
        <x:v>2</x:v>
      </x:c>
      <x:c r="K534" t="n">
        <x:v>1.625</x:v>
      </x:c>
      <x:c r="L534" t="str">
        <x:v>$1–5</x:v>
      </x:c>
      <x:c r="M534" t="str">
        <x:v>Yes</x:v>
      </x:c>
      <x:c r="N534" t="str">
        <x:v>No</x:v>
      </x:c>
      <x:c r="O534" t="str">
        <x:v>Yes</x:v>
      </x:c>
      <x:c r="P534" t="str">
        <x:v>Clean/NM benchmark unless noted</x:v>
      </x:c>
      <x:c r="Q534" t="n">
        <x:v>1.25</x:v>
      </x:c>
      <x:c r="R534" t="n">
        <x:v>2</x:v>
      </x:c>
      <x:c r="S534" t="n">
        <x:v>1.625</x:v>
      </x:c>
      <x:c r="T534" t="str">
        <x:v>Boundaries Crossed Electabuzz 53/149 reverse holo. TCGplayer reverse-holo market is about $1.35–1.68; recent NM TCGplayer sales around $1.35, with LP/NM eBay sales higher. Working clean/NM range $1.25–2.00.</x:v>
      </x:c>
      <x:c r="U534" t="n">
        <x:v>959</x:v>
      </x:c>
      <x:c r="V534" t="str">
        <x:v>Current chat continuation / researched 2026-08-15</x:v>
      </x:c>
      <x:c r="W534" t="str">
        <x:v>https://www.tcgplayer.com/product/85118/pokemon-boundaries-crossed-electabuzz</x:v>
      </x:c>
    </x:row>
    <x:row r="535">
      <x:c r="A535" t="n">
        <x:v>534</x:v>
      </x:c>
      <x:c r="B535" t="str">
        <x:v>Electric / Commons</x:v>
      </x:c>
      <x:c r="C535" t="str">
        <x:v>Voltorb</x:v>
      </x:c>
      <x:c r="D535" t="str">
        <x:v>51/149</x:v>
      </x:c>
      <x:c r="E535" t="str">
        <x:v>Boundaries Crossed</x:v>
      </x:c>
      <x:c r="F535" t="n">
        <x:v>2012</x:v>
      </x:c>
      <x:c r="G535" t="str">
        <x:v>Reverse Holo</x:v>
      </x:c>
      <x:c r="H535" t="str">
        <x:v>1 of 1</x:v>
      </x:c>
      <x:c r="I535" t="n">
        <x:v>1.5</x:v>
      </x:c>
      <x:c r="J535" t="n">
        <x:v>2</x:v>
      </x:c>
      <x:c r="K535" t="n">
        <x:v>1.75</x:v>
      </x:c>
      <x:c r="L535" t="str">
        <x:v>$1–5</x:v>
      </x:c>
      <x:c r="M535" t="str">
        <x:v>Yes</x:v>
      </x:c>
      <x:c r="N535" t="str">
        <x:v>No</x:v>
      </x:c>
      <x:c r="O535" t="str">
        <x:v>Yes</x:v>
      </x:c>
      <x:c r="P535" t="str">
        <x:v>Clean/NM benchmark unless noted</x:v>
      </x:c>
      <x:c r="Q535" t="n">
        <x:v>1.5</x:v>
      </x:c>
      <x:c r="R535" t="n">
        <x:v>2</x:v>
      </x:c>
      <x:c r="S535" t="n">
        <x:v>1.75</x:v>
      </x:c>
      <x:c r="T535" t="str">
        <x:v>Boundaries Crossed Voltorb 51/149 reverse holo. TCGplayer reverse-holo market about $1.50; PriceCharting ungraded about $1.99. Working clean/NM range $1.50–2.00.</x:v>
      </x:c>
      <x:c r="U535" t="n">
        <x:v>959</x:v>
      </x:c>
      <x:c r="V535" t="str">
        <x:v>Current chat continuation / researched 2026-08-15</x:v>
      </x:c>
      <x:c r="W535" t="str">
        <x:v>https://www.pricecharting.com/game/pokemon-boundaries-crossed/voltorb-reverse-holo-51</x:v>
      </x:c>
    </x:row>
    <x:row r="536">
      <x:c r="A536" t="n">
        <x:v>535</x:v>
      </x:c>
      <x:c r="B536" t="str">
        <x:v>Electric / Commons</x:v>
      </x:c>
      <x:c r="C536" t="str">
        <x:v>Shinx</x:v>
      </x:c>
      <x:c r="D536" t="str">
        <x:v>43/99</x:v>
      </x:c>
      <x:c r="E536" t="str">
        <x:v>Next Destinies</x:v>
      </x:c>
      <x:c r="F536" t="n">
        <x:v>2012</x:v>
      </x:c>
      <x:c r="G536" t="str">
        <x:v>Reverse Holo</x:v>
      </x:c>
      <x:c r="H536" t="str">
        <x:v>1 of 1</x:v>
      </x:c>
      <x:c r="I536" t="n">
        <x:v>3.4</x:v>
      </x:c>
      <x:c r="J536" t="n">
        <x:v>4.25</x:v>
      </x:c>
      <x:c r="K536" t="n">
        <x:v>3.825</x:v>
      </x:c>
      <x:c r="L536" t="str">
        <x:v>$1–5</x:v>
      </x:c>
      <x:c r="M536" t="str">
        <x:v>Yes</x:v>
      </x:c>
      <x:c r="N536" t="str">
        <x:v>No</x:v>
      </x:c>
      <x:c r="O536" t="str">
        <x:v>Yes</x:v>
      </x:c>
      <x:c r="P536" t="str">
        <x:v>Clean/NM benchmark unless noted</x:v>
      </x:c>
      <x:c r="Q536" t="n">
        <x:v>3.4</x:v>
      </x:c>
      <x:c r="R536" t="n">
        <x:v>4.25</x:v>
      </x:c>
      <x:c r="S536" t="n">
        <x:v>3.825</x:v>
      </x:c>
      <x:c r="T536" t="str">
        <x:v>Next Destinies Shinx 43/99 reverse holo. Recent 2026 NM sales are commonly about $3.45–4.19; PriceCharting ungraded about $4.04. Working clean/NM range $3.40–4.25.</x:v>
      </x:c>
      <x:c r="U536" t="n">
        <x:v>959</x:v>
      </x:c>
      <x:c r="V536" t="str">
        <x:v>Current chat continuation / researched 2026-08-15</x:v>
      </x:c>
      <x:c r="W536" t="str">
        <x:v>https://www.pricecharting.com/game/pokemon-next-destinies/shinx-reverse-holo-43</x:v>
      </x:c>
    </x:row>
    <x:row r="537">
      <x:c r="A537" t="n">
        <x:v>536</x:v>
      </x:c>
      <x:c r="B537" t="str">
        <x:v>Electric / Commons</x:v>
      </x:c>
      <x:c r="C537" t="str">
        <x:v>Tynamo</x:v>
      </x:c>
      <x:c r="D537" t="str">
        <x:v>44/108</x:v>
      </x:c>
      <x:c r="E537" t="str">
        <x:v>Dark Explorers</x:v>
      </x:c>
      <x:c r="F537" t="n">
        <x:v>2012</x:v>
      </x:c>
      <x:c r="G537" t="str">
        <x:v>Reverse Holo</x:v>
      </x:c>
      <x:c r="H537" t="str">
        <x:v>1 of 1</x:v>
      </x:c>
      <x:c r="I537" t="n">
        <x:v>0.45</x:v>
      </x:c>
      <x:c r="J537" t="n">
        <x:v>1</x:v>
      </x:c>
      <x:c r="K537" t="n">
        <x:v>0.725</x:v>
      </x:c>
      <x:c r="L537" t="str">
        <x:v>&lt;$1</x:v>
      </x:c>
      <x:c r="M537" t="str">
        <x:v>No</x:v>
      </x:c>
      <x:c r="N537" t="str">
        <x:v>No</x:v>
      </x:c>
      <x:c r="O537" t="str">
        <x:v>No</x:v>
      </x:c>
      <x:c r="P537" t="str">
        <x:v>Clean/NM benchmark unless noted</x:v>
      </x:c>
      <x:c r="Q537" t="n">
        <x:v>0.45</x:v>
      </x:c>
      <x:c r="R537" t="n">
        <x:v>1</x:v>
      </x:c>
      <x:c r="S537" t="n">
        <x:v>0.725</x:v>
      </x:c>
      <x:c r="T537" t="str">
        <x:v>Dark Explorers Tynamo 44/108 reverse holo. TCGplayer reverse-holo market about $0.60; recent NM TCGplayer sales mostly about $0.47–0.99. Not counted toward $1+ collection.</x:v>
      </x:c>
      <x:c r="U537" t="n">
        <x:v>959</x:v>
      </x:c>
      <x:c r="V537" t="str">
        <x:v>Current chat continuation / researched 2026-08-15</x:v>
      </x:c>
      <x:c r="W537" t="str">
        <x:v>https://www.tcgplayer.com/product/90095/pokemon-dark-explorers-tynamo-44</x:v>
      </x:c>
    </x:row>
    <x:row r="538">
      <x:c r="A538" t="n">
        <x:v>537</x:v>
      </x:c>
      <x:c r="B538" t="str">
        <x:v>Electric / Commons</x:v>
      </x:c>
      <x:c r="C538" t="str">
        <x:v>Tynamo</x:v>
      </x:c>
      <x:c r="D538" t="str">
        <x:v>31/101</x:v>
      </x:c>
      <x:c r="E538" t="str">
        <x:v>Plasma Blast</x:v>
      </x:c>
      <x:c r="F538" t="n">
        <x:v>2013</x:v>
      </x:c>
      <x:c r="G538" t="str">
        <x:v>Reverse Holo</x:v>
      </x:c>
      <x:c r="H538" t="str">
        <x:v>1 of 1</x:v>
      </x:c>
      <x:c r="I538" t="n">
        <x:v>0.3</x:v>
      </x:c>
      <x:c r="J538" t="n">
        <x:v>0.7</x:v>
      </x:c>
      <x:c r="K538" t="n">
        <x:v>0.5</x:v>
      </x:c>
      <x:c r="L538" t="str">
        <x:v>&lt;$1</x:v>
      </x:c>
      <x:c r="M538" t="str">
        <x:v>No</x:v>
      </x:c>
      <x:c r="N538" t="str">
        <x:v>No</x:v>
      </x:c>
      <x:c r="O538" t="str">
        <x:v>No</x:v>
      </x:c>
      <x:c r="P538" t="str">
        <x:v>Clean/NM benchmark unless noted</x:v>
      </x:c>
      <x:c r="Q538" t="n">
        <x:v>0.3</x:v>
      </x:c>
      <x:c r="R538" t="n">
        <x:v>0.7</x:v>
      </x:c>
      <x:c r="S538" t="n">
        <x:v>0.5</x:v>
      </x:c>
      <x:c r="T538" t="str">
        <x:v>Plasma Blast Tynamo 31/101 reverse holo. Recent 2026 NM TCGplayer sales mostly about $0.20–0.66. Not counted toward $1+ collection.</x:v>
      </x:c>
      <x:c r="U538" t="n">
        <x:v>959</x:v>
      </x:c>
      <x:c r="V538" t="str">
        <x:v>Current chat continuation / researched 2026-08-15</x:v>
      </x:c>
      <x:c r="W538" t="str">
        <x:v>https://www.pricecharting.com/game/pokemon-plasma-blast/tynamo-reverse-holo-31</x:v>
      </x:c>
    </x:row>
    <x:row r="539">
      <x:c r="A539" t="n">
        <x:v>538</x:v>
      </x:c>
      <x:c r="B539" t="str">
        <x:v>Electric / Commons</x:v>
      </x:c>
      <x:c r="C539" t="str">
        <x:v>Chinchou</x:v>
      </x:c>
      <x:c r="D539" t="str">
        <x:v>55/149</x:v>
      </x:c>
      <x:c r="E539" t="str">
        <x:v>Boundaries Crossed</x:v>
      </x:c>
      <x:c r="F539" t="n">
        <x:v>2012</x:v>
      </x:c>
      <x:c r="G539" t="str">
        <x:v>Reverse Holo</x:v>
      </x:c>
      <x:c r="H539" t="str">
        <x:v>1 of 1</x:v>
      </x:c>
      <x:c r="I539" t="n">
        <x:v>0.7</x:v>
      </x:c>
      <x:c r="J539" t="n">
        <x:v>1</x:v>
      </x:c>
      <x:c r="K539" t="n">
        <x:v>0.85</x:v>
      </x:c>
      <x:c r="L539" t="str">
        <x:v>$1–5</x:v>
      </x:c>
      <x:c r="M539" t="str">
        <x:v>Yes</x:v>
      </x:c>
      <x:c r="N539" t="str">
        <x:v>No</x:v>
      </x:c>
      <x:c r="O539" t="str">
        <x:v>Yes</x:v>
      </x:c>
      <x:c r="P539" t="str">
        <x:v>Clean/NM benchmark unless noted</x:v>
      </x:c>
      <x:c r="Q539" t="n">
        <x:v>0.7</x:v>
      </x:c>
      <x:c r="R539" t="n">
        <x:v>1</x:v>
      </x:c>
      <x:c r="S539" t="n">
        <x:v>0.85</x:v>
      </x:c>
      <x:c r="T539" t="str">
        <x:v>Boundaries Crossed Chinchou 55/149 reverse holo. Current TCGplayer pricing about $0.70 and PriceCharting ungraded about $1.00. Borderline, but included under the user's 'about $1+' rule.</x:v>
      </x:c>
      <x:c r="U539" t="n">
        <x:v>959</x:v>
      </x:c>
      <x:c r="V539" t="str">
        <x:v>Current chat continuation / researched 2026-08-15</x:v>
      </x:c>
      <x:c r="W539" t="str">
        <x:v>https://www.pricecharting.com/game/pokemon-boundaries-crossed/chinchou-reverse-holo-55</x:v>
      </x:c>
    </x:row>
    <x:row r="540">
      <x:c r="A540" t="n">
        <x:v>539</x:v>
      </x:c>
      <x:c r="B540" t="str">
        <x:v>Electric / Commons</x:v>
      </x:c>
      <x:c r="C540" t="str">
        <x:v>Chinchou</x:v>
      </x:c>
      <x:c r="D540" t="str">
        <x:v>35/116</x:v>
      </x:c>
      <x:c r="E540" t="str">
        <x:v>Plasma Freeze</x:v>
      </x:c>
      <x:c r="F540" t="n">
        <x:v>2013</x:v>
      </x:c>
      <x:c r="G540" t="str">
        <x:v>Reverse Holo</x:v>
      </x:c>
      <x:c r="H540" t="str">
        <x:v>1 of 1</x:v>
      </x:c>
      <x:c r="I540" t="n">
        <x:v>0.5</x:v>
      </x:c>
      <x:c r="J540" t="n">
        <x:v>0.8</x:v>
      </x:c>
      <x:c r="K540" t="n">
        <x:v>0.65</x:v>
      </x:c>
      <x:c r="L540" t="str">
        <x:v>&lt;$1</x:v>
      </x:c>
      <x:c r="M540" t="str">
        <x:v>No</x:v>
      </x:c>
      <x:c r="N540" t="str">
        <x:v>No</x:v>
      </x:c>
      <x:c r="O540" t="str">
        <x:v>No</x:v>
      </x:c>
      <x:c r="P540" t="str">
        <x:v>Clean/NM benchmark unless noted</x:v>
      </x:c>
      <x:c r="Q540" t="n">
        <x:v>0.5</x:v>
      </x:c>
      <x:c r="R540" t="n">
        <x:v>0.8</x:v>
      </x:c>
      <x:c r="S540" t="n">
        <x:v>0.65</x:v>
      </x:c>
      <x:c r="T540" t="str">
        <x:v>Plasma Freeze Chinchou 35/116 reverse holo. TCGplayer reverse-holo market about $0.67; recent NM sales are commonly about $0.42–0.75. Not counted toward $1+ collection.</x:v>
      </x:c>
      <x:c r="U540" t="n">
        <x:v>959</x:v>
      </x:c>
      <x:c r="V540" t="str">
        <x:v>Current chat continuation / researched 2026-08-15</x:v>
      </x:c>
      <x:c r="W540" t="str">
        <x:v>https://www.tcgplayer.com/product/84312/pokemon-plasma-freeze-chinchou</x:v>
      </x:c>
    </x:row>
    <x:row r="541">
      <x:c r="A541" t="n">
        <x:v>540</x:v>
      </x:c>
      <x:c r="B541" t="str">
        <x:v>Electric / Commons</x:v>
      </x:c>
      <x:c r="C541" t="str">
        <x:v>Stunfisk</x:v>
      </x:c>
      <x:c r="D541" t="str">
        <x:v>42/101</x:v>
      </x:c>
      <x:c r="E541" t="str">
        <x:v>Noble Victories</x:v>
      </x:c>
      <x:c r="F541" t="n">
        <x:v>2011</x:v>
      </x:c>
      <x:c r="G541" t="str">
        <x:v>Reverse Holo</x:v>
      </x:c>
      <x:c r="H541" t="str">
        <x:v>1 of 1</x:v>
      </x:c>
      <x:c r="I541" t="n">
        <x:v>0.5</x:v>
      </x:c>
      <x:c r="J541" t="n">
        <x:v>1.2</x:v>
      </x:c>
      <x:c r="K541" t="n">
        <x:v>0.85</x:v>
      </x:c>
      <x:c r="L541" t="str">
        <x:v>&lt;$1</x:v>
      </x:c>
      <x:c r="M541" t="str">
        <x:v>No</x:v>
      </x:c>
      <x:c r="N541" t="str">
        <x:v>No</x:v>
      </x:c>
      <x:c r="O541" t="str">
        <x:v>No</x:v>
      </x:c>
      <x:c r="P541" t="str">
        <x:v>Clean/NM benchmark unless noted</x:v>
      </x:c>
      <x:c r="Q541" t="n">
        <x:v>0.5</x:v>
      </x:c>
      <x:c r="R541" t="n">
        <x:v>1.2</x:v>
      </x:c>
      <x:c r="S541" t="n">
        <x:v>0.85</x:v>
      </x:c>
      <x:c r="T541" t="str">
        <x:v>Noble Victories Stunfisk 42/101 reverse holo. TCGplayer reverse-holo market about $0.60; recent NM TCGplayer sales mostly around $0.49–0.69, with some higher eBay sales. Not counted toward $1+ collection.</x:v>
      </x:c>
      <x:c r="U541" t="n">
        <x:v>959</x:v>
      </x:c>
      <x:c r="V541" t="str">
        <x:v>Current chat continuation / researched 2026-08-15</x:v>
      </x:c>
      <x:c r="W541" t="str">
        <x:v>https://www.tcgplayer.com/product/89579/pokemon-noble-victories-stunfisk-42</x:v>
      </x:c>
    </x:row>
    <x:row r="542">
      <x:c r="A542" t="n">
        <x:v>541</x:v>
      </x:c>
      <x:c r="B542" t="str">
        <x:v>Electric / Commons</x:v>
      </x:c>
      <x:c r="C542" t="str">
        <x:v>Joltik</x:v>
      </x:c>
      <x:c r="D542" t="str">
        <x:v>33/98</x:v>
      </x:c>
      <x:c r="E542" t="str">
        <x:v>Emerging Powers</x:v>
      </x:c>
      <x:c r="F542" t="n">
        <x:v>2011</x:v>
      </x:c>
      <x:c r="G542" t="str">
        <x:v>Reverse Holo</x:v>
      </x:c>
      <x:c r="H542" t="str">
        <x:v>1 of 1</x:v>
      </x:c>
      <x:c r="I542" t="n">
        <x:v>5.5</x:v>
      </x:c>
      <x:c r="J542" t="n">
        <x:v>8</x:v>
      </x:c>
      <x:c r="K542" t="n">
        <x:v>6.75</x:v>
      </x:c>
      <x:c r="L542" t="str">
        <x:v>$5–20</x:v>
      </x:c>
      <x:c r="M542" t="str">
        <x:v>Yes</x:v>
      </x:c>
      <x:c r="N542" t="str">
        <x:v>No</x:v>
      </x:c>
      <x:c r="O542" t="str">
        <x:v>Yes</x:v>
      </x:c>
      <x:c r="P542" t="str">
        <x:v>Clean/NM benchmark unless noted</x:v>
      </x:c>
      <x:c r="Q542" t="n">
        <x:v>5.5</x:v>
      </x:c>
      <x:c r="R542" t="n">
        <x:v>8</x:v>
      </x:c>
      <x:c r="S542" t="n">
        <x:v>6.75</x:v>
      </x:c>
      <x:c r="T542" t="str">
        <x:v>Emerging Powers Joltik 33/98 reverse holo. PriceCharting current ungraded value is about $7.20. Recent 2026 NM sales include roughly $5.91, $7.00, $7.11 and $7.99, with some higher outliers. Working clean/NM range $5.50–8.00.</x:v>
      </x:c>
      <x:c r="U542" t="n">
        <x:v>960</x:v>
      </x:c>
      <x:c r="V542" t="str">
        <x:v>Current chat continuation / researched 2026-08-15</x:v>
      </x:c>
      <x:c r="W542" t="str">
        <x:v>https://www.pricecharting.com/game/pokemon-emerging-powers/joltik-reverse-holo-33</x:v>
      </x:c>
    </x:row>
    <x:row r="543">
      <x:c r="A543" t="n">
        <x:v>542</x:v>
      </x:c>
      <x:c r="B543" t="str">
        <x:v>Electric / Commons</x:v>
      </x:c>
      <x:c r="C543" t="str">
        <x:v>Joltik</x:v>
      </x:c>
      <x:c r="D543" t="str">
        <x:v>45/114</x:v>
      </x:c>
      <x:c r="E543" t="str">
        <x:v>Black &amp; White</x:v>
      </x:c>
      <x:c r="F543" t="n">
        <x:v>2011</x:v>
      </x:c>
      <x:c r="G543" t="str">
        <x:v>Reverse Holo</x:v>
      </x:c>
      <x:c r="H543" t="str">
        <x:v>1 of 1</x:v>
      </x:c>
      <x:c r="I543" t="n">
        <x:v>2.25</x:v>
      </x:c>
      <x:c r="J543" t="n">
        <x:v>4.5</x:v>
      </x:c>
      <x:c r="K543" t="n">
        <x:v>3.375</x:v>
      </x:c>
      <x:c r="L543" t="str">
        <x:v>$1–5</x:v>
      </x:c>
      <x:c r="M543" t="str">
        <x:v>Yes</x:v>
      </x:c>
      <x:c r="N543" t="str">
        <x:v>No</x:v>
      </x:c>
      <x:c r="O543" t="str">
        <x:v>Yes</x:v>
      </x:c>
      <x:c r="P543" t="str">
        <x:v>Clean/NM benchmark unless noted</x:v>
      </x:c>
      <x:c r="Q543" t="n">
        <x:v>2.25</x:v>
      </x:c>
      <x:c r="R543" t="n">
        <x:v>4.5</x:v>
      </x:c>
      <x:c r="S543" t="n">
        <x:v>3.375</x:v>
      </x:c>
      <x:c r="T543" t="str">
        <x:v>Black &amp; White Joltik 45/114 reverse holo. PriceCharting current ungraded value is about $2.99. Recent 2026 NM sales commonly fall around $2.24–4.34, with occasional higher eBay sales. Working clean/NM range $2.25–4.50.</x:v>
      </x:c>
      <x:c r="U543" t="n">
        <x:v>960</x:v>
      </x:c>
      <x:c r="V543" t="str">
        <x:v>Current chat continuation / researched 2026-08-15</x:v>
      </x:c>
      <x:c r="W543" t="str">
        <x:v>https://www.pricecharting.com/game/pokemon-black-%26-white/joltik-reverse-holo-45</x:v>
      </x:c>
    </x:row>
    <x:row r="544">
      <x:c r="A544" t="n">
        <x:v>543</x:v>
      </x:c>
      <x:c r="B544" t="str">
        <x:v>Electric / Commons</x:v>
      </x:c>
      <x:c r="C544" t="str">
        <x:v>Joltik</x:v>
      </x:c>
      <x:c r="D544" t="str">
        <x:v>41/108</x:v>
      </x:c>
      <x:c r="E544" t="str">
        <x:v>Dark Explorers</x:v>
      </x:c>
      <x:c r="F544" t="n">
        <x:v>2012</x:v>
      </x:c>
      <x:c r="G544" t="str">
        <x:v>Reverse Holo</x:v>
      </x:c>
      <x:c r="H544" t="str">
        <x:v>1 of 1</x:v>
      </x:c>
      <x:c r="I544" t="n">
        <x:v>4</x:v>
      </x:c>
      <x:c r="J544" t="n">
        <x:v>5.5</x:v>
      </x:c>
      <x:c r="K544" t="n">
        <x:v>4.75</x:v>
      </x:c>
      <x:c r="L544" t="str">
        <x:v>$1–5</x:v>
      </x:c>
      <x:c r="M544" t="str">
        <x:v>Yes</x:v>
      </x:c>
      <x:c r="N544" t="str">
        <x:v>No</x:v>
      </x:c>
      <x:c r="O544" t="str">
        <x:v>Yes</x:v>
      </x:c>
      <x:c r="P544" t="str">
        <x:v>Clean/NM benchmark unless noted</x:v>
      </x:c>
      <x:c r="Q544" t="n">
        <x:v>4</x:v>
      </x:c>
      <x:c r="R544" t="n">
        <x:v>5.5</x:v>
      </x:c>
      <x:c r="S544" t="n">
        <x:v>4.75</x:v>
      </x:c>
      <x:c r="T544" t="str">
        <x:v>Dark Explorers Joltik 41/108 reverse holo. PriceCharting current ungraded value is about $3.25, TCGplayer about $4.62, and recent 2026 NM sales are around $4.09–5.49. Working clean/NM range $4.00–5.50.</x:v>
      </x:c>
      <x:c r="U544" t="n">
        <x:v>960</x:v>
      </x:c>
      <x:c r="V544" t="str">
        <x:v>Current chat continuation / researched 2026-08-15</x:v>
      </x:c>
      <x:c r="W544" t="str">
        <x:v>https://www.pricecharting.com/game/pokemon-dark-explorers/joltik-reverse-holo-41</x:v>
      </x:c>
    </x:row>
    <x:row r="545">
      <x:c r="A545" t="n">
        <x:v>544</x:v>
      </x:c>
      <x:c r="B545" t="str">
        <x:v>Electric / Commons</x:v>
      </x:c>
      <x:c r="C545" t="str">
        <x:v>Joltik</x:v>
      </x:c>
      <x:c r="D545" t="str">
        <x:v>44/114</x:v>
      </x:c>
      <x:c r="E545" t="str">
        <x:v>Black &amp; White</x:v>
      </x:c>
      <x:c r="F545" t="n">
        <x:v>2011</x:v>
      </x:c>
      <x:c r="G545" t="str">
        <x:v>Reverse Holo</x:v>
      </x:c>
      <x:c r="H545" t="str">
        <x:v>1 of 1</x:v>
      </x:c>
      <x:c r="I545" t="n">
        <x:v>3.5</x:v>
      </x:c>
      <x:c r="J545" t="n">
        <x:v>6</x:v>
      </x:c>
      <x:c r="K545" t="n">
        <x:v>4.75</x:v>
      </x:c>
      <x:c r="L545" t="str">
        <x:v>$1–5</x:v>
      </x:c>
      <x:c r="M545" t="str">
        <x:v>Yes</x:v>
      </x:c>
      <x:c r="N545" t="str">
        <x:v>No</x:v>
      </x:c>
      <x:c r="O545" t="str">
        <x:v>Yes</x:v>
      </x:c>
      <x:c r="P545" t="str">
        <x:v>Clean/NM benchmark unless noted</x:v>
      </x:c>
      <x:c r="Q545" t="n">
        <x:v>3.5</x:v>
      </x:c>
      <x:c r="R545" t="n">
        <x:v>6</x:v>
      </x:c>
      <x:c r="S545" t="n">
        <x:v>4.75</x:v>
      </x:c>
      <x:c r="T545" t="str">
        <x:v>Black &amp; White Joltik 44/114 reverse holo. PriceCharting current ungraded value is about $4.12. Recent sales include roughly $3.59 NM and $4.99–5.99 LP, with a latest raw sale at $2.75. Working clean/NM range $3.50–6.00.</x:v>
      </x:c>
      <x:c r="U545" t="n">
        <x:v>960</x:v>
      </x:c>
      <x:c r="V545" t="str">
        <x:v>Current chat continuation / researched 2026-08-15</x:v>
      </x:c>
      <x:c r="W545" t="str">
        <x:v>https://www.pricecharting.com/game/pokemon-black-%26-white/joltik-reverse-holo-44</x:v>
      </x:c>
    </x:row>
    <x:row r="546">
      <x:c r="A546" t="n">
        <x:v>545</x:v>
      </x:c>
      <x:c r="B546" t="str">
        <x:v>Electric / Rares</x:v>
      </x:c>
      <x:c r="C546" t="str">
        <x:v>Pikachu</x:v>
      </x:c>
      <x:c r="D546" t="str">
        <x:v>RC7/RC25</x:v>
      </x:c>
      <x:c r="E546" t="str">
        <x:v>Legendary Treasures</x:v>
      </x:c>
      <x:c r="F546" t="n">
        <x:v>2013</x:v>
      </x:c>
      <x:c r="G546" t="str">
        <x:v>Radiant Collection Holo (Uncommon)</x:v>
      </x:c>
      <x:c r="H546" t="str">
        <x:v>1 of 4</x:v>
      </x:c>
      <x:c r="I546" t="n">
        <x:v>50</x:v>
      </x:c>
      <x:c r="J546" t="n">
        <x:v>90</x:v>
      </x:c>
      <x:c r="K546" t="n">
        <x:v>70</x:v>
      </x:c>
      <x:c r="L546" t="str">
        <x:v>$20+</x:v>
      </x:c>
      <x:c r="M546" t="str">
        <x:v>Yes</x:v>
      </x:c>
      <x:c r="N546" t="str">
        <x:v>Yes</x:v>
      </x:c>
      <x:c r="O546" t="str">
        <x:v>Yes</x:v>
      </x:c>
      <x:c r="P546" t="str">
        <x:v>Clean/NM benchmark unless noted</x:v>
      </x:c>
      <x:c r="Q546" t="n">
        <x:v>50</x:v>
      </x:c>
      <x:c r="R546" t="n">
        <x:v>90</x:v>
      </x:c>
      <x:c r="S546" t="n">
        <x:v>70</x:v>
      </x:c>
      <x:c r="T546" t="str">
        <x:v>Legendary Treasures Radiant Collection Pikachu RC7/RC25 holo, first physical copy. This Radiant Collection printing is inherently holo (rarity: Uncommon). PriceCharting currently lists ungraded around $41.19; recent TCGplayer NM sales include about $87.99 and $90.00, while raw eBay sales vary widely with condition. Working clean/NM range $50–90.</x:v>
      </x:c>
      <x:c r="U546" t="n">
        <x:v>961</x:v>
      </x:c>
      <x:c r="V546" t="str">
        <x:v>Current chat continuation / researched 2026-08-15</x:v>
      </x:c>
      <x:c r="W546" t="str">
        <x:v>https://www.pricecharting.com/game/pokemon-legendary-treasures/pikachu-rc7</x:v>
      </x:c>
    </x:row>
    <x:row r="547">
      <x:c r="A547" t="n">
        <x:v>546</x:v>
      </x:c>
      <x:c r="B547" t="str">
        <x:v>Electric / Rares</x:v>
      </x:c>
      <x:c r="C547" t="str">
        <x:v>Pikachu</x:v>
      </x:c>
      <x:c r="D547" t="str">
        <x:v>RC7/RC25</x:v>
      </x:c>
      <x:c r="E547" t="str">
        <x:v>Legendary Treasures</x:v>
      </x:c>
      <x:c r="F547" t="n">
        <x:v>2013</x:v>
      </x:c>
      <x:c r="G547" t="str">
        <x:v>Radiant Collection Holo (Uncommon)</x:v>
      </x:c>
      <x:c r="H547" t="str">
        <x:v>2 of 4</x:v>
      </x:c>
      <x:c r="I547" t="n">
        <x:v>50</x:v>
      </x:c>
      <x:c r="J547" t="n">
        <x:v>90</x:v>
      </x:c>
      <x:c r="K547" t="n">
        <x:v>70</x:v>
      </x:c>
      <x:c r="L547" t="str">
        <x:v>$20+</x:v>
      </x:c>
      <x:c r="M547" t="str">
        <x:v>Yes</x:v>
      </x:c>
      <x:c r="N547" t="str">
        <x:v>Yes</x:v>
      </x:c>
      <x:c r="O547" t="str">
        <x:v>Yes</x:v>
      </x:c>
      <x:c r="P547" t="str">
        <x:v>Clean/NM benchmark unless noted</x:v>
      </x:c>
      <x:c r="Q547" t="n">
        <x:v>50</x:v>
      </x:c>
      <x:c r="R547" t="n">
        <x:v>90</x:v>
      </x:c>
      <x:c r="S547" t="n">
        <x:v>70</x:v>
      </x:c>
      <x:c r="T547" t="str">
        <x:v>Legendary Treasures Radiant Collection Pikachu RC7/RC25 holo, second physical copy. This Radiant Collection printing is inherently holo (rarity: Uncommon). PriceCharting currently lists ungraded around $41.19; recent TCGplayer NM sales include about $87.99 and $90.00, while raw eBay sales vary widely with condition. Working clean/NM range $50–90.</x:v>
      </x:c>
      <x:c r="U547" t="n">
        <x:v>961</x:v>
      </x:c>
      <x:c r="V547" t="str">
        <x:v>Current chat continuation / researched 2026-08-15</x:v>
      </x:c>
      <x:c r="W547" t="str">
        <x:v>https://www.pricecharting.com/game/pokemon-legendary-treasures/pikachu-rc7</x:v>
      </x:c>
    </x:row>
    <x:row r="548">
      <x:c r="A548" t="n">
        <x:v>547</x:v>
      </x:c>
      <x:c r="B548" t="str">
        <x:v>Electric / Rares</x:v>
      </x:c>
      <x:c r="C548" t="str">
        <x:v>Emolga</x:v>
      </x:c>
      <x:c r="D548" t="str">
        <x:v>49/??</x:v>
      </x:c>
      <x:c r="E548" t="str">
        <x:v>Pending — Next Destinies or Legendary Treasures</x:v>
      </x:c>
      <x:c r="F548"/>
      <x:c r="G548" t="str">
        <x:v>Reverse Holo</x:v>
      </x:c>
      <x:c r="H548" t="str">
        <x:v>1 of 3</x:v>
      </x:c>
      <x:c r="I548"/>
      <x:c r="J548"/>
      <x:c r="K548"/>
      <x:c r="L548" t="str">
        <x:v>Needs ID</x:v>
      </x:c>
      <x:c r="M548" t="str">
        <x:v>Yes</x:v>
      </x:c>
      <x:c r="N548" t="str">
        <x:v>No</x:v>
      </x:c>
      <x:c r="O548" t="str">
        <x:v>Yes</x:v>
      </x:c>
      <x:c r="P548" t="str">
        <x:v>Exact set pending denominator</x:v>
      </x:c>
      <x:c r="Q548"/>
      <x:c r="R548"/>
      <x:c r="S548"/>
      <x:c r="T548"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48" t="n">
        <x:v>962</x:v>
      </x:c>
      <x:c r="V548" t="str">
        <x:v>Current chat continuation / researched 2026-08-15</x:v>
      </x:c>
      <x:c r="W548" t="str">
        <x:v>https://www.pricecharting.com/search-products?q=Emolga+49+reverse+holo&amp;type=prices</x:v>
      </x:c>
    </x:row>
    <x:row r="549">
      <x:c r="A549" t="n">
        <x:v>548</x:v>
      </x:c>
      <x:c r="B549" t="str">
        <x:v>Electric / Rares</x:v>
      </x:c>
      <x:c r="C549" t="str">
        <x:v>Emolga</x:v>
      </x:c>
      <x:c r="D549" t="str">
        <x:v>49/??</x:v>
      </x:c>
      <x:c r="E549" t="str">
        <x:v>Pending — Next Destinies or Legendary Treasures</x:v>
      </x:c>
      <x:c r="F549"/>
      <x:c r="G549" t="str">
        <x:v>Reverse Holo</x:v>
      </x:c>
      <x:c r="H549" t="str">
        <x:v>2 of 3</x:v>
      </x:c>
      <x:c r="I549"/>
      <x:c r="J549"/>
      <x:c r="K549"/>
      <x:c r="L549" t="str">
        <x:v>Needs ID</x:v>
      </x:c>
      <x:c r="M549" t="str">
        <x:v>Yes</x:v>
      </x:c>
      <x:c r="N549" t="str">
        <x:v>No</x:v>
      </x:c>
      <x:c r="O549" t="str">
        <x:v>Yes</x:v>
      </x:c>
      <x:c r="P549" t="str">
        <x:v>Exact set pending denominator</x:v>
      </x:c>
      <x:c r="Q549"/>
      <x:c r="R549"/>
      <x:c r="S549"/>
      <x:c r="T549"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49" t="n">
        <x:v>962</x:v>
      </x:c>
      <x:c r="V549" t="str">
        <x:v>Current chat continuation / researched 2026-08-15</x:v>
      </x:c>
      <x:c r="W549" t="str">
        <x:v>https://www.pricecharting.com/search-products?q=Emolga+49+reverse+holo&amp;type=prices</x:v>
      </x:c>
    </x:row>
    <x:row r="550">
      <x:c r="A550" t="n">
        <x:v>549</x:v>
      </x:c>
      <x:c r="B550" t="str">
        <x:v>Electric / Rares</x:v>
      </x:c>
      <x:c r="C550" t="str">
        <x:v>Emolga</x:v>
      </x:c>
      <x:c r="D550" t="str">
        <x:v>49/??</x:v>
      </x:c>
      <x:c r="E550" t="str">
        <x:v>Pending — Next Destinies or Legendary Treasures</x:v>
      </x:c>
      <x:c r="F550"/>
      <x:c r="G550" t="str">
        <x:v>Reverse Holo</x:v>
      </x:c>
      <x:c r="H550" t="str">
        <x:v>3 of 3</x:v>
      </x:c>
      <x:c r="I550"/>
      <x:c r="J550"/>
      <x:c r="K550"/>
      <x:c r="L550" t="str">
        <x:v>Needs ID</x:v>
      </x:c>
      <x:c r="M550" t="str">
        <x:v>Yes</x:v>
      </x:c>
      <x:c r="N550" t="str">
        <x:v>No</x:v>
      </x:c>
      <x:c r="O550" t="str">
        <x:v>Yes</x:v>
      </x:c>
      <x:c r="P550" t="str">
        <x:v>Exact set pending denominator</x:v>
      </x:c>
      <x:c r="Q550"/>
      <x:c r="R550"/>
      <x:c r="S550"/>
      <x:c r="T550"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50" t="n">
        <x:v>962</x:v>
      </x:c>
      <x:c r="V550" t="str">
        <x:v>Current chat continuation / researched 2026-08-15</x:v>
      </x:c>
      <x:c r="W550" t="str">
        <x:v>https://www.pricecharting.com/search-products?q=Emolga+49+reverse+holo&amp;type=prices</x:v>
      </x:c>
    </x:row>
    <x:row r="551">
      <x:c r="A551" t="n">
        <x:v>550</x:v>
      </x:c>
      <x:c r="B551" t="str">
        <x:v>Electric / Rares</x:v>
      </x:c>
      <x:c r="C551" t="str">
        <x:v>Flaaffy</x:v>
      </x:c>
      <x:c r="D551" t="str">
        <x:v>39/124</x:v>
      </x:c>
      <x:c r="E551" t="str">
        <x:v>Dragons Exalted</x:v>
      </x:c>
      <x:c r="F551" t="n">
        <x:v>2012</x:v>
      </x:c>
      <x:c r="G551" t="str">
        <x:v>Reverse Holo</x:v>
      </x:c>
      <x:c r="H551" t="str">
        <x:v>1 of 1</x:v>
      </x:c>
      <x:c r="I551" t="n">
        <x:v>4.5</x:v>
      </x:c>
      <x:c r="J551" t="n">
        <x:v>6.5</x:v>
      </x:c>
      <x:c r="K551" t="n">
        <x:v>5.5</x:v>
      </x:c>
      <x:c r="L551" t="str">
        <x:v>$5–20</x:v>
      </x:c>
      <x:c r="M551" t="str">
        <x:v>Yes</x:v>
      </x:c>
      <x:c r="N551" t="str">
        <x:v>No</x:v>
      </x:c>
      <x:c r="O551" t="str">
        <x:v>Yes</x:v>
      </x:c>
      <x:c r="P551" t="str">
        <x:v>Clean/NM benchmark unless noted</x:v>
      </x:c>
      <x:c r="Q551" t="n">
        <x:v>4.5</x:v>
      </x:c>
      <x:c r="R551" t="n">
        <x:v>6.5</x:v>
      </x:c>
      <x:c r="S551" t="n">
        <x:v>5.5</x:v>
      </x:c>
      <x:c r="T551" t="str">
        <x:v>Dragons Exalted Flaaffy 39/124 reverse holo. PriceCharting ungraded is about $4.85; TCGplayer currently shows NM reverse-holo pricing around $6.35. Working clean/NM range $4.50–6.50.</x:v>
      </x:c>
      <x:c r="U551" t="n">
        <x:v>962</x:v>
      </x:c>
      <x:c r="V551" t="str">
        <x:v>Current chat continuation / researched 2026-08-15</x:v>
      </x:c>
      <x:c r="W551" t="str">
        <x:v>https://www.pricecharting.com/game/pokemon-dragons-exalted/flaaffy-reverse-holo-39</x:v>
      </x:c>
    </x:row>
    <x:row r="552">
      <x:c r="A552" t="n">
        <x:v>551</x:v>
      </x:c>
      <x:c r="B552" t="str">
        <x:v>Electric / Rares</x:v>
      </x:c>
      <x:c r="C552" t="str">
        <x:v>Zekrom</x:v>
      </x:c>
      <x:c r="D552" t="str">
        <x:v>47/114</x:v>
      </x:c>
      <x:c r="E552" t="str">
        <x:v>World Championships 2011</x:v>
      </x:c>
      <x:c r="F552" t="n">
        <x:v>2011</x:v>
      </x:c>
      <x:c r="G552" t="str">
        <x:v>World Championships — Ross Cawthon / The Truth</x:v>
      </x:c>
      <x:c r="H552" t="str">
        <x:v>1 of 2</x:v>
      </x:c>
      <x:c r="I552" t="n">
        <x:v>3</x:v>
      </x:c>
      <x:c r="J552" t="n">
        <x:v>6</x:v>
      </x:c>
      <x:c r="K552" t="n">
        <x:v>4.5</x:v>
      </x:c>
      <x:c r="L552" t="str">
        <x:v>$1–5</x:v>
      </x:c>
      <x:c r="M552" t="str">
        <x:v>Yes</x:v>
      </x:c>
      <x:c r="N552" t="str">
        <x:v>No</x:v>
      </x:c>
      <x:c r="O552" t="str">
        <x:v>Yes</x:v>
      </x:c>
      <x:c r="P552" t="str">
        <x:v>Clean/NM benchmark unless noted</x:v>
      </x:c>
      <x:c r="Q552" t="n">
        <x:v>3</x:v>
      </x:c>
      <x:c r="R552" t="n">
        <x:v>6</x:v>
      </x:c>
      <x:c r="S552" t="n">
        <x:v>4.5</x:v>
      </x:c>
      <x:c r="T552" t="str">
        <x:v>2011 World Championships Ross Cawthon ('The Truth') deck printing of Black &amp; White Zekrom 47/114. PriceCharting currently lists the 2011 Worlds version around $5.25 ungraded; TCGplayer market is about $2.74. Working clean/NM range $3–6.</x:v>
      </x:c>
      <x:c r="U552" t="n">
        <x:v>963</x:v>
      </x:c>
      <x:c r="V552" t="str">
        <x:v>Current chat continuation / researched 2026-08-16</x:v>
      </x:c>
      <x:c r="W552" t="str">
        <x:v>https://www.pricecharting.com/console/pokemon-world-championships-2011</x:v>
      </x:c>
    </x:row>
    <x:row r="553">
      <x:c r="A553" t="n">
        <x:v>552</x:v>
      </x:c>
      <x:c r="B553" t="str">
        <x:v>Electric / Rares</x:v>
      </x:c>
      <x:c r="C553" t="str">
        <x:v>Zekrom</x:v>
      </x:c>
      <x:c r="D553" t="str">
        <x:v>47/114</x:v>
      </x:c>
      <x:c r="E553" t="str">
        <x:v>World Championships 2011</x:v>
      </x:c>
      <x:c r="F553" t="n">
        <x:v>2011</x:v>
      </x:c>
      <x:c r="G553" t="str">
        <x:v>World Championships — Ross Cawthon / The Truth</x:v>
      </x:c>
      <x:c r="H553" t="str">
        <x:v>2 of 2</x:v>
      </x:c>
      <x:c r="I553" t="n">
        <x:v>3</x:v>
      </x:c>
      <x:c r="J553" t="n">
        <x:v>6</x:v>
      </x:c>
      <x:c r="K553" t="n">
        <x:v>4.5</x:v>
      </x:c>
      <x:c r="L553" t="str">
        <x:v>$1–5</x:v>
      </x:c>
      <x:c r="M553" t="str">
        <x:v>Yes</x:v>
      </x:c>
      <x:c r="N553" t="str">
        <x:v>No</x:v>
      </x:c>
      <x:c r="O553" t="str">
        <x:v>Yes</x:v>
      </x:c>
      <x:c r="P553" t="str">
        <x:v>Clean/NM benchmark unless noted</x:v>
      </x:c>
      <x:c r="Q553" t="n">
        <x:v>3</x:v>
      </x:c>
      <x:c r="R553" t="n">
        <x:v>6</x:v>
      </x:c>
      <x:c r="S553" t="n">
        <x:v>4.5</x:v>
      </x:c>
      <x:c r="T553" t="str">
        <x:v>Second physical copy. 2011 World Championships Ross Cawthon ('The Truth') deck printing of Black &amp; White Zekrom 47/114. PriceCharting currently lists the 2011 Worlds version around $5.25 ungraded; TCGplayer market is about $2.74. Working clean/NM range $3–6.</x:v>
      </x:c>
      <x:c r="U553" t="n">
        <x:v>963</x:v>
      </x:c>
      <x:c r="V553" t="str">
        <x:v>Current chat continuation / researched 2026-08-16</x:v>
      </x:c>
      <x:c r="W553" t="str">
        <x:v>https://www.pricecharting.com/console/pokemon-world-championships-2011</x:v>
      </x:c>
    </x:row>
    <x:row r="554">
      <x:c r="A554" t="n">
        <x:v>553</x:v>
      </x:c>
      <x:c r="B554" t="str">
        <x:v>Electric / Rares</x:v>
      </x:c>
      <x:c r="C554" t="str">
        <x:v>Pichu</x:v>
      </x:c>
      <x:c r="D554" t="str">
        <x:v>28/123</x:v>
      </x:c>
      <x:c r="E554" t="str">
        <x:v>World Championships 2011</x:v>
      </x:c>
      <x:c r="F554" t="n">
        <x:v>2011</x:v>
      </x:c>
      <x:c r="G554" t="str">
        <x:v>World Championships — Ross Cawthon / The Truth</x:v>
      </x:c>
      <x:c r="H554" t="str">
        <x:v>1 of 2</x:v>
      </x:c>
      <x:c r="I554" t="n">
        <x:v>5.5</x:v>
      </x:c>
      <x:c r="J554" t="n">
        <x:v>9</x:v>
      </x:c>
      <x:c r="K554" t="n">
        <x:v>7.25</x:v>
      </x:c>
      <x:c r="L554" t="str">
        <x:v>$5–20</x:v>
      </x:c>
      <x:c r="M554" t="str">
        <x:v>Yes</x:v>
      </x:c>
      <x:c r="N554" t="str">
        <x:v>No</x:v>
      </x:c>
      <x:c r="O554" t="str">
        <x:v>Yes</x:v>
      </x:c>
      <x:c r="P554" t="str">
        <x:v>Clean/NM benchmark unless noted</x:v>
      </x:c>
      <x:c r="Q554" t="n">
        <x:v>5.5</x:v>
      </x:c>
      <x:c r="R554" t="n">
        <x:v>9</x:v>
      </x:c>
      <x:c r="S554" t="n">
        <x:v>7.25</x:v>
      </x:c>
      <x:c r="T554" t="str">
        <x:v>2011 World Championships Ross Cawthon ('The Truth') deck printing of HeartGold &amp; SoulSilver Pichu 28/123. TCGplayer market is about $6.26; current eBay asking prices for clean copies are commonly around $6–9. Working clean/NM range $5.50–9.</x:v>
      </x:c>
      <x:c r="U554" t="n">
        <x:v>963</x:v>
      </x:c>
      <x:c r="V554" t="str">
        <x:v>Current chat continuation / researched 2026-08-16</x:v>
      </x:c>
      <x:c r="W554" t="str">
        <x:v>https://www.tcgplayer.com/product/480432/pokemon-world-championship-decks-pichu-2011-ross-cawthon</x:v>
      </x:c>
    </x:row>
    <x:row r="555">
      <x:c r="A555" t="n">
        <x:v>554</x:v>
      </x:c>
      <x:c r="B555" t="str">
        <x:v>Electric / Rares</x:v>
      </x:c>
      <x:c r="C555" t="str">
        <x:v>Pichu</x:v>
      </x:c>
      <x:c r="D555" t="str">
        <x:v>28/123</x:v>
      </x:c>
      <x:c r="E555" t="str">
        <x:v>World Championships 2011</x:v>
      </x:c>
      <x:c r="F555" t="n">
        <x:v>2011</x:v>
      </x:c>
      <x:c r="G555" t="str">
        <x:v>World Championships — Ross Cawthon / The Truth</x:v>
      </x:c>
      <x:c r="H555" t="str">
        <x:v>2 of 2</x:v>
      </x:c>
      <x:c r="I555" t="n">
        <x:v>5.5</x:v>
      </x:c>
      <x:c r="J555" t="n">
        <x:v>9</x:v>
      </x:c>
      <x:c r="K555" t="n">
        <x:v>7.25</x:v>
      </x:c>
      <x:c r="L555" t="str">
        <x:v>$5–20</x:v>
      </x:c>
      <x:c r="M555" t="str">
        <x:v>Yes</x:v>
      </x:c>
      <x:c r="N555" t="str">
        <x:v>No</x:v>
      </x:c>
      <x:c r="O555" t="str">
        <x:v>Yes</x:v>
      </x:c>
      <x:c r="P555" t="str">
        <x:v>Clean/NM benchmark unless noted</x:v>
      </x:c>
      <x:c r="Q555" t="n">
        <x:v>5.5</x:v>
      </x:c>
      <x:c r="R555" t="n">
        <x:v>9</x:v>
      </x:c>
      <x:c r="S555" t="n">
        <x:v>7.25</x:v>
      </x:c>
      <x:c r="T555" t="str">
        <x:v>Second physical copy. 2011 World Championships Ross Cawthon ('The Truth') deck printing of HeartGold &amp; SoulSilver Pichu 28/123. TCGplayer market is about $6.26; current eBay asking prices for clean copies are commonly around $6–9. Working clean/NM range $5.50–9.</x:v>
      </x:c>
      <x:c r="U555" t="n">
        <x:v>963</x:v>
      </x:c>
      <x:c r="V555" t="str">
        <x:v>Current chat continuation / researched 2026-08-16</x:v>
      </x:c>
      <x:c r="W555" t="str">
        <x:v>https://www.tcgplayer.com/product/480432/pokemon-world-championship-decks-pichu-2011-ross-cawthon</x:v>
      </x:c>
    </x:row>
    <x:row r="556">
      <x:c r="A556" t="n">
        <x:v>555</x:v>
      </x:c>
      <x:c r="B556" t="str">
        <x:v>Electric / Rares</x:v>
      </x:c>
      <x:c r="C556" t="str">
        <x:v>Jolteon</x:v>
      </x:c>
      <x:c r="D556" t="str">
        <x:v>37/108</x:v>
      </x:c>
      <x:c r="E556" t="str">
        <x:v>Dark Explorers</x:v>
      </x:c>
      <x:c r="F556" t="n">
        <x:v>2012</x:v>
      </x:c>
      <x:c r="G556" t="str">
        <x:v>Regular (Uncommon)</x:v>
      </x:c>
      <x:c r="H556" t="str">
        <x:v>1 of 1</x:v>
      </x:c>
      <x:c r="I556" t="n">
        <x:v>5</x:v>
      </x:c>
      <x:c r="J556" t="n">
        <x:v>9</x:v>
      </x:c>
      <x:c r="K556" t="n">
        <x:v>7</x:v>
      </x:c>
      <x:c r="L556" t="str">
        <x:v>$5–20</x:v>
      </x:c>
      <x:c r="M556" t="str">
        <x:v>Yes</x:v>
      </x:c>
      <x:c r="N556" t="str">
        <x:v>No</x:v>
      </x:c>
      <x:c r="O556" t="str">
        <x:v>Yes</x:v>
      </x:c>
      <x:c r="P556" t="str">
        <x:v>Clean/NM benchmark unless noted</x:v>
      </x:c>
      <x:c r="Q556" t="n">
        <x:v>5</x:v>
      </x:c>
      <x:c r="R556" t="n">
        <x:v>9</x:v>
      </x:c>
      <x:c r="S556" t="n">
        <x:v>7</x:v>
      </x:c>
      <x:c r="T556" t="str">
        <x:v>Dark Explorers Jolteon 37/108 regular printing. PriceCharting currently lists ungraded around $7.22; recent clean/NM sales are mostly in the mid-single digits with some TCGplayer NM sales higher. Working clean/NM range $5–9.</x:v>
      </x:c>
      <x:c r="U556" t="n">
        <x:v>964</x:v>
      </x:c>
      <x:c r="V556" t="str">
        <x:v>Current chat continuation / researched 2026-08-16</x:v>
      </x:c>
      <x:c r="W556" t="str">
        <x:v>https://www.pricecharting.com/game/pokemon-dark-explorers/jolteon-37</x:v>
      </x:c>
    </x:row>
    <x:row r="557">
      <x:c r="A557" t="n">
        <x:v>556</x:v>
      </x:c>
      <x:c r="B557" t="str">
        <x:v>Electric / Rares</x:v>
      </x:c>
      <x:c r="C557" t="str">
        <x:v>Raichu</x:v>
      </x:c>
      <x:c r="D557" t="str">
        <x:v>40/99</x:v>
      </x:c>
      <x:c r="E557" t="str">
        <x:v>Next Destinies</x:v>
      </x:c>
      <x:c r="F557" t="n">
        <x:v>2012</x:v>
      </x:c>
      <x:c r="G557" t="str">
        <x:v>Regular (Uncommon)</x:v>
      </x:c>
      <x:c r="H557" t="str">
        <x:v>1 of 1</x:v>
      </x:c>
      <x:c r="I557" t="n">
        <x:v>2.5</x:v>
      </x:c>
      <x:c r="J557" t="n">
        <x:v>4.25</x:v>
      </x:c>
      <x:c r="K557" t="n">
        <x:v>3.375</x:v>
      </x:c>
      <x:c r="L557" t="str">
        <x:v>$1–5</x:v>
      </x:c>
      <x:c r="M557" t="str">
        <x:v>Yes</x:v>
      </x:c>
      <x:c r="N557" t="str">
        <x:v>No</x:v>
      </x:c>
      <x:c r="O557" t="str">
        <x:v>Yes</x:v>
      </x:c>
      <x:c r="P557" t="str">
        <x:v>Clean/NM benchmark unless noted</x:v>
      </x:c>
      <x:c r="Q557" t="n">
        <x:v>2.5</x:v>
      </x:c>
      <x:c r="R557" t="n">
        <x:v>4.25</x:v>
      </x:c>
      <x:c r="S557" t="n">
        <x:v>3.375</x:v>
      </x:c>
      <x:c r="T557" t="str">
        <x:v>Next Destinies Raichu 40/99 regular printing. PriceCharting currently lists ungraded around $3.39; TCGplayer normal pricing is around $3.16. Working clean/NM range $2.50–4.25.</x:v>
      </x:c>
      <x:c r="U557" t="n">
        <x:v>964</x:v>
      </x:c>
      <x:c r="V557" t="str">
        <x:v>Current chat continuation / researched 2026-08-16</x:v>
      </x:c>
      <x:c r="W557" t="str">
        <x:v>https://www.pricecharting.com/game/pokemon-next-destinies/raichu-40</x:v>
      </x:c>
    </x:row>
    <x:row r="558">
      <x:c r="A558" t="n">
        <x:v>557</x:v>
      </x:c>
      <x:c r="B558" t="str">
        <x:v>Electric / Rares</x:v>
      </x:c>
      <x:c r="C558" t="str">
        <x:v>Zapdos</x:v>
      </x:c>
      <x:c r="D558" t="str">
        <x:v>41/99</x:v>
      </x:c>
      <x:c r="E558" t="str">
        <x:v>Next Destinies</x:v>
      </x:c>
      <x:c r="F558" t="n">
        <x:v>2012</x:v>
      </x:c>
      <x:c r="G558" t="str">
        <x:v>Reverse Holo (Holo Rare)</x:v>
      </x:c>
      <x:c r="H558" t="str">
        <x:v>1 of 1</x:v>
      </x:c>
      <x:c r="I558" t="n">
        <x:v>6</x:v>
      </x:c>
      <x:c r="J558" t="n">
        <x:v>10</x:v>
      </x:c>
      <x:c r="K558" t="n">
        <x:v>8</x:v>
      </x:c>
      <x:c r="L558" t="str">
        <x:v>$5–20</x:v>
      </x:c>
      <x:c r="M558" t="str">
        <x:v>Yes</x:v>
      </x:c>
      <x:c r="N558" t="str">
        <x:v>No</x:v>
      </x:c>
      <x:c r="O558" t="str">
        <x:v>Yes</x:v>
      </x:c>
      <x:c r="P558" t="str">
        <x:v>Clean/NM benchmark unless noted</x:v>
      </x:c>
      <x:c r="Q558" t="n">
        <x:v>6</x:v>
      </x:c>
      <x:c r="R558" t="n">
        <x:v>10</x:v>
      </x:c>
      <x:c r="S558" t="n">
        <x:v>8</x:v>
      </x:c>
      <x:c r="T558" t="str">
        <x:v>Next Destinies Zapdos 41/99 reverse holo. TCGplayer reverse-holo market is about $6.87; PriceCharting recent raw/NM sales include about $5–9.50. Working clean/NM range $6–10.</x:v>
      </x:c>
      <x:c r="U558" t="n">
        <x:v>965</x:v>
      </x:c>
      <x:c r="V558" t="str">
        <x:v>Current chat continuation / researched 2026-08-16</x:v>
      </x:c>
      <x:c r="W558" t="str">
        <x:v>https://www.pricecharting.com/game/pokemon-next-destinies/zapdos-reverse-holo-41</x:v>
      </x:c>
    </x:row>
    <x:row r="559">
      <x:c r="A559" t="n">
        <x:v>558</x:v>
      </x:c>
      <x:c r="B559" t="str">
        <x:v>Electric / Rares</x:v>
      </x:c>
      <x:c r="C559" t="str">
        <x:v>Jolteon</x:v>
      </x:c>
      <x:c r="D559" t="str">
        <x:v>34/116</x:v>
      </x:c>
      <x:c r="E559" t="str">
        <x:v>Plasma Freeze</x:v>
      </x:c>
      <x:c r="F559" t="n">
        <x:v>2013</x:v>
      </x:c>
      <x:c r="G559" t="str">
        <x:v>Regular (Team Plasma Uncommon)</x:v>
      </x:c>
      <x:c r="H559" t="str">
        <x:v>1 of 1</x:v>
      </x:c>
      <x:c r="I559" t="n">
        <x:v>3</x:v>
      </x:c>
      <x:c r="J559" t="n">
        <x:v>5</x:v>
      </x:c>
      <x:c r="K559" t="n">
        <x:v>4</x:v>
      </x:c>
      <x:c r="L559" t="str">
        <x:v>$1–5</x:v>
      </x:c>
      <x:c r="M559" t="str">
        <x:v>Yes</x:v>
      </x:c>
      <x:c r="N559" t="str">
        <x:v>No</x:v>
      </x:c>
      <x:c r="O559" t="str">
        <x:v>Yes</x:v>
      </x:c>
      <x:c r="P559" t="str">
        <x:v>Clean/NM benchmark unless noted</x:v>
      </x:c>
      <x:c r="Q559" t="n">
        <x:v>3</x:v>
      </x:c>
      <x:c r="R559" t="n">
        <x:v>5</x:v>
      </x:c>
      <x:c r="S559" t="n">
        <x:v>4</x:v>
      </x:c>
      <x:c r="T559" t="str">
        <x:v>Plasma Freeze Jolteon (Team Plasma) 34/116 regular printing. TCGplayer market is about $3.94; recent raw sales are commonly around $3 with some higher clean copies. Working clean/NM range $3–5.</x:v>
      </x:c>
      <x:c r="U559" t="n">
        <x:v>965</x:v>
      </x:c>
      <x:c r="V559" t="str">
        <x:v>Current chat continuation / researched 2026-08-16</x:v>
      </x:c>
      <x:c r="W559" t="str">
        <x:v>https://www.pricecharting.com/game/pokemon-plasma-freeze/jolteon-34</x:v>
      </x:c>
    </x:row>
    <x:row r="560">
      <x:c r="A560" t="n">
        <x:v>559</x:v>
      </x:c>
      <x:c r="B560" t="str">
        <x:v>Electric / Rares</x:v>
      </x:c>
      <x:c r="C560" t="str">
        <x:v>Luxio</x:v>
      </x:c>
      <x:c r="D560" t="str">
        <x:v>44/99</x:v>
      </x:c>
      <x:c r="E560" t="str">
        <x:v>Next Destinies</x:v>
      </x:c>
      <x:c r="F560" t="n">
        <x:v>2012</x:v>
      </x:c>
      <x:c r="G560" t="str">
        <x:v>Reverse Holo (Uncommon)</x:v>
      </x:c>
      <x:c r="H560" t="str">
        <x:v>1 of 1</x:v>
      </x:c>
      <x:c r="I560" t="n">
        <x:v>1.5</x:v>
      </x:c>
      <x:c r="J560" t="n">
        <x:v>3</x:v>
      </x:c>
      <x:c r="K560" t="n">
        <x:v>2.25</x:v>
      </x:c>
      <x:c r="L560" t="str">
        <x:v>$1–5</x:v>
      </x:c>
      <x:c r="M560" t="str">
        <x:v>Yes</x:v>
      </x:c>
      <x:c r="N560" t="str">
        <x:v>No</x:v>
      </x:c>
      <x:c r="O560" t="str">
        <x:v>Yes</x:v>
      </x:c>
      <x:c r="P560" t="str">
        <x:v>Clean/NM benchmark unless noted</x:v>
      </x:c>
      <x:c r="Q560" t="n">
        <x:v>1.5</x:v>
      </x:c>
      <x:c r="R560" t="n">
        <x:v>3</x:v>
      </x:c>
      <x:c r="S560" t="n">
        <x:v>2.25</x:v>
      </x:c>
      <x:c r="T560" t="str">
        <x:v>Next Destinies Luxio 44/99 reverse holo. PriceCharting recent raw sales include roughly $1.38–3.19 depending on condition; working clean/NM range $1.50–3.00.</x:v>
      </x:c>
      <x:c r="U560" t="n">
        <x:v>965</x:v>
      </x:c>
      <x:c r="V560" t="str">
        <x:v>Current chat continuation / researched 2026-08-16</x:v>
      </x:c>
      <x:c r="W560" t="str">
        <x:v>https://www.pricecharting.com/game/pokemon-next-destinies/luxio-reverse-holo-44</x:v>
      </x:c>
    </x:row>
    <x:row r="561">
      <x:c r="A561" t="n">
        <x:v>560</x:v>
      </x:c>
      <x:c r="B561" t="str">
        <x:v>Electric / Rares</x:v>
      </x:c>
      <x:c r="C561" t="str">
        <x:v>Raichu</x:v>
      </x:c>
      <x:c r="D561" t="str">
        <x:v>3/17</x:v>
      </x:c>
      <x:c r="E561" t="str">
        <x:v>POP Series 9</x:v>
      </x:c>
      <x:c r="F561" t="n">
        <x:v>2009</x:v>
      </x:c>
      <x:c r="G561" t="str">
        <x:v>Regular Non-Holo (LV.39)</x:v>
      </x:c>
      <x:c r="H561" t="str">
        <x:v>1 of 1</x:v>
      </x:c>
      <x:c r="I561" t="n">
        <x:v>9</x:v>
      </x:c>
      <x:c r="J561" t="n">
        <x:v>17</x:v>
      </x:c>
      <x:c r="K561" t="n">
        <x:v>13</x:v>
      </x:c>
      <x:c r="L561" t="str">
        <x:v>$5–20</x:v>
      </x:c>
      <x:c r="M561" t="str">
        <x:v>Yes</x:v>
      </x:c>
      <x:c r="N561" t="str">
        <x:v>No</x:v>
      </x:c>
      <x:c r="O561" t="str">
        <x:v>Yes</x:v>
      </x:c>
      <x:c r="P561" t="str">
        <x:v>Clean/NM benchmark unless noted</x:v>
      </x:c>
      <x:c r="Q561" t="n">
        <x:v>9</x:v>
      </x:c>
      <x:c r="R561" t="n">
        <x:v>17</x:v>
      </x:c>
      <x:c r="S561" t="n">
        <x:v>13</x:v>
      </x:c>
      <x:c r="T561" t="str">
        <x:v>POP Series 9 Raichu LV.39 3/17 regular non-holo. User described this as the non-marker version; logged as the standard non-holo printing rather than the cracked-ice/reverse-holo version. Recent NM sales include about $9.99, $10.00–10.50, $15.77, and $16.99; working clean/NM range $9–17.</x:v>
      </x:c>
      <x:c r="U561" t="n">
        <x:v>966</x:v>
      </x:c>
      <x:c r="V561" t="str">
        <x:v>Current chat continuation / researched 2026-08-16</x:v>
      </x:c>
      <x:c r="W561" t="str">
        <x:v>https://www.pricecharting.com/game/pokemon-pop-series-9/raichu-3</x:v>
      </x:c>
    </x:row>
    <x:row r="562">
      <x:c r="A562" t="n">
        <x:v>561</x:v>
      </x:c>
      <x:c r="B562" t="str">
        <x:v>Electric / Rares</x:v>
      </x:c>
      <x:c r="C562" t="str">
        <x:v>Pikachu</x:v>
      </x:c>
      <x:c r="D562" t="str">
        <x:v>HGSS03</x:v>
      </x:c>
      <x:c r="E562" t="str">
        <x:v>HGSS Black Star Promos</x:v>
      </x:c>
      <x:c r="F562" t="n">
        <x:v>2010</x:v>
      </x:c>
      <x:c r="G562" t="str">
        <x:v>Holo Promo</x:v>
      </x:c>
      <x:c r="H562" t="str">
        <x:v>1 of 2</x:v>
      </x:c>
      <x:c r="I562" t="n">
        <x:v>27</x:v>
      </x:c>
      <x:c r="J562" t="n">
        <x:v>46</x:v>
      </x:c>
      <x:c r="K562" t="n">
        <x:v>36.5</x:v>
      </x:c>
      <x:c r="L562" t="str">
        <x:v>$20+</x:v>
      </x:c>
      <x:c r="M562" t="str">
        <x:v>Yes</x:v>
      </x:c>
      <x:c r="N562" t="str">
        <x:v>Yes</x:v>
      </x:c>
      <x:c r="O562" t="str">
        <x:v>Yes</x:v>
      </x:c>
      <x:c r="P562" t="str">
        <x:v>Clean/NM benchmark unless noted</x:v>
      </x:c>
      <x:c r="Q562" t="n">
        <x:v>27</x:v>
      </x:c>
      <x:c r="R562" t="n">
        <x:v>46</x:v>
      </x:c>
      <x:c r="S562" t="n">
        <x:v>36.5</x:v>
      </x:c>
      <x:c r="T562" t="str">
        <x:v>Pikachu HGSS03 HeartGold &amp; SoulSilver Black Star Promo. This promo is inherently holo. PriceCharting ungraded is about $28.08; recent NM sales include about $26.99, $35.00, $44.75, and $46.18 on TCGplayer. Working clean/NM range $27–46.</x:v>
      </x:c>
      <x:c r="U562" t="n">
        <x:v>966</x:v>
      </x:c>
      <x:c r="V562" t="str">
        <x:v>Current chat continuation / researched 2026-08-16</x:v>
      </x:c>
      <x:c r="W562" t="str">
        <x:v>https://www.pricecharting.com/game/pokemon-promo/pikachu-hgss03</x:v>
      </x:c>
    </x:row>
    <x:row r="563">
      <x:c r="A563" t="n">
        <x:v>562</x:v>
      </x:c>
      <x:c r="B563" t="str">
        <x:v>Electric / Rares</x:v>
      </x:c>
      <x:c r="C563" t="str">
        <x:v>Zekrom</x:v>
      </x:c>
      <x:c r="D563" t="str">
        <x:v>BW005</x:v>
      </x:c>
      <x:c r="E563" t="str">
        <x:v>BW Black Star Promos</x:v>
      </x:c>
      <x:c r="F563" t="n">
        <x:v>2011</x:v>
      </x:c>
      <x:c r="G563" t="str">
        <x:v>Holo Promo</x:v>
      </x:c>
      <x:c r="H563" t="str">
        <x:v>1 of 1</x:v>
      </x:c>
      <x:c r="I563" t="n">
        <x:v>6</x:v>
      </x:c>
      <x:c r="J563" t="n">
        <x:v>8</x:v>
      </x:c>
      <x:c r="K563" t="n">
        <x:v>7</x:v>
      </x:c>
      <x:c r="L563" t="str">
        <x:v>$5–20</x:v>
      </x:c>
      <x:c r="M563" t="str">
        <x:v>Yes</x:v>
      </x:c>
      <x:c r="N563" t="str">
        <x:v>No</x:v>
      </x:c>
      <x:c r="O563" t="str">
        <x:v>Yes</x:v>
      </x:c>
      <x:c r="P563" t="str">
        <x:v>Clean/NM benchmark unless noted</x:v>
      </x:c>
      <x:c r="Q563" t="n">
        <x:v>6</x:v>
      </x:c>
      <x:c r="R563" t="n">
        <x:v>8</x:v>
      </x:c>
      <x:c r="S563" t="n">
        <x:v>7</x:v>
      </x:c>
      <x:c r="T563" t="str">
        <x:v>Zekrom BW005 Black &amp; White Black Star Promo holo. Recent 2026 NM sales include about $6.50, $7.00, $7.76 and $8.00; TCGplayer market is about $6.81. Working clean/NM range $6–8.</x:v>
      </x:c>
      <x:c r="U563" t="n">
        <x:v>967</x:v>
      </x:c>
      <x:c r="V563" t="str">
        <x:v>Current chat continuation / researched 2026-08-16</x:v>
      </x:c>
      <x:c r="W563" t="str">
        <x:v>https://www.pricecharting.com/game/pokemon-promo/zekrom-bw005</x:v>
      </x:c>
    </x:row>
    <x:row r="564">
      <x:c r="A564" t="n">
        <x:v>563</x:v>
      </x:c>
      <x:c r="B564" t="str">
        <x:v>Electric / Rares</x:v>
      </x:c>
      <x:c r="C564" t="str">
        <x:v>Zekrom</x:v>
      </x:c>
      <x:c r="D564" t="str">
        <x:v>47/114</x:v>
      </x:c>
      <x:c r="E564" t="str">
        <x:v>Black &amp; White</x:v>
      </x:c>
      <x:c r="F564" t="n">
        <x:v>2011</x:v>
      </x:c>
      <x:c r="G564" t="str">
        <x:v>Holo Rare</x:v>
      </x:c>
      <x:c r="H564" t="str">
        <x:v>1 of 1</x:v>
      </x:c>
      <x:c r="I564" t="n">
        <x:v>6.5</x:v>
      </x:c>
      <x:c r="J564" t="n">
        <x:v>9</x:v>
      </x:c>
      <x:c r="K564" t="n">
        <x:v>7.75</x:v>
      </x:c>
      <x:c r="L564" t="str">
        <x:v>$5–20</x:v>
      </x:c>
      <x:c r="M564" t="str">
        <x:v>Yes</x:v>
      </x:c>
      <x:c r="N564" t="str">
        <x:v>No</x:v>
      </x:c>
      <x:c r="O564" t="str">
        <x:v>Yes</x:v>
      </x:c>
      <x:c r="P564" t="str">
        <x:v>Clean/NM benchmark unless noted</x:v>
      </x:c>
      <x:c r="Q564" t="n">
        <x:v>6.5</x:v>
      </x:c>
      <x:c r="R564" t="n">
        <x:v>9</x:v>
      </x:c>
      <x:c r="S564" t="n">
        <x:v>7.75</x:v>
      </x:c>
      <x:c r="T564" t="str">
        <x:v>Black &amp; White Zekrom 47/114 holo rare. TCGplayer market is currently about $7.45–7.71, with clean raw asking/sales around the upper single digits. Working clean/NM range $6.50–9.</x:v>
      </x:c>
      <x:c r="U564" t="n">
        <x:v>967</x:v>
      </x:c>
      <x:c r="V564" t="str">
        <x:v>Current chat continuation / researched 2026-08-16</x:v>
      </x:c>
      <x:c r="W564" t="str">
        <x:v>https://www.pricecharting.com/game/pokemon-black-%26-white/zekrom-47</x:v>
      </x:c>
    </x:row>
    <x:row r="565">
      <x:c r="A565" t="n">
        <x:v>564</x:v>
      </x:c>
      <x:c r="B565" t="str">
        <x:v>Electric / Rares</x:v>
      </x:c>
      <x:c r="C565" t="str">
        <x:v>Zekrom</x:v>
      </x:c>
      <x:c r="D565" t="str">
        <x:v>51/113</x:v>
      </x:c>
      <x:c r="E565" t="str">
        <x:v>Legendary Treasures</x:v>
      </x:c>
      <x:c r="F565" t="n">
        <x:v>2013</x:v>
      </x:c>
      <x:c r="G565" t="str">
        <x:v>Reverse Holo (Holo Rare)</x:v>
      </x:c>
      <x:c r="H565" t="str">
        <x:v>1 of 1</x:v>
      </x:c>
      <x:c r="I565" t="n">
        <x:v>5</x:v>
      </x:c>
      <x:c r="J565" t="n">
        <x:v>10</x:v>
      </x:c>
      <x:c r="K565" t="n">
        <x:v>7.5</x:v>
      </x:c>
      <x:c r="L565" t="str">
        <x:v>$5–20</x:v>
      </x:c>
      <x:c r="M565" t="str">
        <x:v>Yes</x:v>
      </x:c>
      <x:c r="N565" t="str">
        <x:v>No</x:v>
      </x:c>
      <x:c r="O565" t="str">
        <x:v>Yes</x:v>
      </x:c>
      <x:c r="P565" t="str">
        <x:v>Clean/NM benchmark unless noted</x:v>
      </x:c>
      <x:c r="Q565" t="n">
        <x:v>5</x:v>
      </x:c>
      <x:c r="R565" t="n">
        <x:v>10</x:v>
      </x:c>
      <x:c r="S565" t="n">
        <x:v>7.5</x:v>
      </x:c>
      <x:c r="T565" t="str">
        <x:v>Legendary Treasures Zekrom 51/113 reverse holo. Recent 2026 NM TCGplayer sales include about $6.20, $6.67, $8.50, $9.99 and $10.00; working clean/NM range $5–10.</x:v>
      </x:c>
      <x:c r="U565" t="n">
        <x:v>967</x:v>
      </x:c>
      <x:c r="V565" t="str">
        <x:v>Current chat continuation / researched 2026-08-16</x:v>
      </x:c>
      <x:c r="W565" t="str">
        <x:v>https://www.pricecharting.com/game/pokemon-legendary-treasures/zekrom-reverse-holo-51</x:v>
      </x:c>
    </x:row>
    <x:row r="566">
      <x:c r="A566" t="n">
        <x:v>565</x:v>
      </x:c>
      <x:c r="B566" t="str">
        <x:v>Electric / Rares</x:v>
      </x:c>
      <x:c r="C566" t="str">
        <x:v>Zekrom</x:v>
      </x:c>
      <x:c r="D566" t="str">
        <x:v>50/99</x:v>
      </x:c>
      <x:c r="E566" t="str">
        <x:v>Next Destinies</x:v>
      </x:c>
      <x:c r="F566" t="n">
        <x:v>2012</x:v>
      </x:c>
      <x:c r="G566" t="str">
        <x:v>Regular Rare</x:v>
      </x:c>
      <x:c r="H566" t="str">
        <x:v>1 of 1</x:v>
      </x:c>
      <x:c r="I566" t="n">
        <x:v>1</x:v>
      </x:c>
      <x:c r="J566" t="n">
        <x:v>2</x:v>
      </x:c>
      <x:c r="K566" t="n">
        <x:v>1.5</x:v>
      </x:c>
      <x:c r="L566" t="str">
        <x:v>$1–5</x:v>
      </x:c>
      <x:c r="M566" t="str">
        <x:v>Yes</x:v>
      </x:c>
      <x:c r="N566" t="str">
        <x:v>No</x:v>
      </x:c>
      <x:c r="O566" t="str">
        <x:v>Yes</x:v>
      </x:c>
      <x:c r="P566" t="str">
        <x:v>Clean/NM benchmark unless noted</x:v>
      </x:c>
      <x:c r="Q566" t="n">
        <x:v>1</x:v>
      </x:c>
      <x:c r="R566" t="n">
        <x:v>2</x:v>
      </x:c>
      <x:c r="S566" t="n">
        <x:v>1.5</x:v>
      </x:c>
      <x:c r="T566" t="str">
        <x:v>Next Destinies Zekrom 50/99 regular rare. TCGplayer market is about $1.02 and PriceCharting ungraded is roughly $1.8–2.0. Working clean/NM range $1–2.</x:v>
      </x:c>
      <x:c r="U566" t="n">
        <x:v>967</x:v>
      </x:c>
      <x:c r="V566" t="str">
        <x:v>Current chat continuation / researched 2026-08-16</x:v>
      </x:c>
      <x:c r="W566" t="str">
        <x:v>https://www.pricecharting.com/game/pokemon-next-destinies/zekrom-50</x:v>
      </x:c>
    </x:row>
    <x:row r="567">
      <x:c r="A567" t="n">
        <x:v>566</x:v>
      </x:c>
      <x:c r="B567" t="str">
        <x:v>Electric / Rares</x:v>
      </x:c>
      <x:c r="C567" t="str">
        <x:v>Zekrom</x:v>
      </x:c>
      <x:c r="D567" t="str">
        <x:v>BW24</x:v>
      </x:c>
      <x:c r="E567" t="str">
        <x:v>BW Black Star Promos</x:v>
      </x:c>
      <x:c r="F567" t="n">
        <x:v>2011</x:v>
      </x:c>
      <x:c r="G567" t="str">
        <x:v>Holo Promo</x:v>
      </x:c>
      <x:c r="H567" t="str">
        <x:v>1 of 1</x:v>
      </x:c>
      <x:c r="I567" t="n">
        <x:v>7</x:v>
      </x:c>
      <x:c r="J567" t="n">
        <x:v>11</x:v>
      </x:c>
      <x:c r="K567" t="n">
        <x:v>9</x:v>
      </x:c>
      <x:c r="L567" t="str">
        <x:v>$5–20</x:v>
      </x:c>
      <x:c r="M567" t="str">
        <x:v>Yes</x:v>
      </x:c>
      <x:c r="N567" t="str">
        <x:v>No</x:v>
      </x:c>
      <x:c r="O567" t="str">
        <x:v>Yes</x:v>
      </x:c>
      <x:c r="P567" t="str">
        <x:v>Clean/NM benchmark unless noted</x:v>
      </x:c>
      <x:c r="Q567" t="n">
        <x:v>7</x:v>
      </x:c>
      <x:c r="R567" t="n">
        <x:v>11</x:v>
      </x:c>
      <x:c r="S567" t="n">
        <x:v>9</x:v>
      </x:c>
      <x:c r="T567" t="str">
        <x:v>Zekrom BW24 Black &amp; White Black Star Promo holo. TCGplayer market is about $8.2; recent raw sales include about $7.49, $8.50 and $11.18, with LP examples sometimes higher. Working clean/NM range $7–11.</x:v>
      </x:c>
      <x:c r="U567" t="n">
        <x:v>967</x:v>
      </x:c>
      <x:c r="V567" t="str">
        <x:v>Current chat continuation / researched 2026-08-16</x:v>
      </x:c>
      <x:c r="W567" t="str">
        <x:v>https://www.pricecharting.com/game/pokemon-promo/zekrom-bw24</x:v>
      </x:c>
    </x:row>
    <x:row r="568">
      <x:c r="A568" t="n">
        <x:v>567</x:v>
      </x:c>
      <x:c r="B568" t="str">
        <x:v>Electric / Rares</x:v>
      </x:c>
      <x:c r="C568" t="str">
        <x:v>Ampharos</x:v>
      </x:c>
      <x:c r="D568" t="str">
        <x:v>40/124</x:v>
      </x:c>
      <x:c r="E568" t="str">
        <x:v>Dragons Exalted</x:v>
      </x:c>
      <x:c r="F568" t="n">
        <x:v>2012</x:v>
      </x:c>
      <x:c r="G568" t="str">
        <x:v>Holo Rare</x:v>
      </x:c>
      <x:c r="H568" t="str">
        <x:v>1 of 2</x:v>
      </x:c>
      <x:c r="I568" t="n">
        <x:v>5</x:v>
      </x:c>
      <x:c r="J568" t="n">
        <x:v>10</x:v>
      </x:c>
      <x:c r="K568" t="n">
        <x:v>7.5</x:v>
      </x:c>
      <x:c r="L568" t="str">
        <x:v>$5–20</x:v>
      </x:c>
      <x:c r="M568" t="str">
        <x:v>Yes</x:v>
      </x:c>
      <x:c r="N568" t="str">
        <x:v>No</x:v>
      </x:c>
      <x:c r="O568" t="str">
        <x:v>Yes</x:v>
      </x:c>
      <x:c r="P568" t="str">
        <x:v>Clean/NM benchmark unless noted</x:v>
      </x:c>
      <x:c r="Q568" t="n">
        <x:v>5</x:v>
      </x:c>
      <x:c r="R568" t="n">
        <x:v>10</x:v>
      </x:c>
      <x:c r="S568" t="n">
        <x:v>7.5</x:v>
      </x:c>
      <x:c r="T568" t="str">
        <x:v>Dragons Exalted Ampharos 40/124 holo rare, first physical copy. PriceCharting ungraded is about $7.74; recent 2026 NM TCGplayer sales commonly fall around $4.17–9.95. Working clean/NM range $5–10.</x:v>
      </x:c>
      <x:c r="U568" t="n">
        <x:v>968</x:v>
      </x:c>
      <x:c r="V568" t="str">
        <x:v>Current chat continuation / corrected 2026-08-16</x:v>
      </x:c>
      <x:c r="W568" t="str">
        <x:v>https://www.pricecharting.com/game/pokemon-dragons-exalted/ampharos-40</x:v>
      </x:c>
    </x:row>
    <x:row r="569">
      <x:c r="A569" t="n">
        <x:v>568</x:v>
      </x:c>
      <x:c r="B569" t="str">
        <x:v>Electric / Rares</x:v>
      </x:c>
      <x:c r="C569" t="str">
        <x:v>Ampharos</x:v>
      </x:c>
      <x:c r="D569" t="str">
        <x:v>40/124</x:v>
      </x:c>
      <x:c r="E569" t="str">
        <x:v>Dragons Exalted</x:v>
      </x:c>
      <x:c r="F569" t="n">
        <x:v>2012</x:v>
      </x:c>
      <x:c r="G569" t="str">
        <x:v>Reverse Holo (Holo Rare)</x:v>
      </x:c>
      <x:c r="H569" t="str">
        <x:v>2 of 2</x:v>
      </x:c>
      <x:c r="I569" t="n">
        <x:v>6</x:v>
      </x:c>
      <x:c r="J569" t="n">
        <x:v>13</x:v>
      </x:c>
      <x:c r="K569" t="n">
        <x:v>9.5</x:v>
      </x:c>
      <x:c r="L569" t="str">
        <x:v>$5–20</x:v>
      </x:c>
      <x:c r="M569" t="str">
        <x:v>Yes</x:v>
      </x:c>
      <x:c r="N569" t="str">
        <x:v>No</x:v>
      </x:c>
      <x:c r="O569" t="str">
        <x:v>Yes</x:v>
      </x:c>
      <x:c r="P569" t="str">
        <x:v>Clean/NM benchmark unless noted</x:v>
      </x:c>
      <x:c r="Q569" t="n">
        <x:v>6</x:v>
      </x:c>
      <x:c r="R569" t="n">
        <x:v>13</x:v>
      </x:c>
      <x:c r="S569" t="n">
        <x:v>9.5</x:v>
      </x:c>
      <x:c r="T569" t="str">
        <x:v>CORRECTED: second physical Ampharos 40/124 is the reverse holo, not another holo. PriceCharting ungraded is about $6.99; recent 2026 NM TCGplayer sales include $6.99, $12.32 and $13.00. Working clean/NM range $6–13.</x:v>
      </x:c>
      <x:c r="U569" t="n">
        <x:v>968</x:v>
      </x:c>
      <x:c r="V569" t="str">
        <x:v>Current chat continuation / corrected 2026-08-16</x:v>
      </x:c>
      <x:c r="W569" t="str">
        <x:v>https://www.pricecharting.com/game/pokemon-dragons-exalted/ampharos-reverse-holo-40</x:v>
      </x:c>
    </x:row>
    <x:row r="570">
      <x:c r="A570" t="n">
        <x:v>569</x:v>
      </x:c>
      <x:c r="B570" t="str">
        <x:v>Electric / Rares</x:v>
      </x:c>
      <x:c r="C570" t="str">
        <x:v>Ampharos</x:v>
      </x:c>
      <x:c r="D570" t="str">
        <x:v>1/132</x:v>
      </x:c>
      <x:c r="E570" t="str">
        <x:v>Secret Wonders</x:v>
      </x:c>
      <x:c r="F570" t="n">
        <x:v>2007</x:v>
      </x:c>
      <x:c r="G570" t="str">
        <x:v>Holo Rare (LV.52)</x:v>
      </x:c>
      <x:c r="H570" t="str">
        <x:v>1 of 1</x:v>
      </x:c>
      <x:c r="I570" t="n">
        <x:v>20</x:v>
      </x:c>
      <x:c r="J570" t="n">
        <x:v>35</x:v>
      </x:c>
      <x:c r="K570" t="n">
        <x:v>27.5</x:v>
      </x:c>
      <x:c r="L570" t="str">
        <x:v>$20+</x:v>
      </x:c>
      <x:c r="M570" t="str">
        <x:v>Yes</x:v>
      </x:c>
      <x:c r="N570" t="str">
        <x:v>Yes</x:v>
      </x:c>
      <x:c r="O570" t="str">
        <x:v>Yes</x:v>
      </x:c>
      <x:c r="P570" t="str">
        <x:v>Played / condition uncertain; user says not in best condition</x:v>
      </x:c>
      <x:c r="Q570" t="n">
        <x:v>7.5</x:v>
      </x:c>
      <x:c r="R570" t="n">
        <x:v>15</x:v>
      </x:c>
      <x:c r="S570" t="n">
        <x:v>11.25</x:v>
      </x:c>
      <x:c r="T570" t="str">
        <x:v>CORRECTED from POP Series 7 1/17: this is Secret Wonders Ampharos LV.52 1/132. Standard set printing is holo rare. Recent NM TCGplayer sales have been roughly $20–40; recent raw sales include $19.99 LP, $12.99 HP, and $7.50 damaged. User says this copy is not in the best condition, so provisional as-is range is $7.50–15 pending photos. If the card is actually non-holo, it may be the Powerhouse theme-deck exclusive and should be repriced much lower.</x:v>
      </x:c>
      <x:c r="U570" t="n">
        <x:v>969</x:v>
      </x:c>
      <x:c r="V570" t="str">
        <x:v>Current chat continuation / corrected 2026-08-16</x:v>
      </x:c>
      <x:c r="W570" t="str">
        <x:v>https://www.pricecharting.com/game/pokemon-secret-wonders/ampharos-1</x:v>
      </x:c>
    </x:row>
    <x:row r="571">
      <x:c r="A571" t="n">
        <x:v>570</x:v>
      </x:c>
      <x:c r="B571" t="str">
        <x:v>Electric / Rares</x:v>
      </x:c>
      <x:c r="C571" t="str">
        <x:v>Electivire</x:v>
      </x:c>
      <x:c r="D571" t="str">
        <x:v>54/149</x:v>
      </x:c>
      <x:c r="E571" t="str">
        <x:v>Boundaries Crossed</x:v>
      </x:c>
      <x:c r="F571" t="n">
        <x:v>2012</x:v>
      </x:c>
      <x:c r="G571" t="str">
        <x:v>Reverse Holo (Holo Rare)</x:v>
      </x:c>
      <x:c r="H571" t="str">
        <x:v>1 of 1</x:v>
      </x:c>
      <x:c r="I571" t="n">
        <x:v>3</x:v>
      </x:c>
      <x:c r="J571" t="n">
        <x:v>6</x:v>
      </x:c>
      <x:c r="K571" t="n">
        <x:v>4.5</x:v>
      </x:c>
      <x:c r="L571" t="str">
        <x:v>$1–5</x:v>
      </x:c>
      <x:c r="M571" t="str">
        <x:v>Yes</x:v>
      </x:c>
      <x:c r="N571" t="str">
        <x:v>No</x:v>
      </x:c>
      <x:c r="O571" t="str">
        <x:v>Yes</x:v>
      </x:c>
      <x:c r="P571" t="str">
        <x:v>Clean/NM benchmark unless noted</x:v>
      </x:c>
      <x:c r="Q571" t="n">
        <x:v>3</x:v>
      </x:c>
      <x:c r="R571" t="n">
        <x:v>6</x:v>
      </x:c>
      <x:c r="S571" t="n">
        <x:v>4.5</x:v>
      </x:c>
      <x:c r="T571" t="str">
        <x:v>Boundaries Crossed Electivire 54/149 reverse holo. PriceCharting ungraded is about $4.20; recent 2026 NM TCGplayer sales are commonly around $2.97–4.93 with some sales near $5.95. Working clean/NM range $3–6.</x:v>
      </x:c>
      <x:c r="U571" t="n">
        <x:v>968</x:v>
      </x:c>
      <x:c r="V571" t="str">
        <x:v>Current chat continuation / researched 2026-08-16</x:v>
      </x:c>
      <x:c r="W571" t="str">
        <x:v>https://www.pricecharting.com/game/pokemon-boundaries-crossed/electivire-reverse-holo-54</x:v>
      </x:c>
    </x:row>
    <x:row r="572">
      <x:c r="A572" t="n">
        <x:v>571</x:v>
      </x:c>
      <x:c r="B572" t="str">
        <x:v>Electric / Rares</x:v>
      </x:c>
      <x:c r="C572" t="str">
        <x:v>Thundurus</x:v>
      </x:c>
      <x:c r="D572" t="str">
        <x:v>35/98</x:v>
      </x:c>
      <x:c r="E572" t="str">
        <x:v>Emerging Powers</x:v>
      </x:c>
      <x:c r="F572" t="n">
        <x:v>2011</x:v>
      </x:c>
      <x:c r="G572" t="str">
        <x:v>Holo Rare</x:v>
      </x:c>
      <x:c r="H572" t="str">
        <x:v>1 of 2</x:v>
      </x:c>
      <x:c r="I572" t="n">
        <x:v>1.5</x:v>
      </x:c>
      <x:c r="J572" t="n">
        <x:v>3.25</x:v>
      </x:c>
      <x:c r="K572" t="n">
        <x:v>2.375</x:v>
      </x:c>
      <x:c r="L572" t="str">
        <x:v>$1–5</x:v>
      </x:c>
      <x:c r="M572" t="str">
        <x:v>Yes</x:v>
      </x:c>
      <x:c r="N572" t="str">
        <x:v>No</x:v>
      </x:c>
      <x:c r="O572" t="str">
        <x:v>Yes</x:v>
      </x:c>
      <x:c r="P572" t="str">
        <x:v>Clean/NM benchmark unless noted</x:v>
      </x:c>
      <x:c r="Q572" t="n">
        <x:v>1.5</x:v>
      </x:c>
      <x:c r="R572" t="n">
        <x:v>3.25</x:v>
      </x:c>
      <x:c r="S572" t="n">
        <x:v>2.375</x:v>
      </x:c>
      <x:c r="T572" t="str">
        <x:v>Emerging Powers Thundurus 35/98 holo rare, first physical copy. TCGplayer currently shows holofoil market around $2.42–$2.57 with recent sales roughly $1.35–$3.05. Working clean/NM range $1.50–3.25.</x:v>
      </x:c>
      <x:c r="U572" t="n">
        <x:v>970</x:v>
      </x:c>
      <x:c r="V572" t="str">
        <x:v>Current chat continuation / researched 2026-08-16</x:v>
      </x:c>
      <x:c r="W572" t="str">
        <x:v>https://www.tcgplayer.com/product/89903/pokemon-emerging-powers-thundurus</x:v>
      </x:c>
    </x:row>
    <x:row r="573">
      <x:c r="A573" t="n">
        <x:v>572</x:v>
      </x:c>
      <x:c r="B573" t="str">
        <x:v>Electric / Rares</x:v>
      </x:c>
      <x:c r="C573" t="str">
        <x:v>Thundurus</x:v>
      </x:c>
      <x:c r="D573" t="str">
        <x:v>35/98</x:v>
      </x:c>
      <x:c r="E573" t="str">
        <x:v>Emerging Powers</x:v>
      </x:c>
      <x:c r="F573" t="n">
        <x:v>2011</x:v>
      </x:c>
      <x:c r="G573" t="str">
        <x:v>Holo Rare</x:v>
      </x:c>
      <x:c r="H573" t="str">
        <x:v>2 of 2</x:v>
      </x:c>
      <x:c r="I573" t="n">
        <x:v>1.5</x:v>
      </x:c>
      <x:c r="J573" t="n">
        <x:v>3.25</x:v>
      </x:c>
      <x:c r="K573" t="n">
        <x:v>2.375</x:v>
      </x:c>
      <x:c r="L573" t="str">
        <x:v>$1–5</x:v>
      </x:c>
      <x:c r="M573" t="str">
        <x:v>Yes</x:v>
      </x:c>
      <x:c r="N573" t="str">
        <x:v>No</x:v>
      </x:c>
      <x:c r="O573" t="str">
        <x:v>Yes</x:v>
      </x:c>
      <x:c r="P573" t="str">
        <x:v>Clean/NM benchmark unless noted</x:v>
      </x:c>
      <x:c r="Q573" t="n">
        <x:v>1.5</x:v>
      </x:c>
      <x:c r="R573" t="n">
        <x:v>3.25</x:v>
      </x:c>
      <x:c r="S573" t="n">
        <x:v>2.375</x:v>
      </x:c>
      <x:c r="T573" t="str">
        <x:v>Second physical copy of Emerging Powers Thundurus 35/98 holo rare. TCGplayer currently shows holofoil market around $2.42–$2.57 with recent sales roughly $1.35–$3.05. Working clean/NM range $1.50–3.25.</x:v>
      </x:c>
      <x:c r="U573" t="n">
        <x:v>970</x:v>
      </x:c>
      <x:c r="V573" t="str">
        <x:v>Current chat continuation / researched 2026-08-16</x:v>
      </x:c>
      <x:c r="W573" t="str">
        <x:v>https://www.tcgplayer.com/product/89903/pokemon-emerging-powers-thundurus</x:v>
      </x:c>
    </x:row>
    <x:row r="574">
      <x:c r="A574" t="n">
        <x:v>573</x:v>
      </x:c>
      <x:c r="B574" t="str">
        <x:v>Electric / Rares</x:v>
      </x:c>
      <x:c r="C574" t="str">
        <x:v>Thundurus</x:v>
      </x:c>
      <x:c r="D574" t="str">
        <x:v>BW41</x:v>
      </x:c>
      <x:c r="E574" t="str">
        <x:v>BW Black Star Promos</x:v>
      </x:c>
      <x:c r="F574" t="n">
        <x:v>2012</x:v>
      </x:c>
      <x:c r="G574" t="str">
        <x:v>Reverse Holo Promo</x:v>
      </x:c>
      <x:c r="H574" t="str">
        <x:v>1 of 1</x:v>
      </x:c>
      <x:c r="I574" t="n">
        <x:v>3</x:v>
      </x:c>
      <x:c r="J574" t="n">
        <x:v>5</x:v>
      </x:c>
      <x:c r="K574" t="n">
        <x:v>4</x:v>
      </x:c>
      <x:c r="L574" t="str">
        <x:v>$1–5</x:v>
      </x:c>
      <x:c r="M574" t="str">
        <x:v>Yes</x:v>
      </x:c>
      <x:c r="N574" t="str">
        <x:v>No</x:v>
      </x:c>
      <x:c r="O574" t="str">
        <x:v>Yes</x:v>
      </x:c>
      <x:c r="P574" t="str">
        <x:v>Clean/NM benchmark unless noted</x:v>
      </x:c>
      <x:c r="Q574" t="n">
        <x:v>3</x:v>
      </x:c>
      <x:c r="R574" t="n">
        <x:v>5</x:v>
      </x:c>
      <x:c r="S574" t="n">
        <x:v>4</x:v>
      </x:c>
      <x:c r="T574" t="str">
        <x:v>Thundurus BW41 Black &amp; White Black Star Promo reverse holo. TCGplayer Black &amp; White Promos guide currently lists Near Mint reverse holo around $3.96; PriceCharting recent raw sale data includes about $2.95. Working clean/NM range $3–5.</x:v>
      </x:c>
      <x:c r="U574" t="n">
        <x:v>970</x:v>
      </x:c>
      <x:c r="V574" t="str">
        <x:v>Current chat continuation / researched 2026-08-16</x:v>
      </x:c>
      <x:c r="W574" t="str">
        <x:v>https://www.pricecharting.com/game/pokemon-promo/thundurus-bw41</x:v>
      </x:c>
    </x:row>
    <x:row r="575">
      <x:c r="A575" t="n">
        <x:v>574</x:v>
      </x:c>
      <x:c r="B575" t="str">
        <x:v>Electric / Rares</x:v>
      </x:c>
      <x:c r="C575" t="str">
        <x:v>Luxray</x:v>
      </x:c>
      <x:c r="D575" t="str">
        <x:v>46/99</x:v>
      </x:c>
      <x:c r="E575" t="str">
        <x:v>Next Destinies</x:v>
      </x:c>
      <x:c r="F575" t="n">
        <x:v>2012</x:v>
      </x:c>
      <x:c r="G575" t="str">
        <x:v>Holo Rare</x:v>
      </x:c>
      <x:c r="H575" t="str">
        <x:v>1 of 2</x:v>
      </x:c>
      <x:c r="I575" t="n">
        <x:v>2</x:v>
      </x:c>
      <x:c r="J575" t="n">
        <x:v>4</x:v>
      </x:c>
      <x:c r="K575" t="n">
        <x:v>3</x:v>
      </x:c>
      <x:c r="L575" t="str">
        <x:v>$1–5</x:v>
      </x:c>
      <x:c r="M575" t="str">
        <x:v>Yes</x:v>
      </x:c>
      <x:c r="N575" t="str">
        <x:v>No</x:v>
      </x:c>
      <x:c r="O575" t="str">
        <x:v>Yes</x:v>
      </x:c>
      <x:c r="P575" t="str">
        <x:v>Clean/NM benchmark unless noted</x:v>
      </x:c>
      <x:c r="Q575" t="n">
        <x:v>2</x:v>
      </x:c>
      <x:c r="R575" t="n">
        <x:v>4</x:v>
      </x:c>
      <x:c r="S575" t="n">
        <x:v>3</x:v>
      </x:c>
      <x:c r="T575" t="str">
        <x:v>Next Destinies Luxray 46/99 holo rare, first physical copy. TCGplayer market is about $2.15–2.16; recent clean raw sales include roughly $2.19 LP and $3.99 NM. Working clean/NM range $2–4.</x:v>
      </x:c>
      <x:c r="U575" t="n">
        <x:v>971</x:v>
      </x:c>
      <x:c r="V575" t="str">
        <x:v>Current chat continuation / researched 2026-08-16</x:v>
      </x:c>
      <x:c r="W575" t="str">
        <x:v>https://www.pricecharting.com/game/pokemon-next-destinies/luxray-46</x:v>
      </x:c>
    </x:row>
    <x:row r="576">
      <x:c r="A576" t="n">
        <x:v>575</x:v>
      </x:c>
      <x:c r="B576" t="str">
        <x:v>Electric / Rares</x:v>
      </x:c>
      <x:c r="C576" t="str">
        <x:v>Luxray</x:v>
      </x:c>
      <x:c r="D576" t="str">
        <x:v>46/99</x:v>
      </x:c>
      <x:c r="E576" t="str">
        <x:v>Next Destinies</x:v>
      </x:c>
      <x:c r="F576" t="n">
        <x:v>2012</x:v>
      </x:c>
      <x:c r="G576" t="str">
        <x:v>Holo Rare</x:v>
      </x:c>
      <x:c r="H576" t="str">
        <x:v>2 of 2</x:v>
      </x:c>
      <x:c r="I576" t="n">
        <x:v>2</x:v>
      </x:c>
      <x:c r="J576" t="n">
        <x:v>4</x:v>
      </x:c>
      <x:c r="K576" t="n">
        <x:v>3</x:v>
      </x:c>
      <x:c r="L576" t="str">
        <x:v>$1–5</x:v>
      </x:c>
      <x:c r="M576" t="str">
        <x:v>Yes</x:v>
      </x:c>
      <x:c r="N576" t="str">
        <x:v>No</x:v>
      </x:c>
      <x:c r="O576" t="str">
        <x:v>Yes</x:v>
      </x:c>
      <x:c r="P576" t="str">
        <x:v>Clean/NM benchmark unless noted</x:v>
      </x:c>
      <x:c r="Q576" t="n">
        <x:v>2</x:v>
      </x:c>
      <x:c r="R576" t="n">
        <x:v>4</x:v>
      </x:c>
      <x:c r="S576" t="n">
        <x:v>3</x:v>
      </x:c>
      <x:c r="T576" t="str">
        <x:v>Second physical copy of Next Destinies Luxray 46/99 holo rare. TCGplayer market is about $2.15–2.16; recent clean raw sales include roughly $2.19 LP and $3.99 NM. Working clean/NM range $2–4.</x:v>
      </x:c>
      <x:c r="U576" t="n">
        <x:v>971</x:v>
      </x:c>
      <x:c r="V576" t="str">
        <x:v>Current chat continuation / researched 2026-08-16</x:v>
      </x:c>
      <x:c r="W576" t="str">
        <x:v>https://www.pricecharting.com/game/pokemon-next-destinies/luxray-46</x:v>
      </x:c>
    </x:row>
    <x:row r="577">
      <x:c r="A577" t="n">
        <x:v>576</x:v>
      </x:c>
      <x:c r="B577" t="str">
        <x:v>Electric / Rares</x:v>
      </x:c>
      <x:c r="C577" t="str">
        <x:v>Zebstrika</x:v>
      </x:c>
      <x:c r="D577" t="str">
        <x:v>43/114</x:v>
      </x:c>
      <x:c r="E577" t="str">
        <x:v>Black &amp; White</x:v>
      </x:c>
      <x:c r="F577" t="n">
        <x:v>2011</x:v>
      </x:c>
      <x:c r="G577" t="str">
        <x:v>Reverse Holo (Rare)</x:v>
      </x:c>
      <x:c r="H577" t="str">
        <x:v>1 of 1</x:v>
      </x:c>
      <x:c r="I577" t="n">
        <x:v>2</x:v>
      </x:c>
      <x:c r="J577" t="n">
        <x:v>3.25</x:v>
      </x:c>
      <x:c r="K577" t="n">
        <x:v>2.625</x:v>
      </x:c>
      <x:c r="L577" t="str">
        <x:v>$1–5</x:v>
      </x:c>
      <x:c r="M577" t="str">
        <x:v>Yes</x:v>
      </x:c>
      <x:c r="N577" t="str">
        <x:v>No</x:v>
      </x:c>
      <x:c r="O577" t="str">
        <x:v>Yes</x:v>
      </x:c>
      <x:c r="P577" t="str">
        <x:v>Clean/NM benchmark unless noted</x:v>
      </x:c>
      <x:c r="Q577" t="n">
        <x:v>2</x:v>
      </x:c>
      <x:c r="R577" t="n">
        <x:v>3.25</x:v>
      </x:c>
      <x:c r="S577" t="n">
        <x:v>2.625</x:v>
      </x:c>
      <x:c r="T577" t="str">
        <x:v>Black &amp; White Zebstrika 43/114 reverse holo. TCGplayer reverse-holo price is about $2.22; PriceCharting currently lists ungraded around $2.99, with recent LP/NM raw sales around $1.42–2.98. Working clean/NM range $2–3.25.</x:v>
      </x:c>
      <x:c r="U577" t="n">
        <x:v>971</x:v>
      </x:c>
      <x:c r="V577" t="str">
        <x:v>Current chat continuation / researched 2026-08-16</x:v>
      </x:c>
      <x:c r="W577" t="str">
        <x:v>https://www.pricecharting.com/game/pokemon-black-%26-white/zebstrika-reverse-holo-43</x:v>
      </x:c>
    </x:row>
    <x:row r="578">
      <x:c r="A578" t="n">
        <x:v>577</x:v>
      </x:c>
      <x:c r="B578" t="str">
        <x:v>Water / Rares</x:v>
      </x:c>
      <x:c r="C578" t="str">
        <x:v>Keldeo-EX</x:v>
      </x:c>
      <x:c r="D578" t="str">
        <x:v>49/149</x:v>
      </x:c>
      <x:c r="E578" t="str">
        <x:v>Boundaries Crossed</x:v>
      </x:c>
      <x:c r="F578" t="n">
        <x:v>2012</x:v>
      </x:c>
      <x:c r="G578" t="str">
        <x:v>Holo EX</x:v>
      </x:c>
      <x:c r="H578" t="str">
        <x:v>1 of 3</x:v>
      </x:c>
      <x:c r="I578" t="n">
        <x:v>1.25</x:v>
      </x:c>
      <x:c r="J578" t="n">
        <x:v>2.5</x:v>
      </x:c>
      <x:c r="K578" t="n">
        <x:v>1.875</x:v>
      </x:c>
      <x:c r="L578" t="str">
        <x:v>$1–5</x:v>
      </x:c>
      <x:c r="M578" t="str">
        <x:v>Yes</x:v>
      </x:c>
      <x:c r="N578" t="str">
        <x:v>No</x:v>
      </x:c>
      <x:c r="O578" t="str">
        <x:v>Yes</x:v>
      </x:c>
      <x:c r="P578" t="str">
        <x:v>Clean/NM benchmark unless noted</x:v>
      </x:c>
      <x:c r="Q578" t="n">
        <x:v>1.25</x:v>
      </x:c>
      <x:c r="R578" t="n">
        <x:v>2.5</x:v>
      </x:c>
      <x:c r="S578" t="n">
        <x:v>1.875</x:v>
      </x:c>
      <x:c r="T578" t="str">
        <x:v>Boundaries Crossed Keldeo-EX 49/149 standard holo EX, first physical copy. Recent 2026 TCGplayer NM sales are commonly about $1.24–2.25, while recent NM eBay sales include roughly $3.39, $3.56, $3.99 and $4.45. Working clean/NM range $1.25–4.50. This is not the 142/149 full-art printing.</x:v>
      </x:c>
      <x:c r="U578" t="n">
        <x:v>972</x:v>
      </x:c>
      <x:c r="V578" t="str">
        <x:v>Current chat continuation / researched 2026-08-16</x:v>
      </x:c>
      <x:c r="W578" t="str">
        <x:v>https://www.pricecharting.com/game/pokemon-boundaries-crossed/keldeo-ex-49</x:v>
      </x:c>
    </x:row>
    <x:row r="579">
      <x:c r="A579" t="n">
        <x:v>578</x:v>
      </x:c>
      <x:c r="B579" t="str">
        <x:v>Water / Rares</x:v>
      </x:c>
      <x:c r="C579" t="str">
        <x:v>Keldeo-EX</x:v>
      </x:c>
      <x:c r="D579" t="str">
        <x:v>49/149</x:v>
      </x:c>
      <x:c r="E579" t="str">
        <x:v>Boundaries Crossed</x:v>
      </x:c>
      <x:c r="F579" t="n">
        <x:v>2012</x:v>
      </x:c>
      <x:c r="G579" t="str">
        <x:v>Holo EX</x:v>
      </x:c>
      <x:c r="H579" t="str">
        <x:v>2 of 3</x:v>
      </x:c>
      <x:c r="I579" t="n">
        <x:v>1.25</x:v>
      </x:c>
      <x:c r="J579" t="n">
        <x:v>2.5</x:v>
      </x:c>
      <x:c r="K579" t="n">
        <x:v>1.875</x:v>
      </x:c>
      <x:c r="L579" t="str">
        <x:v>$1–5</x:v>
      </x:c>
      <x:c r="M579" t="str">
        <x:v>Yes</x:v>
      </x:c>
      <x:c r="N579" t="str">
        <x:v>No</x:v>
      </x:c>
      <x:c r="O579" t="str">
        <x:v>Yes</x:v>
      </x:c>
      <x:c r="P579" t="str">
        <x:v>Clean/NM benchmark unless noted</x:v>
      </x:c>
      <x:c r="Q579" t="n">
        <x:v>1.25</x:v>
      </x:c>
      <x:c r="R579" t="n">
        <x:v>2.5</x:v>
      </x:c>
      <x:c r="S579" t="n">
        <x:v>1.875</x:v>
      </x:c>
      <x:c r="T579" t="str">
        <x:v>Second physical copy of Boundaries Crossed Keldeo-EX 49/149 standard holo EX. Recent 2026 TCGplayer NM sales are commonly about $1.24–2.25, while recent NM eBay sales include roughly $3.39, $3.56, $3.99 and $4.45. Working clean/NM range $1.25–4.50. This is not the 142/149 full-art printing.</x:v>
      </x:c>
      <x:c r="U579" t="n">
        <x:v>972</x:v>
      </x:c>
      <x:c r="V579" t="str">
        <x:v>Current chat continuation / researched 2026-08-16</x:v>
      </x:c>
      <x:c r="W579" t="str">
        <x:v>https://www.pricecharting.com/game/pokemon-boundaries-crossed/keldeo-ex-49</x:v>
      </x:c>
    </x:row>
    <x:row r="580">
      <x:c r="A580" t="n">
        <x:v>579</x:v>
      </x:c>
      <x:c r="B580" t="str">
        <x:v>Metal / Rares</x:v>
      </x:c>
      <x:c r="C580" t="str">
        <x:v>Registeel</x:v>
      </x:c>
      <x:c r="D580" t="str">
        <x:v>39/146</x:v>
      </x:c>
      <x:c r="E580" t="str">
        <x:v>Legends Awakened</x:v>
      </x:c>
      <x:c r="F580" t="n">
        <x:v>2008</x:v>
      </x:c>
      <x:c r="G580" t="str">
        <x:v>Regular Non-Holo Rare (LV.50)</x:v>
      </x:c>
      <x:c r="H580" t="str">
        <x:v>1 of 1</x:v>
      </x:c>
      <x:c r="I580" t="n">
        <x:v>2</x:v>
      </x:c>
      <x:c r="J580" t="n">
        <x:v>4</x:v>
      </x:c>
      <x:c r="K580" t="n">
        <x:v>3</x:v>
      </x:c>
      <x:c r="L580" t="str">
        <x:v>$1–5</x:v>
      </x:c>
      <x:c r="M580" t="str">
        <x:v>Yes</x:v>
      </x:c>
      <x:c r="N580" t="str">
        <x:v>No</x:v>
      </x:c>
      <x:c r="O580" t="str">
        <x:v>Yes</x:v>
      </x:c>
      <x:c r="P580" t="str">
        <x:v>Clean/NM benchmark unless noted</x:v>
      </x:c>
      <x:c r="Q580" t="n">
        <x:v>2</x:v>
      </x:c>
      <x:c r="R580" t="n">
        <x:v>4</x:v>
      </x:c>
      <x:c r="S580" t="n">
        <x:v>3</x:v>
      </x:c>
      <x:c r="T580" t="str">
        <x:v>Legends Awakened Registeel LV.50 39/146 regular non-holo rare. TCGplayer market is currently about $3.38, while recent raw sales vary by condition. Working clean/NM range $2–4. Reverse holo is a separate printing worth more.</x:v>
      </x:c>
      <x:c r="U580" t="n">
        <x:v>973</x:v>
      </x:c>
      <x:c r="V580" t="str">
        <x:v>Current chat continuation / researched 2026-08-16</x:v>
      </x:c>
      <x:c r="W580" t="str">
        <x:v>https://www.tcgplayer.com/search/pokemon/product?q=Registeel&amp;view=grid</x:v>
      </x:c>
    </x:row>
    <x:row r="581">
      <x:c r="A581" t="n">
        <x:v>580</x:v>
      </x:c>
      <x:c r="B581" t="str">
        <x:v>Metal / Rares</x:v>
      </x:c>
      <x:c r="C581" t="str">
        <x:v>Steelix</x:v>
      </x:c>
      <x:c r="D581" t="str">
        <x:v>24/95</x:v>
      </x:c>
      <x:c r="E581" t="str">
        <x:v>HS—Unleashed</x:v>
      </x:c>
      <x:c r="F581" t="n">
        <x:v>2010</x:v>
      </x:c>
      <x:c r="G581" t="str">
        <x:v>Regular Non-Holo Rare</x:v>
      </x:c>
      <x:c r="H581" t="str">
        <x:v>1 of 1</x:v>
      </x:c>
      <x:c r="I581" t="n">
        <x:v>2.5</x:v>
      </x:c>
      <x:c r="J581" t="n">
        <x:v>4.5</x:v>
      </x:c>
      <x:c r="K581" t="n">
        <x:v>3.5</x:v>
      </x:c>
      <x:c r="L581" t="str">
        <x:v>$1–5</x:v>
      </x:c>
      <x:c r="M581" t="str">
        <x:v>Yes</x:v>
      </x:c>
      <x:c r="N581" t="str">
        <x:v>No</x:v>
      </x:c>
      <x:c r="O581" t="str">
        <x:v>Yes</x:v>
      </x:c>
      <x:c r="P581" t="str">
        <x:v>Clean/NM benchmark unless noted</x:v>
      </x:c>
      <x:c r="Q581" t="n">
        <x:v>2.5</x:v>
      </x:c>
      <x:c r="R581" t="n">
        <x:v>4.5</x:v>
      </x:c>
      <x:c r="S581" t="n">
        <x:v>3.5</x:v>
      </x:c>
      <x:c r="T581" t="str">
        <x:v>HS—Unleashed Steelix 24/95 standard non-holo rare. TCGplayer market is currently about $3.46. Working clean/NM range $2.50–4.50. The deck-exclusive holo 24/95 is a different printing with a materially higher market value.</x:v>
      </x:c>
      <x:c r="U581" t="n">
        <x:v>973</x:v>
      </x:c>
      <x:c r="V581" t="str">
        <x:v>Current chat continuation / researched 2026-08-16</x:v>
      </x:c>
      <x:c r="W581" t="str">
        <x:v>https://www.pricecharting.com/game/pokemon-unleashed/steelix-24</x:v>
      </x:c>
    </x:row>
    <x:row r="582">
      <x:c r="A582" t="n">
        <x:v>581</x:v>
      </x:c>
      <x:c r="B582" t="str">
        <x:v>Dragon / Dragon Vault</x:v>
      </x:c>
      <x:c r="C582" t="str">
        <x:v>Rayquaza</x:v>
      </x:c>
      <x:c r="D582" t="str">
        <x:v>11/20</x:v>
      </x:c>
      <x:c r="E582" t="str">
        <x:v>Dragon Vault</x:v>
      </x:c>
      <x:c r="F582" t="n">
        <x:v>2012</x:v>
      </x:c>
      <x:c r="G582" t="str">
        <x:v>Normal Holo</x:v>
      </x:c>
      <x:c r="H582" t="str">
        <x:v>2 of 3</x:v>
      </x:c>
      <x:c r="I582" t="n">
        <x:v>35</x:v>
      </x:c>
      <x:c r="J582" t="n">
        <x:v>50</x:v>
      </x:c>
      <x:c r="K582" t="n">
        <x:v>42.5</x:v>
      </x:c>
      <x:c r="L582" t="str">
        <x:v>$20+</x:v>
      </x:c>
      <x:c r="M582" t="str">
        <x:v>Yes</x:v>
      </x:c>
      <x:c r="N582" t="str">
        <x:v>Yes</x:v>
      </x:c>
      <x:c r="O582" t="str">
        <x:v>Yes</x:v>
      </x:c>
      <x:c r="P582" t="str">
        <x:v>Manual pre-grade: PSA 8 most likely</x:v>
      </x:c>
      <x:c r="Q582" t="n">
        <x:v>35</x:v>
      </x:c>
      <x:c r="R582" t="n">
        <x:v>50</x:v>
      </x:c>
      <x:c r="S582" t="n">
        <x:v>42.5</x:v>
      </x:c>
      <x:c r="T582" t="str">
        <x:v>Dragon Vault Rayquaza 11/20 regular holo copy 2 of 3. Manual grading session 2026-08-18: centering PSA 9 (app: 58.9/41.1 L-R and 51.0/49.0 T-B); corners PSA 9; edges PSA 8–9 due several small isolated reverse edge flecks/nicks, mainly along the bottom edge; surface PSA 9–10 with no obvious crease, dent, major scratch, or holo scrape in supplied angles. Overall PSA 8 most likely with PSA 9 upside. Odds: PSA 7 ~4%, PSA 8 ~64%, PSA 9 ~32%, PSA 10 ~0%.</x:v>
      </x:c>
      <x:c r="U582" t="n">
        <x:v>917</x:v>
      </x:c>
      <x:c r="V582" t="str">
        <x:v>TCGplayer + PriceCharting + PSA/Collectors, researched 2026-08-18</x:v>
      </x:c>
      <x:c r="W582" t="str">
        <x:v>https://www.pricecharting.com/game/pokemon-dragon-vault/rayquaza-11</x:v>
      </x:c>
    </x:row>
    <x:row r="583">
      <x:c r="A583" t="n">
        <x:v>582</x:v>
      </x:c>
      <x:c r="B583" t="str">
        <x:v>Metal / Rares</x:v>
      </x:c>
      <x:c r="C583" t="str">
        <x:v>Metagross</x:v>
      </x:c>
      <x:c r="D583" t="str">
        <x:v>7/147</x:v>
      </x:c>
      <x:c r="E583" t="str">
        <x:v>Supreme Victors</x:v>
      </x:c>
      <x:c r="F583" t="n">
        <x:v>2009</x:v>
      </x:c>
      <x:c r="G583" t="str">
        <x:v>Holo Rare (LV.68)</x:v>
      </x:c>
      <x:c r="H583" t="str">
        <x:v>1 of 1</x:v>
      </x:c>
      <x:c r="I583" t="n">
        <x:v>8</x:v>
      </x:c>
      <x:c r="J583" t="n">
        <x:v>13</x:v>
      </x:c>
      <x:c r="K583" t="n">
        <x:v>10.5</x:v>
      </x:c>
      <x:c r="L583" t="str">
        <x:v>$5–20</x:v>
      </x:c>
      <x:c r="M583" t="str">
        <x:v>Yes</x:v>
      </x:c>
      <x:c r="N583" t="str">
        <x:v>No</x:v>
      </x:c>
      <x:c r="O583" t="str">
        <x:v>Yes</x:v>
      </x:c>
      <x:c r="P583" t="str">
        <x:v>Clean/NM benchmark unless noted</x:v>
      </x:c>
      <x:c r="Q583" t="n">
        <x:v>8</x:v>
      </x:c>
      <x:c r="R583" t="n">
        <x:v>13</x:v>
      </x:c>
      <x:c r="S583" t="n">
        <x:v>10.5</x:v>
      </x:c>
      <x:c r="T583" t="str">
        <x:v>Supreme Victors Metagross LV.68 7/147 standard holo rare. TCGplayer market is currently about $10.9; recent NM/raw sales are around the upper single digits to low teens. Working clean/NM range $8–13. This is not the cracked-ice deck-exclusive variant.</x:v>
      </x:c>
      <x:c r="U583" t="n">
        <x:v>974</x:v>
      </x:c>
      <x:c r="V583" t="str">
        <x:v>Current chat continuation / researched 2026-08-16</x:v>
      </x:c>
      <x:c r="W583" t="str">
        <x:v>https://www.tcgplayer.com/search/pokemon/product?Printing=Holofoil&amp;productLineName=pokemon&amp;productName=Metagross</x:v>
      </x:c>
    </x:row>
    <x:row r="584">
      <x:c r="A584" t="n">
        <x:v>583</x:v>
      </x:c>
      <x:c r="B584" t="str">
        <x:v>Dragon / Rares</x:v>
      </x:c>
      <x:c r="C584" t="str">
        <x:v>Black Kyurem</x:v>
      </x:c>
      <x:c r="D584" t="str">
        <x:v>100/149</x:v>
      </x:c>
      <x:c r="E584" t="str">
        <x:v>Boundaries Crossed</x:v>
      </x:c>
      <x:c r="F584" t="n">
        <x:v>2012</x:v>
      </x:c>
      <x:c r="G584" t="str">
        <x:v>Regular Rare</x:v>
      </x:c>
      <x:c r="H584" t="str">
        <x:v>1 of 1</x:v>
      </x:c>
      <x:c r="I584" t="n">
        <x:v>0.75</x:v>
      </x:c>
      <x:c r="J584" t="n">
        <x:v>1.5</x:v>
      </x:c>
      <x:c r="K584" t="n">
        <x:v>1.125</x:v>
      </x:c>
      <x:c r="L584" t="str">
        <x:v>$1–5</x:v>
      </x:c>
      <x:c r="M584" t="str">
        <x:v>Yes</x:v>
      </x:c>
      <x:c r="N584" t="str">
        <x:v>No</x:v>
      </x:c>
      <x:c r="O584" t="str">
        <x:v>Yes</x:v>
      </x:c>
      <x:c r="P584" t="str">
        <x:v>Clean/NM benchmark unless noted</x:v>
      </x:c>
      <x:c r="Q584" t="n">
        <x:v>0.75</x:v>
      </x:c>
      <x:c r="R584" t="n">
        <x:v>1.5</x:v>
      </x:c>
      <x:c r="S584" t="n">
        <x:v>1.125</x:v>
      </x:c>
      <x:c r="T584" t="str">
        <x:v>Boundaries Crossed Black Kyurem 100/149 regular rare. TCGplayer market is currently about $1.03–1.04; working clean/NM range $0.75–1.50. Borderline but included under the user's 'about $1+' logging rule. Reverse holo and cracked-ice theme-deck versions are separate variants.</x:v>
      </x:c>
      <x:c r="U584" t="n">
        <x:v>974</x:v>
      </x:c>
      <x:c r="V584" t="str">
        <x:v>Current chat continuation / researched 2026-08-16</x:v>
      </x:c>
      <x:c r="W584" t="str">
        <x:v>https://www.tcgplayer.com/search/pokemon/product?productLineName=pokemon&amp;q=Black+Kyurem+Boundaries+Crossed</x:v>
      </x:c>
    </x:row>
    <x:row r="585">
      <x:c r="A585" t="n">
        <x:v>584</x:v>
      </x:c>
      <x:c r="B585" t="str">
        <x:v>Grass / Rares</x:v>
      </x:c>
      <x:c r="C585" t="str">
        <x:v>Virizion</x:v>
      </x:c>
      <x:c r="D585" t="str">
        <x:v>17/98</x:v>
      </x:c>
      <x:c r="E585" t="str">
        <x:v>Emerging Powers</x:v>
      </x:c>
      <x:c r="F585" t="n">
        <x:v>2011</x:v>
      </x:c>
      <x:c r="G585" t="str">
        <x:v>Holo Rare</x:v>
      </x:c>
      <x:c r="H585" t="str">
        <x:v>1 of 1</x:v>
      </x:c>
      <x:c r="I585" t="n">
        <x:v>1.25</x:v>
      </x:c>
      <x:c r="J585" t="n">
        <x:v>3</x:v>
      </x:c>
      <x:c r="K585" t="n">
        <x:v>2.125</x:v>
      </x:c>
      <x:c r="L585" t="str">
        <x:v>$1–5</x:v>
      </x:c>
      <x:c r="M585" t="str">
        <x:v>Yes</x:v>
      </x:c>
      <x:c r="N585" t="str">
        <x:v>No</x:v>
      </x:c>
      <x:c r="O585" t="str">
        <x:v>Yes</x:v>
      </x:c>
      <x:c r="P585" t="str">
        <x:v>Clean/NM benchmark unless noted</x:v>
      </x:c>
      <x:c r="Q585" t="n">
        <x:v>1.25</x:v>
      </x:c>
      <x:c r="R585" t="n">
        <x:v>3</x:v>
      </x:c>
      <x:c r="S585" t="n">
        <x:v>2.125</x:v>
      </x:c>
      <x:c r="T585" t="str">
        <x:v>Emerging Powers Virizion 17/98 holo rare. TCGplayer market is currently about $1.47, with Near Mint listings starting above $2 in recent search results. Working clean/NM range $1.25–3.00.</x:v>
      </x:c>
      <x:c r="U585" t="n">
        <x:v>974</x:v>
      </x:c>
      <x:c r="V585" t="str">
        <x:v>Current chat continuation / researched 2026-08-16</x:v>
      </x:c>
      <x:c r="W585" t="str">
        <x:v>https://www.tcgplayer.com/search/pokemon/product?productLineName=pokemon&amp;q=virizion+emerging+powers+17</x:v>
      </x:c>
    </x:row>
    <x:row r="586">
      <x:c r="A586" t="n">
        <x:v>585</x:v>
      </x:c>
      <x:c r="B586" t="str">
        <x:v>Electric / Commons</x:v>
      </x:c>
      <x:c r="C586" t="str">
        <x:v>Pikachu</x:v>
      </x:c>
      <x:c r="D586" t="str">
        <x:v>42/146</x:v>
      </x:c>
      <x:c r="E586" t="str">
        <x:v>XY Base Set</x:v>
      </x:c>
      <x:c r="F586" t="n">
        <x:v>2014</x:v>
      </x:c>
      <x:c r="G586" t="str">
        <x:v>Regular Common</x:v>
      </x:c>
      <x:c r="H586" t="str">
        <x:v>1 of 1</x:v>
      </x:c>
      <x:c r="I586" t="n">
        <x:v>2.2</x:v>
      </x:c>
      <x:c r="J586" t="n">
        <x:v>4</x:v>
      </x:c>
      <x:c r="K586" t="n">
        <x:v>3.1</x:v>
      </x:c>
      <x:c r="L586" t="str">
        <x:v>$1–5</x:v>
      </x:c>
      <x:c r="M586" t="str">
        <x:v>Yes</x:v>
      </x:c>
      <x:c r="N586" t="str">
        <x:v>No</x:v>
      </x:c>
      <x:c r="O586" t="str">
        <x:v>Yes</x:v>
      </x:c>
      <x:c r="P586" t="str">
        <x:v>Clean/NM benchmark unless noted</x:v>
      </x:c>
      <x:c r="Q586" t="n">
        <x:v>2.2</x:v>
      </x:c>
      <x:c r="R586" t="n">
        <x:v>4</x:v>
      </x:c>
      <x:c r="S586" t="n">
        <x:v>3.1</x:v>
      </x:c>
      <x:c r="T586" t="str">
        <x:v>XY Base Set Pikachu 42/146 regular common. TCGplayer currently shows the normal printing around $3.10–3.21 market, with the reverse holo and 2014 movie-promo printings treated separately. Working clean/NM range $2.20–4.00.</x:v>
      </x:c>
      <x:c r="U586" t="n">
        <x:v>975</x:v>
      </x:c>
      <x:c r="V586" t="str">
        <x:v>Current chat continuation / researched 2026-08-16</x:v>
      </x:c>
      <x:c r="W586" t="str">
        <x:v>https://www.tcgplayer.com/product/88106/pokemon-xy-base-set-pikachu</x:v>
      </x:c>
    </x:row>
    <x:row r="587">
      <x:c r="A587" t="n">
        <x:v>586</x:v>
      </x:c>
      <x:c r="B587" t="str">
        <x:v>Water / Rares</x:v>
      </x:c>
      <x:c r="C587" t="str">
        <x:v>Floatzel</x:v>
      </x:c>
      <x:c r="D587" t="str">
        <x:v>29/106</x:v>
      </x:c>
      <x:c r="E587" t="str">
        <x:v>XY—Flashfire</x:v>
      </x:c>
      <x:c r="F587" t="n">
        <x:v>2014</x:v>
      </x:c>
      <x:c r="G587" t="str">
        <x:v>Reverse Holo (Rare)</x:v>
      </x:c>
      <x:c r="H587" t="str">
        <x:v>1 of 1</x:v>
      </x:c>
      <x:c r="I587" t="n">
        <x:v>0.8</x:v>
      </x:c>
      <x:c r="J587" t="n">
        <x:v>1.2</x:v>
      </x:c>
      <x:c r="K587" t="n">
        <x:v>1</x:v>
      </x:c>
      <x:c r="L587" t="str">
        <x:v>$1–5</x:v>
      </x:c>
      <x:c r="M587" t="str">
        <x:v>Yes</x:v>
      </x:c>
      <x:c r="N587" t="str">
        <x:v>No</x:v>
      </x:c>
      <x:c r="O587" t="str">
        <x:v>Yes</x:v>
      </x:c>
      <x:c r="P587" t="str">
        <x:v>Clean/NM benchmark unless noted</x:v>
      </x:c>
      <x:c r="Q587" t="n">
        <x:v>0.8</x:v>
      </x:c>
      <x:c r="R587" t="n">
        <x:v>1.2</x:v>
      </x:c>
      <x:c r="S587" t="n">
        <x:v>1</x:v>
      </x:c>
      <x:c r="T587" t="str">
        <x:v>XY—Flashfire Floatzel 29/106 reverse holo. TCGplayer currently shows reverse-holo pricing around $0.93, and current secondary-market guides are around the same level. Borderline, but included under the user's 'about $1+' logging rule. Working clean/NM range $0.80–1.20.</x:v>
      </x:c>
      <x:c r="U587" t="n">
        <x:v>975</x:v>
      </x:c>
      <x:c r="V587" t="str">
        <x:v>Current chat continuation / researched 2026-08-16</x:v>
      </x:c>
      <x:c r="W587" t="str">
        <x:v>https://www.tcgplayer.com/product/91162/pokemon-xy-flashfire-floatzel</x:v>
      </x:c>
    </x:row>
    <x:row r="588">
      <x:c r="A588" t="n">
        <x:v>587</x:v>
      </x:c>
      <x:c r="B588" t="str">
        <x:v>Water / Rares</x:v>
      </x:c>
      <x:c r="C588" t="str">
        <x:v>Empoleon</x:v>
      </x:c>
      <x:c r="D588" t="str">
        <x:v>35/113</x:v>
      </x:c>
      <x:c r="E588" t="str">
        <x:v>Legendary Treasures</x:v>
      </x:c>
      <x:c r="F588" t="n">
        <x:v>2013</x:v>
      </x:c>
      <x:c r="G588" t="str">
        <x:v>Regular Rare</x:v>
      </x:c>
      <x:c r="H588" t="str">
        <x:v>1 of 1</x:v>
      </x:c>
      <x:c r="I588" t="n">
        <x:v>5</x:v>
      </x:c>
      <x:c r="J588" t="n">
        <x:v>8</x:v>
      </x:c>
      <x:c r="K588" t="n">
        <x:v>6.5</x:v>
      </x:c>
      <x:c r="L588" t="str">
        <x:v>$5–20</x:v>
      </x:c>
      <x:c r="M588" t="str">
        <x:v>Yes</x:v>
      </x:c>
      <x:c r="N588" t="str">
        <x:v>No</x:v>
      </x:c>
      <x:c r="O588" t="str">
        <x:v>Yes</x:v>
      </x:c>
      <x:c r="P588" t="str">
        <x:v>Clean/NM benchmark unless noted</x:v>
      </x:c>
      <x:c r="Q588" t="n">
        <x:v>5</x:v>
      </x:c>
      <x:c r="R588" t="n">
        <x:v>8</x:v>
      </x:c>
      <x:c r="S588" t="n">
        <x:v>6.5</x:v>
      </x:c>
      <x:c r="T588" t="str">
        <x:v>Legendary Treasures Empoleon 35/113 regular rare. TCGplayer market is currently about $6.56–6.65, with a recent sale around $6.20. Working clean/NM range $5–8. Reverse holo is a separate, more valuable printing.</x:v>
      </x:c>
      <x:c r="U588" t="n">
        <x:v>975</x:v>
      </x:c>
      <x:c r="V588" t="str">
        <x:v>Current chat continuation / researched 2026-08-16</x:v>
      </x:c>
      <x:c r="W588" t="str">
        <x:v>https://www.tcgplayer.com/product/85204/pokemon-legendary-treasures-empoleon</x:v>
      </x:c>
    </x:row>
    <x:row r="589">
      <x:c r="A589" t="n">
        <x:v>588</x:v>
      </x:c>
      <x:c r="B589" t="str">
        <x:v>Energy / Special</x:v>
      </x:c>
      <x:c r="C589" t="str">
        <x:v>Aqua Energy</x:v>
      </x:c>
      <x:c r="D589" t="str">
        <x:v>86/95</x:v>
      </x:c>
      <x:c r="E589" t="str">
        <x:v>EX Team Magma vs Team Aqua</x:v>
      </x:c>
      <x:c r="F589" t="n">
        <x:v>2004</x:v>
      </x:c>
      <x:c r="G589" t="str">
        <x:v>Regular Special Energy</x:v>
      </x:c>
      <x:c r="H589" t="str">
        <x:v>1 of 1</x:v>
      </x:c>
      <x:c r="I589" t="n">
        <x:v>2.5</x:v>
      </x:c>
      <x:c r="J589" t="n">
        <x:v>5</x:v>
      </x:c>
      <x:c r="K589" t="n">
        <x:v>3.75</x:v>
      </x:c>
      <x:c r="L589" t="str">
        <x:v>$1–5</x:v>
      </x:c>
      <x:c r="M589" t="str">
        <x:v>Yes</x:v>
      </x:c>
      <x:c r="N589" t="str">
        <x:v>No</x:v>
      </x:c>
      <x:c r="O589" t="str">
        <x:v>Yes</x:v>
      </x:c>
      <x:c r="P589" t="str">
        <x:v>Clean/NM benchmark unless noted</x:v>
      </x:c>
      <x:c r="Q589" t="n">
        <x:v>2.5</x:v>
      </x:c>
      <x:c r="R589" t="n">
        <x:v>5</x:v>
      </x:c>
      <x:c r="S589" t="n">
        <x:v>3.75</x:v>
      </x:c>
      <x:c r="T589" t="str">
        <x:v>Aqua Energy 86/95 regular Special Energy from EX Team Magma vs Team Aqua. Canonical English set release is 2004, not 2008. PriceCharting currently lists regular ungraded around $3.48 and TCGplayer search pricing is around the mid-$4 range. User reported '2008'; if the physical card has a 2008 World Championships back/signature, this row should be revised to that printing.</x:v>
      </x:c>
      <x:c r="U589" t="n">
        <x:v>976</x:v>
      </x:c>
      <x:c r="V589" t="str">
        <x:v>Current chat continuation / researched 2026-08-16</x:v>
      </x:c>
      <x:c r="W589" t="str">
        <x:v>https://www.pricecharting.com/game/pokemon-team-magma-%26-team-aqua/aqua-energy-86</x:v>
      </x:c>
    </x:row>
    <x:row r="590">
      <x:c r="A590" t="n">
        <x:v>589</x:v>
      </x:c>
      <x:c r="B590" t="str">
        <x:v>Energy / Special</x:v>
      </x:c>
      <x:c r="C590" t="str">
        <x:v>Blend Energy GFPD</x:v>
      </x:c>
      <x:c r="D590" t="str">
        <x:v>117/124</x:v>
      </x:c>
      <x:c r="E590" t="str">
        <x:v>Dragons Exalted</x:v>
      </x:c>
      <x:c r="F590" t="n">
        <x:v>2012</x:v>
      </x:c>
      <x:c r="G590" t="str">
        <x:v>Regular Special Energy</x:v>
      </x:c>
      <x:c r="H590" t="str">
        <x:v>1 of 3</x:v>
      </x:c>
      <x:c r="I590" t="n">
        <x:v>1.5</x:v>
      </x:c>
      <x:c r="J590" t="n">
        <x:v>3.25</x:v>
      </x:c>
      <x:c r="K590" t="n">
        <x:v>2.375</x:v>
      </x:c>
      <x:c r="L590" t="str">
        <x:v>$1–5</x:v>
      </x:c>
      <x:c r="M590" t="str">
        <x:v>Yes</x:v>
      </x:c>
      <x:c r="N590" t="str">
        <x:v>No</x:v>
      </x:c>
      <x:c r="O590" t="str">
        <x:v>Yes</x:v>
      </x:c>
      <x:c r="P590" t="str">
        <x:v>Clean/NM benchmark unless noted</x:v>
      </x:c>
      <x:c r="Q590" t="n">
        <x:v>1.5</x:v>
      </x:c>
      <x:c r="R590" t="n">
        <x:v>3.25</x:v>
      </x:c>
      <x:c r="S590" t="n">
        <x:v>2.375</x:v>
      </x:c>
      <x:c r="T590" t="str">
        <x:v>Dragons Exalted Blend Energy GFPD 117/124 regular Special Energy. TCGplayer market is around $1.65–2.98 depending on listing snapshot; recent raw sales are commonly around $2–3. Working clean/NM range $1.50–3.25. Reverse holo and crosshatch League promo are separate variants.</x:v>
      </x:c>
      <x:c r="U590" t="n">
        <x:v>976</x:v>
      </x:c>
      <x:c r="V590" t="str">
        <x:v>Current chat continuation / researched 2026-08-16</x:v>
      </x:c>
      <x:c r="W590" t="str">
        <x:v>https://www.pricecharting.com/game/pokemon-dragons-exalted/blend-energy-117</x:v>
      </x:c>
    </x:row>
    <x:row r="591">
      <x:c r="A591" t="n">
        <x:v>590</x:v>
      </x:c>
      <x:c r="B591" t="str">
        <x:v>Energy / Special</x:v>
      </x:c>
      <x:c r="C591" t="str">
        <x:v>Blend Energy WLFM</x:v>
      </x:c>
      <x:c r="D591" t="str">
        <x:v>118/124</x:v>
      </x:c>
      <x:c r="E591" t="str">
        <x:v>Dragons Exalted</x:v>
      </x:c>
      <x:c r="F591" t="n">
        <x:v>2012</x:v>
      </x:c>
      <x:c r="G591" t="str">
        <x:v>Regular Special Energy</x:v>
      </x:c>
      <x:c r="H591" t="str">
        <x:v>1 of 1</x:v>
      </x:c>
      <x:c r="I591" t="n">
        <x:v>3</x:v>
      </x:c>
      <x:c r="J591" t="n">
        <x:v>5.5</x:v>
      </x:c>
      <x:c r="K591" t="n">
        <x:v>4.25</x:v>
      </x:c>
      <x:c r="L591" t="str">
        <x:v>$1–5</x:v>
      </x:c>
      <x:c r="M591" t="str">
        <x:v>Yes</x:v>
      </x:c>
      <x:c r="N591" t="str">
        <x:v>No</x:v>
      </x:c>
      <x:c r="O591" t="str">
        <x:v>Yes</x:v>
      </x:c>
      <x:c r="P591" t="str">
        <x:v>Clean/NM benchmark unless noted</x:v>
      </x:c>
      <x:c r="Q591" t="n">
        <x:v>3</x:v>
      </x:c>
      <x:c r="R591" t="n">
        <x:v>5.5</x:v>
      </x:c>
      <x:c r="S591" t="n">
        <x:v>4.25</x:v>
      </x:c>
      <x:c r="T591" t="str">
        <x:v>Dragons Exalted Blend Energy WLFM 118/124 regular Special Energy. TCGplayer market is around $4.4; recent Near Mint sales are commonly about $3.65–5.00. Working clean/NM range $3–5.50. Reverse holo and crosshatch League promo are separate variants.</x:v>
      </x:c>
      <x:c r="U591" t="n">
        <x:v>976</x:v>
      </x:c>
      <x:c r="V591" t="str">
        <x:v>Current chat continuation / researched 2026-08-16</x:v>
      </x:c>
      <x:c r="W591" t="str">
        <x:v>https://www.pricecharting.com/game/pokemon-dragons-exalted/blend-energy-118</x:v>
      </x:c>
    </x:row>
    <x:row r="592">
      <x:c r="A592" t="n">
        <x:v>591</x:v>
      </x:c>
      <x:c r="B592" t="str">
        <x:v>Energy / Special</x:v>
      </x:c>
      <x:c r="C592" t="str">
        <x:v>Blend Energy GFPD</x:v>
      </x:c>
      <x:c r="D592" t="str">
        <x:v>117/124</x:v>
      </x:c>
      <x:c r="E592" t="str">
        <x:v>Dragons Exalted</x:v>
      </x:c>
      <x:c r="F592" t="n">
        <x:v>2012</x:v>
      </x:c>
      <x:c r="G592" t="str">
        <x:v>Regular Special Energy</x:v>
      </x:c>
      <x:c r="H592" t="str">
        <x:v>2 of 3</x:v>
      </x:c>
      <x:c r="I592" t="n">
        <x:v>1.5</x:v>
      </x:c>
      <x:c r="J592" t="n">
        <x:v>3.25</x:v>
      </x:c>
      <x:c r="K592" t="n">
        <x:v>2.375</x:v>
      </x:c>
      <x:c r="L592" t="str">
        <x:v>$1–5</x:v>
      </x:c>
      <x:c r="M592" t="str">
        <x:v>Yes</x:v>
      </x:c>
      <x:c r="N592" t="str">
        <x:v>No</x:v>
      </x:c>
      <x:c r="O592" t="str">
        <x:v>Yes</x:v>
      </x:c>
      <x:c r="P592" t="str">
        <x:v>Clean/NM benchmark unless noted</x:v>
      </x:c>
      <x:c r="Q592" t="n">
        <x:v>1.5</x:v>
      </x:c>
      <x:c r="R592" t="n">
        <x:v>3.25</x:v>
      </x:c>
      <x:c r="S592" t="n">
        <x:v>2.375</x:v>
      </x:c>
      <x:c r="T592" t="str">
        <x:v>Second physical copy of Dragons Exalted Blend Energy GFPD 117/124 regular Special Energy. Working clean/NM range $1.50–3.25. Reverse holo and crosshatch League promo are separate variants.</x:v>
      </x:c>
      <x:c r="U592" t="n">
        <x:v>977</x:v>
      </x:c>
      <x:c r="V592" t="str">
        <x:v>Current chat continuation / researched 2026-08-16</x:v>
      </x:c>
      <x:c r="W592" t="str">
        <x:v>https://www.pricecharting.com/game/pokemon-dragons-exalted/blend-energy-117</x:v>
      </x:c>
    </x:row>
    <x:row r="593">
      <x:c r="A593" t="n">
        <x:v>592</x:v>
      </x:c>
      <x:c r="B593" t="str">
        <x:v>Energy / Special</x:v>
      </x:c>
      <x:c r="C593" t="str">
        <x:v>Blend Energy GFPD</x:v>
      </x:c>
      <x:c r="D593" t="str">
        <x:v>117/124</x:v>
      </x:c>
      <x:c r="E593" t="str">
        <x:v>Dragons Exalted</x:v>
      </x:c>
      <x:c r="F593" t="n">
        <x:v>2012</x:v>
      </x:c>
      <x:c r="G593" t="str">
        <x:v>Regular Special Energy</x:v>
      </x:c>
      <x:c r="H593" t="str">
        <x:v>3 of 3</x:v>
      </x:c>
      <x:c r="I593" t="n">
        <x:v>1.5</x:v>
      </x:c>
      <x:c r="J593" t="n">
        <x:v>3.25</x:v>
      </x:c>
      <x:c r="K593" t="n">
        <x:v>2.375</x:v>
      </x:c>
      <x:c r="L593" t="str">
        <x:v>$1–5</x:v>
      </x:c>
      <x:c r="M593" t="str">
        <x:v>Yes</x:v>
      </x:c>
      <x:c r="N593" t="str">
        <x:v>No</x:v>
      </x:c>
      <x:c r="O593" t="str">
        <x:v>Yes</x:v>
      </x:c>
      <x:c r="P593" t="str">
        <x:v>Clean/NM benchmark unless noted</x:v>
      </x:c>
      <x:c r="Q593" t="n">
        <x:v>1.5</x:v>
      </x:c>
      <x:c r="R593" t="n">
        <x:v>3.25</x:v>
      </x:c>
      <x:c r="S593" t="n">
        <x:v>2.375</x:v>
      </x:c>
      <x:c r="T593" t="str">
        <x:v>Third physical copy of Dragons Exalted Blend Energy GFPD 117/124 regular Special Energy. Working clean/NM range $1.50–3.25. Reverse holo and crosshatch League promo are separate variants.</x:v>
      </x:c>
      <x:c r="U593" t="n">
        <x:v>977</x:v>
      </x:c>
      <x:c r="V593" t="str">
        <x:v>Current chat continuation / researched 2026-08-16</x:v>
      </x:c>
      <x:c r="W593" t="str">
        <x:v>https://www.pricecharting.com/game/pokemon-dragons-exalted/blend-energy-117</x:v>
      </x:c>
    </x:row>
    <x:row r="594">
      <x:c r="A594" t="n">
        <x:v>593</x:v>
      </x:c>
      <x:c r="B594" t="str">
        <x:v>Energy / Special</x:v>
      </x:c>
      <x:c r="C594" t="str">
        <x:v>Rainbow Energy</x:v>
      </x:c>
      <x:c r="D594" t="str">
        <x:v>81/92</x:v>
      </x:c>
      <x:c r="E594" t="str">
        <x:v>World Championships 2007</x:v>
      </x:c>
      <x:c r="F594" t="n">
        <x:v>2007</x:v>
      </x:c>
      <x:c r="G594" t="str">
        <x:v>World Championships — Jeremy Scharff-Kim / Rambolt</x:v>
      </x:c>
      <x:c r="H594" t="str">
        <x:v>1 of 1</x:v>
      </x:c>
      <x:c r="I594" t="n">
        <x:v>2</x:v>
      </x:c>
      <x:c r="J594" t="n">
        <x:v>4</x:v>
      </x:c>
      <x:c r="K594" t="n">
        <x:v>3</x:v>
      </x:c>
      <x:c r="L594" t="str">
        <x:v>$1–5</x:v>
      </x:c>
      <x:c r="M594" t="str">
        <x:v>Yes</x:v>
      </x:c>
      <x:c r="N594" t="str">
        <x:v>No</x:v>
      </x:c>
      <x:c r="O594" t="str">
        <x:v>Yes</x:v>
      </x:c>
      <x:c r="P594" t="str">
        <x:v>Clean/NM benchmark unless noted</x:v>
      </x:c>
      <x:c r="Q594" t="n">
        <x:v>2</x:v>
      </x:c>
      <x:c r="R594" t="n">
        <x:v>4</x:v>
      </x:c>
      <x:c r="S594" t="n">
        <x:v>3</x:v>
      </x:c>
      <x:c r="T594" t="str">
        <x:v>CONFIRMED FROM USER PHOTO: 2007 World Championships Jeremy Scharff-Kim ('Rambolt') Rainbow Energy 81/92, based on the ©2007 front and exact WC card design. Current eBay listings are commonly about $2.40–$3.95; TCGplayer search results place the card in roughly the low-single-digit range. Working clean/NM range $2–4.</x:v>
      </x:c>
      <x:c r="U594" t="n">
        <x:v>979</x:v>
      </x:c>
      <x:c r="V594" t="str">
        <x:v>Current chat continuation / photo-confirmed 2026-08-16</x:v>
      </x:c>
      <x:c r="W594" t="str">
        <x:v>https://www.tcgplayer.com/product/479723/pokemon-world-championship-decks-rainbow-energy-2007-jeremy-scharff-kim</x:v>
      </x:c>
    </x:row>
    <x:row r="595">
      <x:c r="A595" t="n">
        <x:v>594</x:v>
      </x:c>
      <x:c r="B595" t="str">
        <x:v>Energy / Special</x:v>
      </x:c>
      <x:c r="C595" t="str">
        <x:v>Rainbow Energy</x:v>
      </x:c>
      <x:c r="D595" t="str">
        <x:v>17/82</x:v>
      </x:c>
      <x:c r="E595" t="str">
        <x:v>Team Rocket</x:v>
      </x:c>
      <x:c r="F595" t="n">
        <x:v>2000</x:v>
      </x:c>
      <x:c r="G595" t="str">
        <x:v>Holo Rare (Unlimited assumed)</x:v>
      </x:c>
      <x:c r="H595" t="str">
        <x:v>1 of 1</x:v>
      </x:c>
      <x:c r="I595" t="n">
        <x:v>15</x:v>
      </x:c>
      <x:c r="J595" t="n">
        <x:v>28</x:v>
      </x:c>
      <x:c r="K595" t="n">
        <x:v>21.5</x:v>
      </x:c>
      <x:c r="L595" t="str">
        <x:v>$20+</x:v>
      </x:c>
      <x:c r="M595" t="str">
        <x:v>Yes</x:v>
      </x:c>
      <x:c r="N595" t="str">
        <x:v>Yes</x:v>
      </x:c>
      <x:c r="O595" t="str">
        <x:v>Yes</x:v>
      </x:c>
      <x:c r="P595" t="str">
        <x:v>Clean/NM benchmark unless noted</x:v>
      </x:c>
      <x:c r="Q595" t="n">
        <x:v>15</x:v>
      </x:c>
      <x:c r="R595" t="n">
        <x:v>28</x:v>
      </x:c>
      <x:c r="S595" t="n">
        <x:v>21.5</x:v>
      </x:c>
      <x:c r="T595" t="str">
        <x:v>Team Rocket Rainbow Energy 17/82 holo rare, Unlimited assumed because user did not specify 1st Edition. PriceCharting currently lists ungraded around $17.02; TCGplayer pricing is materially higher, and recent raw sales range from about $10 into the high teens/20s depending on condition. Working clean/NM range $15–28.</x:v>
      </x:c>
      <x:c r="U595" t="n">
        <x:v>977</x:v>
      </x:c>
      <x:c r="V595" t="str">
        <x:v>Current chat continuation / researched 2026-08-16</x:v>
      </x:c>
      <x:c r="W595" t="str">
        <x:v>https://www.pricecharting.com/game/pokemon-team-rocket/rainbow-energy-17</x:v>
      </x:c>
    </x:row>
    <x:row r="596">
      <x:c r="A596" t="n">
        <x:v>595</x:v>
      </x:c>
      <x:c r="B596" t="str">
        <x:v>Energy / Special</x:v>
      </x:c>
      <x:c r="C596" t="str">
        <x:v>Rainbow Energy</x:v>
      </x:c>
      <x:c r="D596" t="str">
        <x:v>Unnumbered</x:v>
      </x:c>
      <x:c r="E596" t="str">
        <x:v>WotC Pokémon League Promo</x:v>
      </x:c>
      <x:c r="F596" t="n">
        <x:v>2002</x:v>
      </x:c>
      <x:c r="G596" t="str">
        <x:v>Full-Card Holo League Promo</x:v>
      </x:c>
      <x:c r="H596" t="str">
        <x:v>1 of 1</x:v>
      </x:c>
      <x:c r="I596" t="n">
        <x:v>8</x:v>
      </x:c>
      <x:c r="J596" t="n">
        <x:v>15</x:v>
      </x:c>
      <x:c r="K596" t="n">
        <x:v>11.5</x:v>
      </x:c>
      <x:c r="L596" t="str">
        <x:v>$5–20</x:v>
      </x:c>
      <x:c r="M596" t="str">
        <x:v>Yes</x:v>
      </x:c>
      <x:c r="N596" t="str">
        <x:v>No</x:v>
      </x:c>
      <x:c r="O596" t="str">
        <x:v>Yes</x:v>
      </x:c>
      <x:c r="P596" t="str">
        <x:v>Clean/NM benchmark unless noted</x:v>
      </x:c>
      <x:c r="Q596" t="n">
        <x:v>8</x:v>
      </x:c>
      <x:c r="R596" t="n">
        <x:v>15</x:v>
      </x:c>
      <x:c r="S596" t="n">
        <x:v>11.5</x:v>
      </x:c>
      <x:c r="T596" t="str">
        <x:v>Unnumbered WotC Pokémon League Rainbow Energy promo from the 2002 'Energize Your Game' cycle. This printing uses full-card holo treatment and has no set number; the 1995–2000 copyright line matches the known League promo. PriceCharting ungraded is about $10.06, with recent clean/raw sales often around $8–15.</x:v>
      </x:c>
      <x:c r="U596" t="n">
        <x:v>977</x:v>
      </x:c>
      <x:c r="V596" t="str">
        <x:v>Current chat continuation / researched 2026-08-16</x:v>
      </x:c>
      <x:c r="W596" t="str">
        <x:v>https://www.pricecharting.com/game/pokemon-promo/rainbow-energy-wotc-league</x:v>
      </x:c>
    </x:row>
    <x:row r="597">
      <x:c r="A597" t="n">
        <x:v>596</x:v>
      </x:c>
      <x:c r="B597" t="str">
        <x:v>Energy / Special</x:v>
      </x:c>
      <x:c r="C597" t="str">
        <x:v>Rainbow Energy</x:v>
      </x:c>
      <x:c r="D597" t="str">
        <x:v>104/123</x:v>
      </x:c>
      <x:c r="E597" t="str">
        <x:v>World Championships 2011</x:v>
      </x:c>
      <x:c r="F597" t="n">
        <x:v>2011</x:v>
      </x:c>
      <x:c r="G597" t="str">
        <x:v>World Championships — Ross Cawthon / The Truth</x:v>
      </x:c>
      <x:c r="H597" t="str">
        <x:v>1 of 4</x:v>
      </x:c>
      <x:c r="I597" t="n">
        <x:v>1</x:v>
      </x:c>
      <x:c r="J597" t="n">
        <x:v>3</x:v>
      </x:c>
      <x:c r="K597" t="n">
        <x:v>2</x:v>
      </x:c>
      <x:c r="L597" t="str">
        <x:v>$1–5</x:v>
      </x:c>
      <x:c r="M597" t="str">
        <x:v>Yes</x:v>
      </x:c>
      <x:c r="N597" t="str">
        <x:v>No</x:v>
      </x:c>
      <x:c r="O597" t="str">
        <x:v>Yes</x:v>
      </x:c>
      <x:c r="P597" t="str">
        <x:v>Clean/NM benchmark unless noted</x:v>
      </x:c>
      <x:c r="Q597" t="n">
        <x:v>1</x:v>
      </x:c>
      <x:c r="R597" t="n">
        <x:v>3</x:v>
      </x:c>
      <x:c r="S597" t="n">
        <x:v>2</x:v>
      </x:c>
      <x:c r="T597" t="str">
        <x:v>2011 World Championships Ross Cawthon ('The Truth') Rainbow Energy 104/123, physical copy 1 of 4. TCGplayer currently shows the normal WC printing around $1.22 market/listing level; current NM eBay listings are commonly around $2. Working clean/NM range $1–3.</x:v>
      </x:c>
      <x:c r="U597" t="n">
        <x:v>978</x:v>
      </x:c>
      <x:c r="V597" t="str">
        <x:v>Current chat continuation / researched 2026-08-16</x:v>
      </x:c>
      <x:c r="W597" t="str">
        <x:v>https://www.tcgplayer.com/product/480466/pokemon-world-championship-decks-rainbow-energy-2011-ross-cawthon</x:v>
      </x:c>
    </x:row>
    <x:row r="598">
      <x:c r="A598" t="n">
        <x:v>597</x:v>
      </x:c>
      <x:c r="B598" t="str">
        <x:v>Energy / Special</x:v>
      </x:c>
      <x:c r="C598" t="str">
        <x:v>Rainbow Energy</x:v>
      </x:c>
      <x:c r="D598" t="str">
        <x:v>104/123</x:v>
      </x:c>
      <x:c r="E598" t="str">
        <x:v>World Championships 2011</x:v>
      </x:c>
      <x:c r="F598" t="n">
        <x:v>2011</x:v>
      </x:c>
      <x:c r="G598" t="str">
        <x:v>World Championships — Ross Cawthon / The Truth</x:v>
      </x:c>
      <x:c r="H598" t="str">
        <x:v>2 of 4</x:v>
      </x:c>
      <x:c r="I598" t="n">
        <x:v>1</x:v>
      </x:c>
      <x:c r="J598" t="n">
        <x:v>3</x:v>
      </x:c>
      <x:c r="K598" t="n">
        <x:v>2</x:v>
      </x:c>
      <x:c r="L598" t="str">
        <x:v>$1–5</x:v>
      </x:c>
      <x:c r="M598" t="str">
        <x:v>Yes</x:v>
      </x:c>
      <x:c r="N598" t="str">
        <x:v>No</x:v>
      </x:c>
      <x:c r="O598" t="str">
        <x:v>Yes</x:v>
      </x:c>
      <x:c r="P598" t="str">
        <x:v>Clean/NM benchmark unless noted</x:v>
      </x:c>
      <x:c r="Q598" t="n">
        <x:v>1</x:v>
      </x:c>
      <x:c r="R598" t="n">
        <x:v>3</x:v>
      </x:c>
      <x:c r="S598" t="n">
        <x:v>2</x:v>
      </x:c>
      <x:c r="T598" t="str">
        <x:v>2011 World Championships Ross Cawthon ('The Truth') Rainbow Energy 104/123, physical copy 2 of 4. TCGplayer currently shows the normal WC printing around $1.22 market/listing level; current NM eBay listings are commonly around $2. Working clean/NM range $1–3.</x:v>
      </x:c>
      <x:c r="U598" t="n">
        <x:v>978</x:v>
      </x:c>
      <x:c r="V598" t="str">
        <x:v>Current chat continuation / researched 2026-08-16</x:v>
      </x:c>
      <x:c r="W598" t="str">
        <x:v>https://www.tcgplayer.com/product/480466/pokemon-world-championship-decks-rainbow-energy-2011-ross-cawthon</x:v>
      </x:c>
    </x:row>
    <x:row r="599">
      <x:c r="A599" t="n">
        <x:v>598</x:v>
      </x:c>
      <x:c r="B599" t="str">
        <x:v>Energy / Special</x:v>
      </x:c>
      <x:c r="C599" t="str">
        <x:v>Rainbow Energy</x:v>
      </x:c>
      <x:c r="D599" t="str">
        <x:v>104/123</x:v>
      </x:c>
      <x:c r="E599" t="str">
        <x:v>World Championships 2011</x:v>
      </x:c>
      <x:c r="F599" t="n">
        <x:v>2011</x:v>
      </x:c>
      <x:c r="G599" t="str">
        <x:v>World Championships — Ross Cawthon / The Truth</x:v>
      </x:c>
      <x:c r="H599" t="str">
        <x:v>3 of 4</x:v>
      </x:c>
      <x:c r="I599" t="n">
        <x:v>1</x:v>
      </x:c>
      <x:c r="J599" t="n">
        <x:v>3</x:v>
      </x:c>
      <x:c r="K599" t="n">
        <x:v>2</x:v>
      </x:c>
      <x:c r="L599" t="str">
        <x:v>$1–5</x:v>
      </x:c>
      <x:c r="M599" t="str">
        <x:v>Yes</x:v>
      </x:c>
      <x:c r="N599" t="str">
        <x:v>No</x:v>
      </x:c>
      <x:c r="O599" t="str">
        <x:v>Yes</x:v>
      </x:c>
      <x:c r="P599" t="str">
        <x:v>Clean/NM benchmark unless noted</x:v>
      </x:c>
      <x:c r="Q599" t="n">
        <x:v>1</x:v>
      </x:c>
      <x:c r="R599" t="n">
        <x:v>3</x:v>
      </x:c>
      <x:c r="S599" t="n">
        <x:v>2</x:v>
      </x:c>
      <x:c r="T599" t="str">
        <x:v>2011 World Championships Ross Cawthon ('The Truth') Rainbow Energy 104/123, physical copy 3 of 4. TCGplayer currently shows the normal WC printing around $1.22 market/listing level; current NM eBay listings are commonly around $2. Working clean/NM range $1–3.</x:v>
      </x:c>
      <x:c r="U599" t="n">
        <x:v>978</x:v>
      </x:c>
      <x:c r="V599" t="str">
        <x:v>Current chat continuation / researched 2026-08-16</x:v>
      </x:c>
      <x:c r="W599" t="str">
        <x:v>https://www.tcgplayer.com/product/480466/pokemon-world-championship-decks-rainbow-energy-2011-ross-cawthon</x:v>
      </x:c>
    </x:row>
    <x:row r="600">
      <x:c r="A600" t="n">
        <x:v>599</x:v>
      </x:c>
      <x:c r="B600" t="str">
        <x:v>Energy / Special</x:v>
      </x:c>
      <x:c r="C600" t="str">
        <x:v>Rainbow Energy</x:v>
      </x:c>
      <x:c r="D600" t="str">
        <x:v>104/123</x:v>
      </x:c>
      <x:c r="E600" t="str">
        <x:v>World Championships 2011</x:v>
      </x:c>
      <x:c r="F600" t="n">
        <x:v>2011</x:v>
      </x:c>
      <x:c r="G600" t="str">
        <x:v>World Championships — Ross Cawthon / The Truth</x:v>
      </x:c>
      <x:c r="H600" t="str">
        <x:v>4 of 4</x:v>
      </x:c>
      <x:c r="I600" t="n">
        <x:v>1</x:v>
      </x:c>
      <x:c r="J600" t="n">
        <x:v>3</x:v>
      </x:c>
      <x:c r="K600" t="n">
        <x:v>2</x:v>
      </x:c>
      <x:c r="L600" t="str">
        <x:v>$1–5</x:v>
      </x:c>
      <x:c r="M600" t="str">
        <x:v>Yes</x:v>
      </x:c>
      <x:c r="N600" t="str">
        <x:v>No</x:v>
      </x:c>
      <x:c r="O600" t="str">
        <x:v>Yes</x:v>
      </x:c>
      <x:c r="P600" t="str">
        <x:v>Clean/NM benchmark unless noted</x:v>
      </x:c>
      <x:c r="Q600" t="n">
        <x:v>1</x:v>
      </x:c>
      <x:c r="R600" t="n">
        <x:v>3</x:v>
      </x:c>
      <x:c r="S600" t="n">
        <x:v>2</x:v>
      </x:c>
      <x:c r="T600" t="str">
        <x:v>2011 World Championships Ross Cawthon ('The Truth') Rainbow Energy 104/123, physical copy 4 of 4. TCGplayer currently shows the normal WC printing around $1.22 market/listing level; current NM eBay listings are commonly around $2. Working clean/NM range $1–3.</x:v>
      </x:c>
      <x:c r="U600" t="n">
        <x:v>978</x:v>
      </x:c>
      <x:c r="V600" t="str">
        <x:v>Current chat continuation / researched 2026-08-16</x:v>
      </x:c>
      <x:c r="W600" t="str">
        <x:v>https://www.tcgplayer.com/product/480466/pokemon-world-championship-decks-rainbow-energy-2011-ross-cawthon</x:v>
      </x:c>
    </x:row>
    <x:row r="601">
      <x:c r="A601" t="n">
        <x:v>600</x:v>
      </x:c>
      <x:c r="B601" t="str">
        <x:v>Energy / Special</x:v>
      </x:c>
      <x:c r="C601" t="str">
        <x:v>Holon Energy GL</x:v>
      </x:c>
      <x:c r="D601" t="str">
        <x:v>Pending</x:v>
      </x:c>
      <x:c r="E601" t="str">
        <x:v>Pending exact printing</x:v>
      </x:c>
      <x:c r="F601"/>
      <x:c r="G601" t="str">
        <x:v>Regular Special Energy (user did not specify reverse)</x:v>
      </x:c>
      <x:c r="H601" t="str">
        <x:v>1 of 1</x:v>
      </x:c>
      <x:c r="I601"/>
      <x:c r="J601"/>
      <x:c r="K601"/>
      <x:c r="L601" t="str">
        <x:v>Needs ID</x:v>
      </x:c>
      <x:c r="M601" t="str">
        <x:v>Yes</x:v>
      </x:c>
      <x:c r="N601" t="str">
        <x:v>No</x:v>
      </x:c>
      <x:c r="O601" t="str">
        <x:v>Yes</x:v>
      </x:c>
      <x:c r="P601" t="str">
        <x:v>Exact printing pending</x:v>
      </x:c>
      <x:c r="Q601"/>
      <x:c r="R601"/>
      <x:c r="S601"/>
      <x:c r="T601" t="str">
        <x:v>User reports one Holon Energy GL but did not provide its collector number. Standard English candidates include EX Delta Species 105/113 and EX Dragon Frontiers 85/101. Both regular printings are around the $1+ range, so this physical card is counted, but exact value is left blank pending collector number.</x:v>
      </x:c>
      <x:c r="U601" t="n">
        <x:v>980</x:v>
      </x:c>
      <x:c r="V601" t="str">
        <x:v>Current chat continuation / pending ID 2026-08-16</x:v>
      </x:c>
      <x:c r="W601" t="str">
        <x:v>https://www.tcgplayer.com/product/86138/pokemon-ex-delta-species-holon-energy-gl</x:v>
      </x:c>
    </x:row>
    <x:row r="602">
      <x:c r="A602" t="n">
        <x:v>601</x:v>
      </x:c>
      <x:c r="B602" t="str">
        <x:v>Energy / Special</x:v>
      </x:c>
      <x:c r="C602" t="str">
        <x:v>Holon Energy FF</x:v>
      </x:c>
      <x:c r="D602" t="str">
        <x:v>105? (needs re-check)</x:v>
      </x:c>
      <x:c r="E602" t="str">
        <x:v>Pending exact printing</x:v>
      </x:c>
      <x:c r="F602"/>
      <x:c r="G602" t="str">
        <x:v>Regular Special Energy (user did not specify reverse)</x:v>
      </x:c>
      <x:c r="H602" t="str">
        <x:v>1 of 1</x:v>
      </x:c>
      <x:c r="I602"/>
      <x:c r="J602"/>
      <x:c r="K602"/>
      <x:c r="L602" t="str">
        <x:v>Needs ID</x:v>
      </x:c>
      <x:c r="M602" t="str">
        <x:v>Yes</x:v>
      </x:c>
      <x:c r="N602" t="str">
        <x:v>No</x:v>
      </x:c>
      <x:c r="O602" t="str">
        <x:v>Yes</x:v>
      </x:c>
      <x:c r="P602" t="str">
        <x:v>Collector number conflict pending</x:v>
      </x:c>
      <x:c r="Q602"/>
      <x:c r="R602"/>
      <x:c r="S602"/>
      <x:c r="T602" t="str">
        <x:v>User reports Holon Energy FF with number 105. Standard English set numbering does not match: EX Delta Species Holon Energy FF is 104/113, while 105/113 is Holon Energy GL; EX Dragon Frontiers Holon Energy FF is 84/101. Logged as a separate physical card with value pending until the printed number/name is re-checked.</x:v>
      </x:c>
      <x:c r="U602" t="n">
        <x:v>980</x:v>
      </x:c>
      <x:c r="V602" t="str">
        <x:v>Current chat continuation / pending ID 2026-08-16</x:v>
      </x:c>
      <x:c r="W602" t="str">
        <x:v>https://assets.pokemon.com/assets/cms/pdf/tcg/checklists/deltaspecies_checklist.pdf</x:v>
      </x:c>
    </x:row>
    <x:row r="603">
      <x:c r="A603" t="n">
        <x:v>602</x:v>
      </x:c>
      <x:c r="B603" t="str">
        <x:v>Energy / Special</x:v>
      </x:c>
      <x:c r="C603" t="str">
        <x:v>Holon Energy FF</x:v>
      </x:c>
      <x:c r="D603" t="str">
        <x:v>84/101</x:v>
      </x:c>
      <x:c r="E603" t="str">
        <x:v>EX Dragon Frontiers</x:v>
      </x:c>
      <x:c r="F603" t="n">
        <x:v>2006</x:v>
      </x:c>
      <x:c r="G603" t="str">
        <x:v>Regular Special Energy</x:v>
      </x:c>
      <x:c r="H603" t="str">
        <x:v>1 of 1</x:v>
      </x:c>
      <x:c r="I603" t="n">
        <x:v>1.4</x:v>
      </x:c>
      <x:c r="J603" t="n">
        <x:v>2.8</x:v>
      </x:c>
      <x:c r="K603" t="n">
        <x:v>2.1</x:v>
      </x:c>
      <x:c r="L603" t="str">
        <x:v>$1–5</x:v>
      </x:c>
      <x:c r="M603" t="str">
        <x:v>Yes</x:v>
      </x:c>
      <x:c r="N603" t="str">
        <x:v>No</x:v>
      </x:c>
      <x:c r="O603" t="str">
        <x:v>Yes</x:v>
      </x:c>
      <x:c r="P603" t="str">
        <x:v>Clean/NM benchmark unless noted</x:v>
      </x:c>
      <x:c r="Q603" t="n">
        <x:v>1.4</x:v>
      </x:c>
      <x:c r="R603" t="n">
        <x:v>2.8</x:v>
      </x:c>
      <x:c r="S603" t="n">
        <x:v>2.1</x:v>
      </x:c>
      <x:c r="T603" t="str">
        <x:v>EX Dragon Frontiers Holon Energy FF 84/101 regular rare Special Energy. TCGplayer market is about $1.62 and recent NM sales have ranged roughly $1.60–2.84. Working clean/NM range $1.40–2.80. Reverse holo is a separate, higher-value printing.</x:v>
      </x:c>
      <x:c r="U603" t="n">
        <x:v>980</x:v>
      </x:c>
      <x:c r="V603" t="str">
        <x:v>Current chat continuation / researched 2026-08-16</x:v>
      </x:c>
      <x:c r="W603" t="str">
        <x:v>https://www.tcgplayer.com/product/86137/pokemon-ex-dragon-frontiers-holon-energy-ff</x:v>
      </x:c>
    </x:row>
    <x:row r="604">
      <x:c r="A604" t="n">
        <x:v>603</x:v>
      </x:c>
      <x:c r="B604" t="str">
        <x:v>Jumbo / Oversized</x:v>
      </x:c>
      <x:c r="C604" t="str">
        <x:v>Keldeo-EX</x:v>
      </x:c>
      <x:c r="D604" t="str">
        <x:v>49/149 (jumbo)</x:v>
      </x:c>
      <x:c r="E604" t="str">
        <x:v>Boundaries Crossed / Jumbo Cards</x:v>
      </x:c>
      <x:c r="F604" t="n">
        <x:v>2012</x:v>
      </x:c>
      <x:c r="G604" t="str">
        <x:v>Oversized Holo EX</x:v>
      </x:c>
      <x:c r="H604" t="str">
        <x:v>1 of 1</x:v>
      </x:c>
      <x:c r="I604" t="n">
        <x:v>2.5</x:v>
      </x:c>
      <x:c r="J604" t="n">
        <x:v>4</x:v>
      </x:c>
      <x:c r="K604" t="n">
        <x:v>3.25</x:v>
      </x:c>
      <x:c r="L604" t="str">
        <x:v>$1–5</x:v>
      </x:c>
      <x:c r="M604" t="str">
        <x:v>No</x:v>
      </x:c>
      <x:c r="N604" t="str">
        <x:v>No</x:v>
      </x:c>
      <x:c r="O604" t="str">
        <x:v>Yes</x:v>
      </x:c>
      <x:c r="P604" t="str">
        <x:v>Clean/NM benchmark unless noted</x:v>
      </x:c>
      <x:c r="Q604" t="n">
        <x:v>2.5</x:v>
      </x:c>
      <x:c r="R604" t="n">
        <x:v>4</x:v>
      </x:c>
      <x:c r="S604" t="n">
        <x:v>3.25</x:v>
      </x:c>
      <x:c r="T604" t="str">
        <x:v>Oversized Keldeo-EX #49 from the Boundaries Crossed-era jumbo release. PriceCharting currently tracks the jumbo around $2.50 ungraded; TCGplayer market is around $3.06. Working clean/NM range $2.50–4.</x:v>
      </x:c>
      <x:c r="U604" t="n">
        <x:v>981</x:v>
      </x:c>
      <x:c r="V604" t="str">
        <x:v>Current chat continuation / jumbo researched 2026-08-16</x:v>
      </x:c>
      <x:c r="W604" t="str">
        <x:v>https://www.pricecharting.com/game/pokemon-boundaries-crossed/keldeo-ex-jumbo-49</x:v>
      </x:c>
    </x:row>
    <x:row r="605">
      <x:c r="A605" t="n">
        <x:v>604</x:v>
      </x:c>
      <x:c r="B605" t="str">
        <x:v>Jumbo / Oversized</x:v>
      </x:c>
      <x:c r="C605" t="str">
        <x:v>Garchomp-EX</x:v>
      </x:c>
      <x:c r="D605" t="str">
        <x:v>XY09 (assumed)</x:v>
      </x:c>
      <x:c r="E605" t="str">
        <x:v>XY Black Star Promos / Jumbo Cards</x:v>
      </x:c>
      <x:c r="F605" t="n">
        <x:v>2014</x:v>
      </x:c>
      <x:c r="G605" t="str">
        <x:v>Oversized Holo EX</x:v>
      </x:c>
      <x:c r="H605" t="str">
        <x:v>1 of 1</x:v>
      </x:c>
      <x:c r="I605" t="n">
        <x:v>6</x:v>
      </x:c>
      <x:c r="J605" t="n">
        <x:v>9</x:v>
      </x:c>
      <x:c r="K605" t="n">
        <x:v>7.5</x:v>
      </x:c>
      <x:c r="L605" t="str">
        <x:v>$5–20</x:v>
      </x:c>
      <x:c r="M605" t="str">
        <x:v>No</x:v>
      </x:c>
      <x:c r="N605" t="str">
        <x:v>No</x:v>
      </x:c>
      <x:c r="O605" t="str">
        <x:v>Yes</x:v>
      </x:c>
      <x:c r="P605" t="str">
        <x:v>Exact promo number assumed from era/list; confirm printed number if convenient</x:v>
      </x:c>
      <x:c r="Q605" t="n">
        <x:v>6</x:v>
      </x:c>
      <x:c r="R605" t="n">
        <x:v>9</x:v>
      </x:c>
      <x:c r="S605" t="n">
        <x:v>7.5</x:v>
      </x:c>
      <x:c r="T605" t="str">
        <x:v>Likely the Garchomp-EX XY09 oversized promo. Recent jumbo sales include about $6.69, while TCGplayer Near Mint jumbo sales have been about $9. Working clean/NM range $6–9. If the printed promo number is not XY09, re-identify.</x:v>
      </x:c>
      <x:c r="U605" t="n">
        <x:v>981</x:v>
      </x:c>
      <x:c r="V605" t="str">
        <x:v>Current chat continuation / jumbo researched 2026-08-16</x:v>
      </x:c>
      <x:c r="W605" t="str">
        <x:v>https://www.tcgplayer.com/product/173082/pokemon-jumbo-cards-garchomp-ex-xy09-xy-black-star-promo</x:v>
      </x:c>
    </x:row>
    <x:row r="606">
      <x:c r="A606" t="n">
        <x:v>605</x:v>
      </x:c>
      <x:c r="B606" t="str">
        <x:v>Jumbo / Oversized</x:v>
      </x:c>
      <x:c r="C606" t="str">
        <x:v>Charizard-EX</x:v>
      </x:c>
      <x:c r="D606" t="str">
        <x:v>XY17</x:v>
      </x:c>
      <x:c r="E606" t="str">
        <x:v>XY Black Star Promos / Jumbo Cards</x:v>
      </x:c>
      <x:c r="F606" t="n">
        <x:v>2014</x:v>
      </x:c>
      <x:c r="G606" t="str">
        <x:v>Oversized Holo EX</x:v>
      </x:c>
      <x:c r="H606" t="str">
        <x:v>1 of 1</x:v>
      </x:c>
      <x:c r="I606" t="n">
        <x:v>10</x:v>
      </x:c>
      <x:c r="J606" t="n">
        <x:v>17</x:v>
      </x:c>
      <x:c r="K606" t="n">
        <x:v>13.5</x:v>
      </x:c>
      <x:c r="L606" t="str">
        <x:v>$5–20</x:v>
      </x:c>
      <x:c r="M606" t="str">
        <x:v>No</x:v>
      </x:c>
      <x:c r="N606" t="str">
        <x:v>No</x:v>
      </x:c>
      <x:c r="O606" t="str">
        <x:v>Yes</x:v>
      </x:c>
      <x:c r="P606" t="str">
        <x:v>Clean/NM benchmark unless noted</x:v>
      </x:c>
      <x:c r="Q606" t="n">
        <x:v>10</x:v>
      </x:c>
      <x:c r="R606" t="n">
        <x:v>17</x:v>
      </x:c>
      <x:c r="S606" t="n">
        <x:v>13.5</x:v>
      </x:c>
      <x:c r="T606" t="str">
        <x:v>Charizard-EX XY17 jumbo. PriceCharting currently places the jumbo around $13.90 ungraded; recent raw sales/listings commonly sit around the low-to-mid teens. Working clean/NM range $10–17.</x:v>
      </x:c>
      <x:c r="U606" t="n">
        <x:v>981</x:v>
      </x:c>
      <x:c r="V606" t="str">
        <x:v>Current chat continuation / jumbo researched 2026-08-16</x:v>
      </x:c>
      <x:c r="W606" t="str">
        <x:v>https://www.pricecharting.com/game/pokemon-promo/charizard-ex-jumbo-xy17</x:v>
      </x:c>
    </x:row>
    <x:row r="607">
      <x:c r="A607" t="n">
        <x:v>606</x:v>
      </x:c>
      <x:c r="B607" t="str">
        <x:v>Jumbo / Oversized</x:v>
      </x:c>
      <x:c r="C607" t="str">
        <x:v>Darkrai &amp; Cresselia LEGEND</x:v>
      </x:c>
      <x:c r="D607" t="str">
        <x:v>99/102 &amp; 100/102</x:v>
      </x:c>
      <x:c r="E607" t="str">
        <x:v>Triumphant / Jumbo Promo</x:v>
      </x:c>
      <x:c r="F607" t="n">
        <x:v>2010</x:v>
      </x:c>
      <x:c r="G607" t="str">
        <x:v>Single Oversized LEGEND Promo</x:v>
      </x:c>
      <x:c r="H607" t="str">
        <x:v>1 of 1</x:v>
      </x:c>
      <x:c r="I607" t="n">
        <x:v>40</x:v>
      </x:c>
      <x:c r="J607" t="n">
        <x:v>65</x:v>
      </x:c>
      <x:c r="K607" t="n">
        <x:v>52.5</x:v>
      </x:c>
      <x:c r="L607" t="str">
        <x:v>$20+</x:v>
      </x:c>
      <x:c r="M607" t="str">
        <x:v>No</x:v>
      </x:c>
      <x:c r="N607" t="str">
        <x:v>No</x:v>
      </x:c>
      <x:c r="O607" t="str">
        <x:v>Yes</x:v>
      </x:c>
      <x:c r="P607" t="str">
        <x:v>Clean/NM benchmark unless noted</x:v>
      </x:c>
      <x:c r="Q607" t="n">
        <x:v>40</x:v>
      </x:c>
      <x:c r="R607" t="n">
        <x:v>65</x:v>
      </x:c>
      <x:c r="S607" t="n">
        <x:v>52.5</x:v>
      </x:c>
      <x:c r="T607" t="str">
        <x:v>Single oversized Darkrai &amp; Cresselia LEGEND promo combining 99/102 and 100/102. TCGplayer's direct jumbo listing recently showed a ~$37.99 market/recent sale; recent PriceCharting-tracked jumbo sales include about $55–60. Working clean/NM range $40–65. This is the standout jumbo in this group.</x:v>
      </x:c>
      <x:c r="U607" t="n">
        <x:v>981</x:v>
      </x:c>
      <x:c r="V607" t="str">
        <x:v>Current chat continuation / jumbo researched 2026-08-16</x:v>
      </x:c>
      <x:c r="W607" t="str">
        <x:v>https://www.tcgplayer.com/product/211448/pokemon-jumbo-cards-darkrai-and-cresselia-legend-99-102-and-100-102-single-oversized-promo</x:v>
      </x:c>
    </x:row>
    <x:row r="608">
      <x:c r="A608" t="n">
        <x:v>607</x:v>
      </x:c>
      <x:c r="B608" t="str">
        <x:v>Jumbo / Oversized</x:v>
      </x:c>
      <x:c r="C608" t="str">
        <x:v>Krookodile-EX</x:v>
      </x:c>
      <x:c r="D608" t="str">
        <x:v>XY25</x:v>
      </x:c>
      <x:c r="E608" t="str">
        <x:v>XY Black Star Promos / Jumbo Cards</x:v>
      </x:c>
      <x:c r="F608" t="n">
        <x:v>2014</x:v>
      </x:c>
      <x:c r="G608" t="str">
        <x:v>Oversized Holo EX</x:v>
      </x:c>
      <x:c r="H608" t="str">
        <x:v>1 of 1</x:v>
      </x:c>
      <x:c r="I608" t="n">
        <x:v>5</x:v>
      </x:c>
      <x:c r="J608" t="n">
        <x:v>12</x:v>
      </x:c>
      <x:c r="K608" t="n">
        <x:v>8.5</x:v>
      </x:c>
      <x:c r="L608" t="str">
        <x:v>$5–20</x:v>
      </x:c>
      <x:c r="M608" t="str">
        <x:v>No</x:v>
      </x:c>
      <x:c r="N608" t="str">
        <x:v>No</x:v>
      </x:c>
      <x:c r="O608" t="str">
        <x:v>Yes</x:v>
      </x:c>
      <x:c r="P608" t="str">
        <x:v>Clean/NM benchmark unless noted</x:v>
      </x:c>
      <x:c r="Q608" t="n">
        <x:v>5</x:v>
      </x:c>
      <x:c r="R608" t="n">
        <x:v>12</x:v>
      </x:c>
      <x:c r="S608" t="n">
        <x:v>8.5</x:v>
      </x:c>
      <x:c r="T608" t="str">
        <x:v>Krookodile-EX XY25 jumbo. Current jumbo market snapshots range from roughly $5 to $11+, with a recent eBay jumbo sale around $7. Working clean/NM range $5–12.</x:v>
      </x:c>
      <x:c r="U608" t="n">
        <x:v>981</x:v>
      </x:c>
      <x:c r="V608" t="str">
        <x:v>Current chat continuation / jumbo researched 2026-08-16</x:v>
      </x:c>
      <x:c r="W608" t="str">
        <x:v>https://www.tcgplayer.com/product/211458/pokemon-jumbo-cards-krookodile-ex-xy25</x:v>
      </x:c>
    </x:row>
    <x:row r="609">
      <x:c r="A609" t="n">
        <x:v>608</x:v>
      </x:c>
      <x:c r="B609" t="str">
        <x:v>Jumbo / Oversized</x:v>
      </x:c>
      <x:c r="C609" t="str">
        <x:v>Empoleon BREAK</x:v>
      </x:c>
      <x:c r="D609" t="str">
        <x:v>XY134</x:v>
      </x:c>
      <x:c r="E609" t="str">
        <x:v>XY Black Star Promos / Jumbo Cards</x:v>
      </x:c>
      <x:c r="F609" t="n">
        <x:v>2016</x:v>
      </x:c>
      <x:c r="G609" t="str">
        <x:v>Oversized BREAK Promo</x:v>
      </x:c>
      <x:c r="H609" t="str">
        <x:v>1 of 1</x:v>
      </x:c>
      <x:c r="I609" t="n">
        <x:v>8</x:v>
      </x:c>
      <x:c r="J609" t="n">
        <x:v>12</x:v>
      </x:c>
      <x:c r="K609" t="n">
        <x:v>10</x:v>
      </x:c>
      <x:c r="L609" t="str">
        <x:v>$5–20</x:v>
      </x:c>
      <x:c r="M609" t="str">
        <x:v>No</x:v>
      </x:c>
      <x:c r="N609" t="str">
        <x:v>No</x:v>
      </x:c>
      <x:c r="O609" t="str">
        <x:v>Yes</x:v>
      </x:c>
      <x:c r="P609" t="str">
        <x:v>Clean/NM benchmark unless noted</x:v>
      </x:c>
      <x:c r="Q609" t="n">
        <x:v>8</x:v>
      </x:c>
      <x:c r="R609" t="n">
        <x:v>12</x:v>
      </x:c>
      <x:c r="S609" t="n">
        <x:v>10</x:v>
      </x:c>
      <x:c r="T609" t="str">
        <x:v>Empoleon BREAK XY134 jumbo. PriceCharting currently lists the jumbo around $10 ungraded and TCGplayer market is around $9.64. Working clean/NM range $8–12.</x:v>
      </x:c>
      <x:c r="U609" t="n">
        <x:v>981</x:v>
      </x:c>
      <x:c r="V609" t="str">
        <x:v>Current chat continuation / jumbo researched 2026-08-16</x:v>
      </x:c>
      <x:c r="W609" t="str">
        <x:v>https://www.pricecharting.com/game/pokemon-promo/empoleon-break-jumbo-xy134</x:v>
      </x:c>
    </x:row>
    <x:row r="610">
      <x:c r="A610" t="n">
        <x:v>609</x:v>
      </x:c>
      <x:c r="B610" t="str">
        <x:v>Jumbo / Oversized</x:v>
      </x:c>
      <x:c r="C610" t="str">
        <x:v>M Aerodactyl-EX</x:v>
      </x:c>
      <x:c r="D610" t="str">
        <x:v>XY98</x:v>
      </x:c>
      <x:c r="E610" t="str">
        <x:v>XY Black Star Promos / Jumbo Cards</x:v>
      </x:c>
      <x:c r="F610" t="n">
        <x:v>2016</x:v>
      </x:c>
      <x:c r="G610" t="str">
        <x:v>Oversized Mega Holo EX</x:v>
      </x:c>
      <x:c r="H610" t="str">
        <x:v>1 of 1</x:v>
      </x:c>
      <x:c r="I610" t="n">
        <x:v>7</x:v>
      </x:c>
      <x:c r="J610" t="n">
        <x:v>13</x:v>
      </x:c>
      <x:c r="K610" t="n">
        <x:v>10</x:v>
      </x:c>
      <x:c r="L610" t="str">
        <x:v>$5–20</x:v>
      </x:c>
      <x:c r="M610" t="str">
        <x:v>No</x:v>
      </x:c>
      <x:c r="N610" t="str">
        <x:v>No</x:v>
      </x:c>
      <x:c r="O610" t="str">
        <x:v>Yes</x:v>
      </x:c>
      <x:c r="P610" t="str">
        <x:v>Clean/NM benchmark unless noted</x:v>
      </x:c>
      <x:c r="Q610" t="n">
        <x:v>7</x:v>
      </x:c>
      <x:c r="R610" t="n">
        <x:v>13</x:v>
      </x:c>
      <x:c r="S610" t="n">
        <x:v>10</x:v>
      </x:c>
      <x:c r="T610" t="str">
        <x:v>M Aerodactyl-EX XY98 jumbo. Current jumbo market is about $10.4, with recent listings/sales around the high single digits to low teens. Working clean/NM range $7–13.</x:v>
      </x:c>
      <x:c r="U610" t="n">
        <x:v>981</x:v>
      </x:c>
      <x:c r="V610" t="str">
        <x:v>Current chat continuation / jumbo researched 2026-08-16</x:v>
      </x:c>
      <x:c r="W610" t="str">
        <x:v>https://www.tcgplayer.com/product/147235/pokemon-jumbo-cards-m-aerodactyl-ex-xy98</x:v>
      </x:c>
    </x:row>
    <x:row r="611">
      <x:c r="A611" t="n">
        <x:v>610</x:v>
      </x:c>
      <x:c r="B611" t="str">
        <x:v>Jumbo / Oversized</x:v>
      </x:c>
      <x:c r="C611" t="str">
        <x:v>Zoroark</x:v>
      </x:c>
      <x:c r="D611" t="str">
        <x:v>BW19</x:v>
      </x:c>
      <x:c r="E611" t="str">
        <x:v>BW Black Star Promos / Jumbo Cards</x:v>
      </x:c>
      <x:c r="F611" t="n">
        <x:v>2011</x:v>
      </x:c>
      <x:c r="G611" t="str">
        <x:v>Oversized Holo Promo</x:v>
      </x:c>
      <x:c r="H611" t="str">
        <x:v>1 of 1</x:v>
      </x:c>
      <x:c r="I611" t="n">
        <x:v>10</x:v>
      </x:c>
      <x:c r="J611" t="n">
        <x:v>15</x:v>
      </x:c>
      <x:c r="K611" t="n">
        <x:v>12.5</x:v>
      </x:c>
      <x:c r="L611" t="str">
        <x:v>$5–20</x:v>
      </x:c>
      <x:c r="M611" t="str">
        <x:v>No</x:v>
      </x:c>
      <x:c r="N611" t="str">
        <x:v>No</x:v>
      </x:c>
      <x:c r="O611" t="str">
        <x:v>Yes</x:v>
      </x:c>
      <x:c r="P611" t="str">
        <x:v>Clean/NM benchmark unless noted</x:v>
      </x:c>
      <x:c r="Q611" t="n">
        <x:v>10</x:v>
      </x:c>
      <x:c r="R611" t="n">
        <x:v>15</x:v>
      </x:c>
      <x:c r="S611" t="n">
        <x:v>12.5</x:v>
      </x:c>
      <x:c r="T611" t="str">
        <x:v>Zoroark BW19 jumbo. PriceCharting currently lists the jumbo at about $11.99 ungraded and TCGplayer market is about $13.95. Working clean/NM range $10–15.</x:v>
      </x:c>
      <x:c r="U611" t="n">
        <x:v>981</x:v>
      </x:c>
      <x:c r="V611" t="str">
        <x:v>Current chat continuation / jumbo researched 2026-08-16</x:v>
      </x:c>
      <x:c r="W611" t="str">
        <x:v>https://www.pricecharting.com/game/pokemon-promo/zoroark-jumbo-bw19</x:v>
      </x:c>
    </x:row>
    <x:row r="612">
      <x:c r="A612" t="n">
        <x:v>611</x:v>
      </x:c>
      <x:c r="B612" t="str">
        <x:v>Jumbo / Oversized</x:v>
      </x:c>
      <x:c r="C612" t="str">
        <x:v>Mewtwo-EX</x:v>
      </x:c>
      <x:c r="D612" t="str">
        <x:v>54/99</x:v>
      </x:c>
      <x:c r="E612" t="str">
        <x:v>Next Destinies / Jumbo Cards</x:v>
      </x:c>
      <x:c r="F612" t="n">
        <x:v>2012</x:v>
      </x:c>
      <x:c r="G612" t="str">
        <x:v>Oversized Holo EX</x:v>
      </x:c>
      <x:c r="H612" t="str">
        <x:v>1 of 1</x:v>
      </x:c>
      <x:c r="I612" t="n">
        <x:v>20</x:v>
      </x:c>
      <x:c r="J612" t="n">
        <x:v>30</x:v>
      </x:c>
      <x:c r="K612" t="n">
        <x:v>25</x:v>
      </x:c>
      <x:c r="L612" t="str">
        <x:v>$20+</x:v>
      </x:c>
      <x:c r="M612" t="str">
        <x:v>No</x:v>
      </x:c>
      <x:c r="N612" t="str">
        <x:v>No</x:v>
      </x:c>
      <x:c r="O612" t="str">
        <x:v>Yes</x:v>
      </x:c>
      <x:c r="P612" t="str">
        <x:v>Clean/NM benchmark unless noted</x:v>
      </x:c>
      <x:c r="Q612" t="n">
        <x:v>20</x:v>
      </x:c>
      <x:c r="R612" t="n">
        <x:v>30</x:v>
      </x:c>
      <x:c r="S612" t="n">
        <x:v>25</x:v>
      </x:c>
      <x:c r="T612" t="str">
        <x:v>Mewtwo-EX 54/99 Next Destinies jumbo. Current TCGplayer-derived Near Mint market is about $29.95, with LP around the low-$20s; current eBay listings also cluster roughly from the low teens into the $20s. Working clean/NM range $20–30.</x:v>
      </x:c>
      <x:c r="U612" t="n">
        <x:v>981</x:v>
      </x:c>
      <x:c r="V612" t="str">
        <x:v>Current chat continuation / jumbo researched 2026-08-16</x:v>
      </x:c>
      <x:c r="W612" t="str">
        <x:v>https://www.tcgplayer.com/product/211501/pokemon-jumbo-cards-mewtwo-ex-54-99</x:v>
      </x:c>
    </x:row>
    <x:row r="613">
      <x:c r="A613" t="n">
        <x:v>612</x:v>
      </x:c>
      <x:c r="B613" t="str">
        <x:v>Psychic / Rares</x:v>
      </x:c>
      <x:c r="C613" t="str">
        <x:v>Espeon E4</x:v>
      </x:c>
      <x:c r="D613" t="str">
        <x:v>18/111</x:v>
      </x:c>
      <x:c r="E613" t="str">
        <x:v>Rising Rivals</x:v>
      </x:c>
      <x:c r="F613" t="n">
        <x:v>2009</x:v>
      </x:c>
      <x:c r="G613" t="str">
        <x:v>Regular Rare (LV.55)</x:v>
      </x:c>
      <x:c r="H613" t="str">
        <x:v>1 of 1</x:v>
      </x:c>
      <x:c r="I613" t="n">
        <x:v>8</x:v>
      </x:c>
      <x:c r="J613" t="n">
        <x:v>15</x:v>
      </x:c>
      <x:c r="K613" t="n">
        <x:v>11.5</x:v>
      </x:c>
      <x:c r="L613" t="str">
        <x:v>$5–20</x:v>
      </x:c>
      <x:c r="M613" t="str">
        <x:v>Yes</x:v>
      </x:c>
      <x:c r="N613" t="str">
        <x:v>No</x:v>
      </x:c>
      <x:c r="O613" t="str">
        <x:v>Yes</x:v>
      </x:c>
      <x:c r="P613" t="str">
        <x:v>Clean/NM benchmark unless noted</x:v>
      </x:c>
      <x:c r="Q613" t="n">
        <x:v>8</x:v>
      </x:c>
      <x:c r="R613" t="n">
        <x:v>15</x:v>
      </x:c>
      <x:c r="S613" t="n">
        <x:v>11.5</x:v>
      </x:c>
      <x:c r="T613" t="str">
        <x:v>Rising Rivals Espeon E4 LV.55 18/111 regular rare. PriceCharting currently lists ungraded around $8.74, while TCGplayer market is about $15.09. Working clean/NM range $8–15. Reverse holo is a separate, materially higher-value printing.</x:v>
      </x:c>
      <x:c r="U613" t="n">
        <x:v>982</x:v>
      </x:c>
      <x:c r="V613" t="str">
        <x:v>Current chat continuation / researched 2026-08-16</x:v>
      </x:c>
      <x:c r="W613" t="str">
        <x:v>https://www.pricecharting.com/game/pokemon-rising-rivals/espeon-18</x:v>
      </x:c>
    </x:row>
    <x:row r="614">
      <x:c r="A614" t="n">
        <x:v>613</x:v>
      </x:c>
      <x:c r="B614" t="str">
        <x:v>Psychic / Rares</x:v>
      </x:c>
      <x:c r="C614" t="str">
        <x:v>Espeon</x:v>
      </x:c>
      <x:c r="D614" t="str">
        <x:v>48/108</x:v>
      </x:c>
      <x:c r="E614" t="str">
        <x:v>Dark Explorers</x:v>
      </x:c>
      <x:c r="F614" t="n">
        <x:v>2012</x:v>
      </x:c>
      <x:c r="G614" t="str">
        <x:v>Regular Rare</x:v>
      </x:c>
      <x:c r="H614" t="str">
        <x:v>1 of 4</x:v>
      </x:c>
      <x:c r="I614" t="n">
        <x:v>7</x:v>
      </x:c>
      <x:c r="J614" t="n">
        <x:v>10</x:v>
      </x:c>
      <x:c r="K614" t="n">
        <x:v>8.5</x:v>
      </x:c>
      <x:c r="L614" t="str">
        <x:v>$5–20</x:v>
      </x:c>
      <x:c r="M614" t="str">
        <x:v>Yes</x:v>
      </x:c>
      <x:c r="N614" t="str">
        <x:v>No</x:v>
      </x:c>
      <x:c r="O614" t="str">
        <x:v>Yes</x:v>
      </x:c>
      <x:c r="P614" t="str">
        <x:v>Clean/NM benchmark unless noted</x:v>
      </x:c>
      <x:c r="Q614" t="n">
        <x:v>7</x:v>
      </x:c>
      <x:c r="R614" t="n">
        <x:v>10</x:v>
      </x:c>
      <x:c r="S614" t="n">
        <x:v>8.5</x:v>
      </x:c>
      <x:c r="T614" t="str">
        <x:v>Dark Explorers Espeon 48/108 regular rare, first of four physical copies. PriceCharting currently lists ungraded around $8.07 and TCGplayer market around $9.40. Working clean/NM range $7–10. If this physical card says 'Team Plasma', it is instead Plasma Freeze 48/116 and should be corrected.</x:v>
      </x:c>
      <x:c r="U614" t="n">
        <x:v>982</x:v>
      </x:c>
      <x:c r="V614" t="str">
        <x:v>Current chat continuation / researched 2026-08-16</x:v>
      </x:c>
      <x:c r="W614" t="str">
        <x:v>https://www.pricecharting.com/game/pokemon-dark-explorers/espeon-48</x:v>
      </x:c>
    </x:row>
    <x:row r="615">
      <x:c r="A615" t="n">
        <x:v>614</x:v>
      </x:c>
      <x:c r="B615" t="str">
        <x:v>Psychic / Rares</x:v>
      </x:c>
      <x:c r="C615" t="str">
        <x:v>Espeon</x:v>
      </x:c>
      <x:c r="D615" t="str">
        <x:v>48/108</x:v>
      </x:c>
      <x:c r="E615" t="str">
        <x:v>Dark Explorers</x:v>
      </x:c>
      <x:c r="F615" t="n">
        <x:v>2012</x:v>
      </x:c>
      <x:c r="G615" t="str">
        <x:v>Regular Rare</x:v>
      </x:c>
      <x:c r="H615" t="str">
        <x:v>2 of 4</x:v>
      </x:c>
      <x:c r="I615" t="n">
        <x:v>7</x:v>
      </x:c>
      <x:c r="J615" t="n">
        <x:v>10</x:v>
      </x:c>
      <x:c r="K615" t="n">
        <x:v>8.5</x:v>
      </x:c>
      <x:c r="L615" t="str">
        <x:v>$5–20</x:v>
      </x:c>
      <x:c r="M615" t="str">
        <x:v>Yes</x:v>
      </x:c>
      <x:c r="N615" t="str">
        <x:v>No</x:v>
      </x:c>
      <x:c r="O615" t="str">
        <x:v>Yes</x:v>
      </x:c>
      <x:c r="P615" t="str">
        <x:v>Clean/NM benchmark unless noted</x:v>
      </x:c>
      <x:c r="Q615" t="n">
        <x:v>7</x:v>
      </x:c>
      <x:c r="R615" t="n">
        <x:v>10</x:v>
      </x:c>
      <x:c r="S615" t="n">
        <x:v>8.5</x:v>
      </x:c>
      <x:c r="T615" t="str">
        <x:v>Second physical copy of Dark Explorers Espeon 48/108 regular rare. PriceCharting currently lists ungraded around $8.07 and TCGplayer market around $9.40. Working clean/NM range $7–10. If this physical card says 'Team Plasma', it is instead Plasma Freeze 48/116 and should be corrected.</x:v>
      </x:c>
      <x:c r="U615" t="n">
        <x:v>982</x:v>
      </x:c>
      <x:c r="V615" t="str">
        <x:v>Current chat continuation / researched 2026-08-16</x:v>
      </x:c>
      <x:c r="W615" t="str">
        <x:v>https://www.pricecharting.com/game/pokemon-dark-explorers/espeon-48</x:v>
      </x:c>
    </x:row>
    <x:row r="616">
      <x:c r="A616" t="n">
        <x:v>615</x:v>
      </x:c>
      <x:c r="B616" t="str">
        <x:v>Psychic / Rares</x:v>
      </x:c>
      <x:c r="C616" t="str">
        <x:v>Espeon</x:v>
      </x:c>
      <x:c r="D616" t="str">
        <x:v>48/108</x:v>
      </x:c>
      <x:c r="E616" t="str">
        <x:v>Dark Explorers</x:v>
      </x:c>
      <x:c r="F616" t="n">
        <x:v>2012</x:v>
      </x:c>
      <x:c r="G616" t="str">
        <x:v>Regular Rare</x:v>
      </x:c>
      <x:c r="H616" t="str">
        <x:v>3 of 4</x:v>
      </x:c>
      <x:c r="I616" t="n">
        <x:v>7</x:v>
      </x:c>
      <x:c r="J616" t="n">
        <x:v>10</x:v>
      </x:c>
      <x:c r="K616" t="n">
        <x:v>8.5</x:v>
      </x:c>
      <x:c r="L616" t="str">
        <x:v>$5–20</x:v>
      </x:c>
      <x:c r="M616" t="str">
        <x:v>Yes</x:v>
      </x:c>
      <x:c r="N616" t="str">
        <x:v>No</x:v>
      </x:c>
      <x:c r="O616" t="str">
        <x:v>Yes</x:v>
      </x:c>
      <x:c r="P616" t="str">
        <x:v>Clean/NM benchmark unless noted</x:v>
      </x:c>
      <x:c r="Q616" t="n">
        <x:v>7</x:v>
      </x:c>
      <x:c r="R616" t="n">
        <x:v>10</x:v>
      </x:c>
      <x:c r="S616" t="n">
        <x:v>8.5</x:v>
      </x:c>
      <x:c r="T616" t="str">
        <x:v>Third physical copy of Dark Explorers Espeon 48/108 regular rare. PriceCharting currently lists ungraded around $8.07 and TCGplayer market around $9.40. Working clean/NM range $7–10. If this physical card says 'Team Plasma', it is instead Plasma Freeze 48/116 and should be corrected.</x:v>
      </x:c>
      <x:c r="U616" t="n">
        <x:v>982</x:v>
      </x:c>
      <x:c r="V616" t="str">
        <x:v>Current chat continuation / researched 2026-08-16</x:v>
      </x:c>
      <x:c r="W616" t="str">
        <x:v>https://www.pricecharting.com/game/pokemon-dark-explorers/espeon-48</x:v>
      </x:c>
    </x:row>
    <x:row r="617">
      <x:c r="A617" t="n">
        <x:v>616</x:v>
      </x:c>
      <x:c r="B617" t="str">
        <x:v>Psychic / Rares</x:v>
      </x:c>
      <x:c r="C617" t="str">
        <x:v>Espeon</x:v>
      </x:c>
      <x:c r="D617" t="str">
        <x:v>48/108</x:v>
      </x:c>
      <x:c r="E617" t="str">
        <x:v>Dark Explorers</x:v>
      </x:c>
      <x:c r="F617" t="n">
        <x:v>2012</x:v>
      </x:c>
      <x:c r="G617" t="str">
        <x:v>Regular Rare</x:v>
      </x:c>
      <x:c r="H617" t="str">
        <x:v>4 of 4</x:v>
      </x:c>
      <x:c r="I617" t="n">
        <x:v>7</x:v>
      </x:c>
      <x:c r="J617" t="n">
        <x:v>10</x:v>
      </x:c>
      <x:c r="K617" t="n">
        <x:v>8.5</x:v>
      </x:c>
      <x:c r="L617" t="str">
        <x:v>$5–20</x:v>
      </x:c>
      <x:c r="M617" t="str">
        <x:v>Yes</x:v>
      </x:c>
      <x:c r="N617" t="str">
        <x:v>No</x:v>
      </x:c>
      <x:c r="O617" t="str">
        <x:v>Yes</x:v>
      </x:c>
      <x:c r="P617" t="str">
        <x:v>Clean/NM benchmark unless noted</x:v>
      </x:c>
      <x:c r="Q617" t="n">
        <x:v>7</x:v>
      </x:c>
      <x:c r="R617" t="n">
        <x:v>10</x:v>
      </x:c>
      <x:c r="S617" t="n">
        <x:v>8.5</x:v>
      </x:c>
      <x:c r="T617" t="str">
        <x:v>Fourth physical copy of Dark Explorers Espeon 48/108 regular rare. PriceCharting currently lists ungraded around $8.07 and TCGplayer market around $9.40. Working clean/NM range $7–10. If this physical card says 'Team Plasma', it is instead Plasma Freeze 48/116 and should be corrected.</x:v>
      </x:c>
      <x:c r="U617" t="n">
        <x:v>982</x:v>
      </x:c>
      <x:c r="V617" t="str">
        <x:v>Current chat continuation / researched 2026-08-16</x:v>
      </x:c>
      <x:c r="W617" t="str">
        <x:v>https://www.pricecharting.com/game/pokemon-dark-explorers/espeon-48</x:v>
      </x:c>
    </x:row>
    <x:row r="618">
      <x:c r="A618" t="n">
        <x:v>617</x:v>
      </x:c>
      <x:c r="B618" t="str">
        <x:v>Psychic / Rares</x:v>
      </x:c>
      <x:c r="C618" t="str">
        <x:v>Gardevoir</x:v>
      </x:c>
      <x:c r="D618" t="str">
        <x:v>57/99</x:v>
      </x:c>
      <x:c r="E618" t="str">
        <x:v>Next Destinies</x:v>
      </x:c>
      <x:c r="F618" t="n">
        <x:v>2012</x:v>
      </x:c>
      <x:c r="G618" t="str">
        <x:v>Holo Rare</x:v>
      </x:c>
      <x:c r="H618" t="str">
        <x:v>1 of 3</x:v>
      </x:c>
      <x:c r="I618" t="n">
        <x:v>9</x:v>
      </x:c>
      <x:c r="J618" t="n">
        <x:v>15</x:v>
      </x:c>
      <x:c r="K618" t="n">
        <x:v>12</x:v>
      </x:c>
      <x:c r="L618" t="str">
        <x:v>$5–20</x:v>
      </x:c>
      <x:c r="M618" t="str">
        <x:v>Yes</x:v>
      </x:c>
      <x:c r="N618" t="str">
        <x:v>No</x:v>
      </x:c>
      <x:c r="O618" t="str">
        <x:v>Yes</x:v>
      </x:c>
      <x:c r="P618" t="str">
        <x:v>Clean/NM benchmark unless noted</x:v>
      </x:c>
      <x:c r="Q618" t="n">
        <x:v>9</x:v>
      </x:c>
      <x:c r="R618" t="n">
        <x:v>15</x:v>
      </x:c>
      <x:c r="S618" t="n">
        <x:v>12</x:v>
      </x:c>
      <x:c r="T618" t="str">
        <x:v>Next Destinies Gardevoir 57/99 holo rare, physical copy 1 of 3. Recent 2026 raw/NM sales include about $8.99, $11.24, $12.50 and $15.00. Working clean/NM range $9–15. Reverse holo is a separate printing.</x:v>
      </x:c>
      <x:c r="U618" t="n">
        <x:v>983</x:v>
      </x:c>
      <x:c r="V618" t="str">
        <x:v>Current chat continuation / researched 2026-08-16</x:v>
      </x:c>
      <x:c r="W618" t="str">
        <x:v>https://www.pricecharting.com/game/pokemon-next-destinies/gardevoir-57</x:v>
      </x:c>
    </x:row>
    <x:row r="619">
      <x:c r="A619" t="n">
        <x:v>618</x:v>
      </x:c>
      <x:c r="B619" t="str">
        <x:v>Psychic / Rares</x:v>
      </x:c>
      <x:c r="C619" t="str">
        <x:v>Gardevoir</x:v>
      </x:c>
      <x:c r="D619" t="str">
        <x:v>57/99</x:v>
      </x:c>
      <x:c r="E619" t="str">
        <x:v>Next Destinies</x:v>
      </x:c>
      <x:c r="F619" t="n">
        <x:v>2012</x:v>
      </x:c>
      <x:c r="G619" t="str">
        <x:v>Holo Rare</x:v>
      </x:c>
      <x:c r="H619" t="str">
        <x:v>2 of 3</x:v>
      </x:c>
      <x:c r="I619" t="n">
        <x:v>9</x:v>
      </x:c>
      <x:c r="J619" t="n">
        <x:v>15</x:v>
      </x:c>
      <x:c r="K619" t="n">
        <x:v>12</x:v>
      </x:c>
      <x:c r="L619" t="str">
        <x:v>$5–20</x:v>
      </x:c>
      <x:c r="M619" t="str">
        <x:v>Yes</x:v>
      </x:c>
      <x:c r="N619" t="str">
        <x:v>No</x:v>
      </x:c>
      <x:c r="O619" t="str">
        <x:v>Yes</x:v>
      </x:c>
      <x:c r="P619" t="str">
        <x:v>Clean/NM benchmark unless noted</x:v>
      </x:c>
      <x:c r="Q619" t="n">
        <x:v>9</x:v>
      </x:c>
      <x:c r="R619" t="n">
        <x:v>15</x:v>
      </x:c>
      <x:c r="S619" t="n">
        <x:v>12</x:v>
      </x:c>
      <x:c r="T619" t="str">
        <x:v>Next Destinies Gardevoir 57/99 holo rare, physical copy 2 of 3. Recent 2026 raw/NM sales include about $8.99, $11.24, $12.50 and $15.00. Working clean/NM range $9–15. Reverse holo is a separate printing.</x:v>
      </x:c>
      <x:c r="U619" t="n">
        <x:v>983</x:v>
      </x:c>
      <x:c r="V619" t="str">
        <x:v>Current chat continuation / researched 2026-08-16</x:v>
      </x:c>
      <x:c r="W619" t="str">
        <x:v>https://www.pricecharting.com/game/pokemon-next-destinies/gardevoir-57</x:v>
      </x:c>
    </x:row>
    <x:row r="620">
      <x:c r="A620" t="n">
        <x:v>619</x:v>
      </x:c>
      <x:c r="B620" t="str">
        <x:v>Psychic / Rares</x:v>
      </x:c>
      <x:c r="C620" t="str">
        <x:v>Gardevoir</x:v>
      </x:c>
      <x:c r="D620" t="str">
        <x:v>57/99</x:v>
      </x:c>
      <x:c r="E620" t="str">
        <x:v>Next Destinies</x:v>
      </x:c>
      <x:c r="F620" t="n">
        <x:v>2012</x:v>
      </x:c>
      <x:c r="G620" t="str">
        <x:v>Holo Rare</x:v>
      </x:c>
      <x:c r="H620" t="str">
        <x:v>3 of 3</x:v>
      </x:c>
      <x:c r="I620" t="n">
        <x:v>9</x:v>
      </x:c>
      <x:c r="J620" t="n">
        <x:v>15</x:v>
      </x:c>
      <x:c r="K620" t="n">
        <x:v>12</x:v>
      </x:c>
      <x:c r="L620" t="str">
        <x:v>$5–20</x:v>
      </x:c>
      <x:c r="M620" t="str">
        <x:v>Yes</x:v>
      </x:c>
      <x:c r="N620" t="str">
        <x:v>No</x:v>
      </x:c>
      <x:c r="O620" t="str">
        <x:v>Yes</x:v>
      </x:c>
      <x:c r="P620" t="str">
        <x:v>Clean/NM benchmark unless noted</x:v>
      </x:c>
      <x:c r="Q620" t="n">
        <x:v>9</x:v>
      </x:c>
      <x:c r="R620" t="n">
        <x:v>15</x:v>
      </x:c>
      <x:c r="S620" t="n">
        <x:v>12</x:v>
      </x:c>
      <x:c r="T620" t="str">
        <x:v>Next Destinies Gardevoir 57/99 holo rare, physical copy 3 of 3. Recent 2026 raw/NM sales include about $8.99, $11.24, $12.50 and $15.00. Working clean/NM range $9–15. Reverse holo is a separate printing.</x:v>
      </x:c>
      <x:c r="U620" t="n">
        <x:v>983</x:v>
      </x:c>
      <x:c r="V620" t="str">
        <x:v>Current chat continuation / researched 2026-08-16</x:v>
      </x:c>
      <x:c r="W620" t="str">
        <x:v>https://www.pricecharting.com/game/pokemon-next-destinies/gardevoir-57</x:v>
      </x:c>
    </x:row>
    <x:row r="621">
      <x:c r="A621" t="n">
        <x:v>620</x:v>
      </x:c>
      <x:c r="B621" t="str">
        <x:v>Psychic / Rares</x:v>
      </x:c>
      <x:c r="C621" t="str">
        <x:v>Garbodor</x:v>
      </x:c>
      <x:c r="D621" t="str">
        <x:v>54/124</x:v>
      </x:c>
      <x:c r="E621" t="str">
        <x:v>Dragons Exalted</x:v>
      </x:c>
      <x:c r="F621" t="n">
        <x:v>2012</x:v>
      </x:c>
      <x:c r="G621" t="str">
        <x:v>Holo Rare</x:v>
      </x:c>
      <x:c r="H621" t="str">
        <x:v>1 of 4</x:v>
      </x:c>
      <x:c r="I621" t="n">
        <x:v>4</x:v>
      </x:c>
      <x:c r="J621" t="n">
        <x:v>7</x:v>
      </x:c>
      <x:c r="K621" t="n">
        <x:v>5.5</x:v>
      </x:c>
      <x:c r="L621" t="str">
        <x:v>$5–20</x:v>
      </x:c>
      <x:c r="M621" t="str">
        <x:v>Yes</x:v>
      </x:c>
      <x:c r="N621" t="str">
        <x:v>No</x:v>
      </x:c>
      <x:c r="O621" t="str">
        <x:v>Yes</x:v>
      </x:c>
      <x:c r="P621" t="str">
        <x:v>Clean/NM benchmark unless noted</x:v>
      </x:c>
      <x:c r="Q621" t="n">
        <x:v>4</x:v>
      </x:c>
      <x:c r="R621" t="n">
        <x:v>7</x:v>
      </x:c>
      <x:c r="S621" t="n">
        <x:v>5.5</x:v>
      </x:c>
      <x:c r="T621" t="str">
        <x:v>Dragons Exalted Garbodor 54/124 holo rare, physical copy 1 of 4. Recent 2026 NM TCGplayer sales are commonly about $4.45–5.42, with clean eBay sales around $6–7. Working clean/NM range $4–7. Reverse holo is a separate printing.</x:v>
      </x:c>
      <x:c r="U621" t="n">
        <x:v>983</x:v>
      </x:c>
      <x:c r="V621" t="str">
        <x:v>Current chat continuation / researched 2026-08-16</x:v>
      </x:c>
      <x:c r="W621" t="str">
        <x:v>https://www.pricecharting.com/game/pokemon-dragons-exalted/garbodor-54</x:v>
      </x:c>
    </x:row>
    <x:row r="622">
      <x:c r="A622" t="n">
        <x:v>621</x:v>
      </x:c>
      <x:c r="B622" t="str">
        <x:v>Psychic / Rares</x:v>
      </x:c>
      <x:c r="C622" t="str">
        <x:v>Garbodor</x:v>
      </x:c>
      <x:c r="D622" t="str">
        <x:v>54/124</x:v>
      </x:c>
      <x:c r="E622" t="str">
        <x:v>Dragons Exalted</x:v>
      </x:c>
      <x:c r="F622" t="n">
        <x:v>2012</x:v>
      </x:c>
      <x:c r="G622" t="str">
        <x:v>Holo Rare</x:v>
      </x:c>
      <x:c r="H622" t="str">
        <x:v>2 of 4</x:v>
      </x:c>
      <x:c r="I622" t="n">
        <x:v>4</x:v>
      </x:c>
      <x:c r="J622" t="n">
        <x:v>7</x:v>
      </x:c>
      <x:c r="K622" t="n">
        <x:v>5.5</x:v>
      </x:c>
      <x:c r="L622" t="str">
        <x:v>$5–20</x:v>
      </x:c>
      <x:c r="M622" t="str">
        <x:v>Yes</x:v>
      </x:c>
      <x:c r="N622" t="str">
        <x:v>No</x:v>
      </x:c>
      <x:c r="O622" t="str">
        <x:v>Yes</x:v>
      </x:c>
      <x:c r="P622" t="str">
        <x:v>Clean/NM benchmark unless noted</x:v>
      </x:c>
      <x:c r="Q622" t="n">
        <x:v>4</x:v>
      </x:c>
      <x:c r="R622" t="n">
        <x:v>7</x:v>
      </x:c>
      <x:c r="S622" t="n">
        <x:v>5.5</x:v>
      </x:c>
      <x:c r="T622" t="str">
        <x:v>Dragons Exalted Garbodor 54/124 holo rare, physical copy 2 of 4. Recent 2026 NM TCGplayer sales are commonly about $4.45–5.42, with clean eBay sales around $6–7. Working clean/NM range $4–7. Reverse holo is a separate printing.</x:v>
      </x:c>
      <x:c r="U622" t="n">
        <x:v>983</x:v>
      </x:c>
      <x:c r="V622" t="str">
        <x:v>Current chat continuation / researched 2026-08-16</x:v>
      </x:c>
      <x:c r="W622" t="str">
        <x:v>https://www.pricecharting.com/game/pokemon-dragons-exalted/garbodor-54</x:v>
      </x:c>
    </x:row>
    <x:row r="623">
      <x:c r="A623" t="n">
        <x:v>622</x:v>
      </x:c>
      <x:c r="B623" t="str">
        <x:v>Psychic / Rares</x:v>
      </x:c>
      <x:c r="C623" t="str">
        <x:v>Garbodor</x:v>
      </x:c>
      <x:c r="D623" t="str">
        <x:v>54/124</x:v>
      </x:c>
      <x:c r="E623" t="str">
        <x:v>Dragons Exalted</x:v>
      </x:c>
      <x:c r="F623" t="n">
        <x:v>2012</x:v>
      </x:c>
      <x:c r="G623" t="str">
        <x:v>Holo Rare</x:v>
      </x:c>
      <x:c r="H623" t="str">
        <x:v>3 of 4</x:v>
      </x:c>
      <x:c r="I623" t="n">
        <x:v>4</x:v>
      </x:c>
      <x:c r="J623" t="n">
        <x:v>7</x:v>
      </x:c>
      <x:c r="K623" t="n">
        <x:v>5.5</x:v>
      </x:c>
      <x:c r="L623" t="str">
        <x:v>$5–20</x:v>
      </x:c>
      <x:c r="M623" t="str">
        <x:v>Yes</x:v>
      </x:c>
      <x:c r="N623" t="str">
        <x:v>No</x:v>
      </x:c>
      <x:c r="O623" t="str">
        <x:v>Yes</x:v>
      </x:c>
      <x:c r="P623" t="str">
        <x:v>Clean/NM benchmark unless noted</x:v>
      </x:c>
      <x:c r="Q623" t="n">
        <x:v>4</x:v>
      </x:c>
      <x:c r="R623" t="n">
        <x:v>7</x:v>
      </x:c>
      <x:c r="S623" t="n">
        <x:v>5.5</x:v>
      </x:c>
      <x:c r="T623" t="str">
        <x:v>Dragons Exalted Garbodor 54/124 holo rare, physical copy 3 of 4. Recent 2026 NM TCGplayer sales are commonly about $4.45–5.42, with clean eBay sales around $6–7. Working clean/NM range $4–7. Reverse holo is a separate printing.</x:v>
      </x:c>
      <x:c r="U623" t="n">
        <x:v>983</x:v>
      </x:c>
      <x:c r="V623" t="str">
        <x:v>Current chat continuation / researched 2026-08-16</x:v>
      </x:c>
      <x:c r="W623" t="str">
        <x:v>https://www.pricecharting.com/game/pokemon-dragons-exalted/garbodor-54</x:v>
      </x:c>
    </x:row>
    <x:row r="624">
      <x:c r="A624" t="n">
        <x:v>623</x:v>
      </x:c>
      <x:c r="B624" t="str">
        <x:v>Psychic / Rares</x:v>
      </x:c>
      <x:c r="C624" t="str">
        <x:v>Garbodor</x:v>
      </x:c>
      <x:c r="D624" t="str">
        <x:v>54/124</x:v>
      </x:c>
      <x:c r="E624" t="str">
        <x:v>Dragons Exalted</x:v>
      </x:c>
      <x:c r="F624" t="n">
        <x:v>2012</x:v>
      </x:c>
      <x:c r="G624" t="str">
        <x:v>Holo Rare</x:v>
      </x:c>
      <x:c r="H624" t="str">
        <x:v>4 of 4</x:v>
      </x:c>
      <x:c r="I624" t="n">
        <x:v>4</x:v>
      </x:c>
      <x:c r="J624" t="n">
        <x:v>7</x:v>
      </x:c>
      <x:c r="K624" t="n">
        <x:v>5.5</x:v>
      </x:c>
      <x:c r="L624" t="str">
        <x:v>$5–20</x:v>
      </x:c>
      <x:c r="M624" t="str">
        <x:v>Yes</x:v>
      </x:c>
      <x:c r="N624" t="str">
        <x:v>No</x:v>
      </x:c>
      <x:c r="O624" t="str">
        <x:v>Yes</x:v>
      </x:c>
      <x:c r="P624" t="str">
        <x:v>Clean/NM benchmark unless noted</x:v>
      </x:c>
      <x:c r="Q624" t="n">
        <x:v>4</x:v>
      </x:c>
      <x:c r="R624" t="n">
        <x:v>7</x:v>
      </x:c>
      <x:c r="S624" t="n">
        <x:v>5.5</x:v>
      </x:c>
      <x:c r="T624" t="str">
        <x:v>Dragons Exalted Garbodor 54/124 holo rare, physical copy 4 of 4. Recent 2026 NM TCGplayer sales are commonly about $4.45–5.42, with clean eBay sales around $6–7. Working clean/NM range $4–7. Reverse holo is a separate printing.</x:v>
      </x:c>
      <x:c r="U624" t="n">
        <x:v>983</x:v>
      </x:c>
      <x:c r="V624" t="str">
        <x:v>Current chat continuation / researched 2026-08-16</x:v>
      </x:c>
      <x:c r="W624" t="str">
        <x:v>https://www.pricecharting.com/game/pokemon-dragons-exalted/garbodor-54</x:v>
      </x:c>
    </x:row>
    <x:row r="625">
      <x:c r="A625" t="n">
        <x:v>624</x:v>
      </x:c>
      <x:c r="B625" t="str">
        <x:v>Psychic / Rares</x:v>
      </x:c>
      <x:c r="C625" t="str">
        <x:v>Gardevoir</x:v>
      </x:c>
      <x:c r="D625" t="str">
        <x:v>8/127</x:v>
      </x:c>
      <x:c r="E625" t="str">
        <x:v>Platinum / Deck Exclusives</x:v>
      </x:c>
      <x:c r="F625" t="n">
        <x:v>2009</x:v>
      </x:c>
      <x:c r="G625" t="str">
        <x:v>Non-Holo Deck Exclusive (LV.61)</x:v>
      </x:c>
      <x:c r="H625" t="str">
        <x:v>1 of 1</x:v>
      </x:c>
      <x:c r="I625" t="n">
        <x:v>6</x:v>
      </x:c>
      <x:c r="J625" t="n">
        <x:v>10</x:v>
      </x:c>
      <x:c r="K625" t="n">
        <x:v>8</x:v>
      </x:c>
      <x:c r="L625" t="str">
        <x:v>$5–20</x:v>
      </x:c>
      <x:c r="M625" t="str">
        <x:v>Yes</x:v>
      </x:c>
      <x:c r="N625" t="str">
        <x:v>No</x:v>
      </x:c>
      <x:c r="O625" t="str">
        <x:v>Yes</x:v>
      </x:c>
      <x:c r="P625" t="str">
        <x:v>Variant inferred from user explicitly marking other cards holo; correct if this copy is holo</x:v>
      </x:c>
      <x:c r="Q625" t="n">
        <x:v>6</x:v>
      </x:c>
      <x:c r="R625" t="n">
        <x:v>10</x:v>
      </x:c>
      <x:c r="S625" t="n">
        <x:v>8</x:v>
      </x:c>
      <x:c r="T625" t="str">
        <x:v>Platinum Gardevoir LV.61 8/127 logged as the non-holo deck-exclusive printing because the user explicitly identified the other cards in this batch as holo but did not mark this one holo. Current TCGplayer deck-exclusive market is about $9.26; PriceCharting regular/raw guide is about $6.42. Working clean/NM range $6–10. IMPORTANT: if this physical copy is holo, it is the standard Platinum holo rare and is worth materially more (PriceCharting ungraded about $19.74; TCGplayer market about $48.99).</x:v>
      </x:c>
      <x:c r="U625" t="n">
        <x:v>983</x:v>
      </x:c>
      <x:c r="V625" t="str">
        <x:v>Current chat continuation / researched 2026-08-16</x:v>
      </x:c>
      <x:c r="W625" t="str">
        <x:v>https://www.tcgplayer.com/search/pokemon/product?q=Gardevoir+PL1</x:v>
      </x:c>
    </x:row>
    <x:row r="626">
      <x:c r="A626" t="n">
        <x:v>625</x:v>
      </x:c>
      <x:c r="B626" t="str">
        <x:v>EX / Full Art</x:v>
      </x:c>
      <x:c r="C626" t="str">
        <x:v>Mew-EX</x:v>
      </x:c>
      <x:c r="D626" t="str">
        <x:v>RC24/RC25</x:v>
      </x:c>
      <x:c r="E626" t="str">
        <x:v>Legendary Treasures: Radiant Collection</x:v>
      </x:c>
      <x:c r="F626" t="n">
        <x:v>2013</x:v>
      </x:c>
      <x:c r="G626" t="str">
        <x:v>Full Art Holo Ultra Rare</x:v>
      </x:c>
      <x:c r="H626" t="str">
        <x:v>1 of 2</x:v>
      </x:c>
      <x:c r="I626" t="n">
        <x:v>160</x:v>
      </x:c>
      <x:c r="J626" t="n">
        <x:v>210</x:v>
      </x:c>
      <x:c r="K626" t="n">
        <x:v>185</x:v>
      </x:c>
      <x:c r="L626" t="str">
        <x:v>$20+</x:v>
      </x:c>
      <x:c r="M626" t="str">
        <x:v>Yes</x:v>
      </x:c>
      <x:c r="N626" t="str">
        <x:v>Yes</x:v>
      </x:c>
      <x:c r="O626" t="str">
        <x:v>Yes</x:v>
      </x:c>
      <x:c r="P626" t="str">
        <x:v>Clean/NM benchmark unless noted</x:v>
      </x:c>
      <x:c r="Q626" t="n">
        <x:v>160</x:v>
      </x:c>
      <x:c r="R626" t="n">
        <x:v>210</x:v>
      </x:c>
      <x:c r="S626" t="n">
        <x:v>185</x:v>
      </x:c>
      <x:c r="T626" t="str">
        <x:v>Legendary Treasures Radiant Collection Mew-EX RC24/RC25 Full Art, first physical copy. Current market is volatile: TCGplayer market snapshots are roughly $136–173, while many 2026 NM sales tracked by PriceCharting have landed around $175–200+, with some July outliers much higher. Conservative working clean/NM range $160–210.</x:v>
      </x:c>
      <x:c r="U626" t="n">
        <x:v>984</x:v>
      </x:c>
      <x:c r="V626" t="str">
        <x:v>Current chat continuation / researched 2026-08-16</x:v>
      </x:c>
      <x:c r="W626" t="str">
        <x:v>https://www.pricecharting.com/game/pokemon-legendary-treasures/mew-ex-rc24</x:v>
      </x:c>
    </x:row>
    <x:row r="627">
      <x:c r="A627" t="n">
        <x:v>626</x:v>
      </x:c>
      <x:c r="B627" t="str">
        <x:v>EX / Full Art</x:v>
      </x:c>
      <x:c r="C627" t="str">
        <x:v>Mew-EX</x:v>
      </x:c>
      <x:c r="D627" t="str">
        <x:v>RC24/RC25</x:v>
      </x:c>
      <x:c r="E627" t="str">
        <x:v>Legendary Treasures: Radiant Collection</x:v>
      </x:c>
      <x:c r="F627" t="n">
        <x:v>2013</x:v>
      </x:c>
      <x:c r="G627" t="str">
        <x:v>Full Art Holo Ultra Rare</x:v>
      </x:c>
      <x:c r="H627" t="str">
        <x:v>2 of 2</x:v>
      </x:c>
      <x:c r="I627" t="n">
        <x:v>160</x:v>
      </x:c>
      <x:c r="J627" t="n">
        <x:v>210</x:v>
      </x:c>
      <x:c r="K627" t="n">
        <x:v>185</x:v>
      </x:c>
      <x:c r="L627" t="str">
        <x:v>$20+</x:v>
      </x:c>
      <x:c r="M627" t="str">
        <x:v>Yes</x:v>
      </x:c>
      <x:c r="N627" t="str">
        <x:v>Yes</x:v>
      </x:c>
      <x:c r="O627" t="str">
        <x:v>Yes</x:v>
      </x:c>
      <x:c r="P627" t="str">
        <x:v>Clean/NM benchmark unless noted</x:v>
      </x:c>
      <x:c r="Q627" t="n">
        <x:v>160</x:v>
      </x:c>
      <x:c r="R627" t="n">
        <x:v>210</x:v>
      </x:c>
      <x:c r="S627" t="n">
        <x:v>185</x:v>
      </x:c>
      <x:c r="T627" t="str">
        <x:v>Legendary Treasures Radiant Collection Mew-EX RC24/RC25 Full Art, second physical copy. Current market is volatile: TCGplayer market snapshots are roughly $136–173, while many 2026 NM sales tracked by PriceCharting have landed around $175–200+, with some July outliers much higher. Conservative working clean/NM range $160–210.</x:v>
      </x:c>
      <x:c r="U627" t="n">
        <x:v>984</x:v>
      </x:c>
      <x:c r="V627" t="str">
        <x:v>Current chat continuation / researched 2026-08-16</x:v>
      </x:c>
      <x:c r="W627" t="str">
        <x:v>https://www.pricecharting.com/game/pokemon-legendary-treasures/mew-ex-rc24</x:v>
      </x:c>
    </x:row>
    <x:row r="628">
      <x:c r="A628" t="n">
        <x:v>627</x:v>
      </x:c>
      <x:c r="B628" t="str">
        <x:v>EX / Full Art</x:v>
      </x:c>
      <x:c r="C628" t="str">
        <x:v>Ghetsis</x:v>
      </x:c>
      <x:c r="D628" t="str">
        <x:v>115/116</x:v>
      </x:c>
      <x:c r="E628" t="str">
        <x:v>Plasma Freeze</x:v>
      </x:c>
      <x:c r="F628" t="n">
        <x:v>2013</x:v>
      </x:c>
      <x:c r="G628" t="str">
        <x:v>Full Art Holo Ultra Rare (Team Plasma)</x:v>
      </x:c>
      <x:c r="H628" t="str">
        <x:v>1 of 2</x:v>
      </x:c>
      <x:c r="I628" t="n">
        <x:v>65</x:v>
      </x:c>
      <x:c r="J628" t="n">
        <x:v>90</x:v>
      </x:c>
      <x:c r="K628" t="n">
        <x:v>77.5</x:v>
      </x:c>
      <x:c r="L628" t="str">
        <x:v>$20+</x:v>
      </x:c>
      <x:c r="M628" t="str">
        <x:v>Yes</x:v>
      </x:c>
      <x:c r="N628" t="str">
        <x:v>Yes</x:v>
      </x:c>
      <x:c r="O628" t="str">
        <x:v>Yes</x:v>
      </x:c>
      <x:c r="P628" t="str">
        <x:v>Clean/NM benchmark unless noted</x:v>
      </x:c>
      <x:c r="Q628" t="n">
        <x:v>65</x:v>
      </x:c>
      <x:c r="R628" t="n">
        <x:v>90</x:v>
      </x:c>
      <x:c r="S628" t="n">
        <x:v>77.5</x:v>
      </x:c>
      <x:c r="T628" t="str">
        <x:v>Plasma Freeze Ghetsis 115/116 Full Art Team Plasma Ultra Rare. Current TCGplayer market is about $79.87 with most recent sale about $84.99; PriceCharting also shows recent raw sales around $70. Working clean/NM range $65–90.</x:v>
      </x:c>
      <x:c r="U628" t="n">
        <x:v>985</x:v>
      </x:c>
      <x:c r="V628" t="str">
        <x:v>Current chat continuation / researched 2026-08-16</x:v>
      </x:c>
      <x:c r="W628" t="str">
        <x:v>https://www.tcgplayer.com/product/85695/pokemon-plasma-freeze-ghetsis-team-plasma-full-art</x:v>
      </x:c>
    </x:row>
    <x:row r="629">
      <x:c r="A629" t="n">
        <x:v>628</x:v>
      </x:c>
      <x:c r="B629" t="str">
        <x:v>EX / Full Art</x:v>
      </x:c>
      <x:c r="C629" t="str">
        <x:v>Emolga</x:v>
      </x:c>
      <x:c r="D629" t="str">
        <x:v>RC23/RC25</x:v>
      </x:c>
      <x:c r="E629" t="str">
        <x:v>Legendary Treasures: Radiant Collection</x:v>
      </x:c>
      <x:c r="F629" t="n">
        <x:v>2013</x:v>
      </x:c>
      <x:c r="G629" t="str">
        <x:v>Full Art Holo Ultra Rare</x:v>
      </x:c>
      <x:c r="H629" t="str">
        <x:v>1 of 4</x:v>
      </x:c>
      <x:c r="I629" t="n">
        <x:v>45</x:v>
      </x:c>
      <x:c r="J629" t="n">
        <x:v>90</x:v>
      </x:c>
      <x:c r="K629" t="n">
        <x:v>67.5</x:v>
      </x:c>
      <x:c r="L629" t="str">
        <x:v>$20+</x:v>
      </x:c>
      <x:c r="M629" t="str">
        <x:v>Yes</x:v>
      </x:c>
      <x:c r="N629" t="str">
        <x:v>Yes</x:v>
      </x:c>
      <x:c r="O629" t="str">
        <x:v>Yes</x:v>
      </x:c>
      <x:c r="P629" t="str">
        <x:v>Clean/NM benchmark unless noted</x:v>
      </x:c>
      <x:c r="Q629" t="n">
        <x:v>45</x:v>
      </x:c>
      <x:c r="R629" t="n">
        <x:v>90</x:v>
      </x:c>
      <x:c r="S629" t="n">
        <x:v>67.5</x:v>
      </x:c>
      <x:c r="T629" t="str">
        <x:v>Legendary Treasures Radiant Collection Emolga RC23/RC25 Full Art Ultra Rare. PriceCharting currently lists ungraded around $49.39, with a recent TCGplayer NM sale at $89.99; TCGplayer's current NM price-guide figure is around $85.55. Working clean/NM range $45–90.</x:v>
      </x:c>
      <x:c r="U629" t="n">
        <x:v>985</x:v>
      </x:c>
      <x:c r="V629" t="str">
        <x:v>Current chat continuation / researched 2026-08-16</x:v>
      </x:c>
      <x:c r="W629" t="str">
        <x:v>https://www.pricecharting.com/game/pokemon-legendary-treasures/emolga-rc23</x:v>
      </x:c>
    </x:row>
    <x:row r="630">
      <x:c r="A630" t="n">
        <x:v>629</x:v>
      </x:c>
      <x:c r="B630" t="str">
        <x:v>EX / Full Art</x:v>
      </x:c>
      <x:c r="C630" t="str">
        <x:v>Reshiram</x:v>
      </x:c>
      <x:c r="D630" t="str">
        <x:v>RC22/RC25</x:v>
      </x:c>
      <x:c r="E630" t="str">
        <x:v>Legendary Treasures: Radiant Collection</x:v>
      </x:c>
      <x:c r="F630" t="n">
        <x:v>2013</x:v>
      </x:c>
      <x:c r="G630" t="str">
        <x:v>Full Art Holo Ultra Rare</x:v>
      </x:c>
      <x:c r="H630" t="str">
        <x:v>1 of 1</x:v>
      </x:c>
      <x:c r="I630" t="n">
        <x:v>80</x:v>
      </x:c>
      <x:c r="J630" t="n">
        <x:v>150</x:v>
      </x:c>
      <x:c r="K630" t="n">
        <x:v>115</x:v>
      </x:c>
      <x:c r="L630" t="str">
        <x:v>$20+</x:v>
      </x:c>
      <x:c r="M630" t="str">
        <x:v>Yes</x:v>
      </x:c>
      <x:c r="N630" t="str">
        <x:v>Yes</x:v>
      </x:c>
      <x:c r="O630" t="str">
        <x:v>Yes</x:v>
      </x:c>
      <x:c r="P630" t="str">
        <x:v>Clean/NM benchmark unless noted</x:v>
      </x:c>
      <x:c r="Q630" t="n">
        <x:v>80</x:v>
      </x:c>
      <x:c r="R630" t="n">
        <x:v>150</x:v>
      </x:c>
      <x:c r="S630" t="n">
        <x:v>115</x:v>
      </x:c>
      <x:c r="T630" t="str">
        <x:v>Legendary Treasures Radiant Collection Reshiram RC22/RC25 Full Art Ultra Rare. Current TCGplayer price-guide figures are around $170–176, but recent raw sales are highly dispersed, including roughly $60–100 and occasional $175+ sales. Conservative clean/NM range $80–150.</x:v>
      </x:c>
      <x:c r="U630" t="n">
        <x:v>985</x:v>
      </x:c>
      <x:c r="V630" t="str">
        <x:v>Current chat continuation / researched 2026-08-16</x:v>
      </x:c>
      <x:c r="W630" t="str">
        <x:v>https://www.pricecharting.com/game/pokemon-legendary-treasures/reshiram-rc22</x:v>
      </x:c>
    </x:row>
    <x:row r="631">
      <x:c r="A631" t="n">
        <x:v>630</x:v>
      </x:c>
      <x:c r="B631" t="str">
        <x:v>EX / Full Art</x:v>
      </x:c>
      <x:c r="C631" t="str">
        <x:v>Charizard-EX</x:v>
      </x:c>
      <x:c r="D631" t="str">
        <x:v>100/106</x:v>
      </x:c>
      <x:c r="E631" t="str">
        <x:v>XY—Flashfire</x:v>
      </x:c>
      <x:c r="F631" t="n">
        <x:v>2014</x:v>
      </x:c>
      <x:c r="G631" t="str">
        <x:v>Full Art Holo Ultra Rare</x:v>
      </x:c>
      <x:c r="H631" t="str">
        <x:v>1 of 2</x:v>
      </x:c>
      <x:c r="I631" t="n">
        <x:v>100</x:v>
      </x:c>
      <x:c r="J631" t="n">
        <x:v>180</x:v>
      </x:c>
      <x:c r="K631" t="n">
        <x:v>140</x:v>
      </x:c>
      <x:c r="L631" t="str">
        <x:v>$20+</x:v>
      </x:c>
      <x:c r="M631" t="str">
        <x:v>Yes</x:v>
      </x:c>
      <x:c r="N631" t="str">
        <x:v>Yes</x:v>
      </x:c>
      <x:c r="O631" t="str">
        <x:v>Yes</x:v>
      </x:c>
      <x:c r="P631" t="str">
        <x:v>Clean/NM benchmark unless noted</x:v>
      </x:c>
      <x:c r="Q631" t="n">
        <x:v>100</x:v>
      </x:c>
      <x:c r="R631" t="n">
        <x:v>180</x:v>
      </x:c>
      <x:c r="S631" t="n">
        <x:v>140</x:v>
      </x:c>
      <x:c r="T631" t="str">
        <x:v>XY—Flashfire Charizard-EX 100/106 Full Art Ultra Rare. The raw market is unusually volatile: PriceCharting's current ungraded guide is around $117.50 and recent raw sales span roughly $84–250; TCGplayer snapshots have also varied sharply. Conservative working clean/NM range $100–180.</x:v>
      </x:c>
      <x:c r="U631" t="n">
        <x:v>985</x:v>
      </x:c>
      <x:c r="V631" t="str">
        <x:v>Current chat continuation / researched 2026-08-16</x:v>
      </x:c>
      <x:c r="W631" t="str">
        <x:v>https://www.pricecharting.com/game/pokemon-flashfire/charizard-ex-100</x:v>
      </x:c>
    </x:row>
    <x:row r="632">
      <x:c r="A632" t="n">
        <x:v>631</x:v>
      </x:c>
      <x:c r="B632" t="str">
        <x:v>EX / Full Art</x:v>
      </x:c>
      <x:c r="C632" t="str">
        <x:v>Genesect-EX</x:v>
      </x:c>
      <x:c r="D632" t="str">
        <x:v>97/101</x:v>
      </x:c>
      <x:c r="E632" t="str">
        <x:v>Plasma Blast</x:v>
      </x:c>
      <x:c r="F632" t="n">
        <x:v>2013</x:v>
      </x:c>
      <x:c r="G632" t="str">
        <x:v>Full Art Holo Ultra Rare (Team Plasma)</x:v>
      </x:c>
      <x:c r="H632" t="str">
        <x:v>1 of 2</x:v>
      </x:c>
      <x:c r="I632" t="n">
        <x:v>90</x:v>
      </x:c>
      <x:c r="J632" t="n">
        <x:v>160</x:v>
      </x:c>
      <x:c r="K632" t="n">
        <x:v>125</x:v>
      </x:c>
      <x:c r="L632" t="str">
        <x:v>$20+</x:v>
      </x:c>
      <x:c r="M632" t="str">
        <x:v>Yes</x:v>
      </x:c>
      <x:c r="N632" t="str">
        <x:v>Yes</x:v>
      </x:c>
      <x:c r="O632" t="str">
        <x:v>Yes</x:v>
      </x:c>
      <x:c r="P632" t="str">
        <x:v>Clean/NM benchmark unless noted</x:v>
      </x:c>
      <x:c r="Q632" t="n">
        <x:v>90</x:v>
      </x:c>
      <x:c r="R632" t="n">
        <x:v>160</x:v>
      </x:c>
      <x:c r="S632" t="n">
        <x:v>125</x:v>
      </x:c>
      <x:c r="T632" t="str">
        <x:v>Plasma Blast Genesect-EX 97/101 Team Plasma Full Art Ultra Rare. PriceCharting currently lists ungraded around $137.76; recent raw sales vary substantially, from roughly $60 TCGplayer sales to $200+ clean eBay sales. Conservative working clean/NM range $90–160.</x:v>
      </x:c>
      <x:c r="U632" t="n">
        <x:v>985</x:v>
      </x:c>
      <x:c r="V632" t="str">
        <x:v>Current chat continuation / researched 2026-08-16</x:v>
      </x:c>
      <x:c r="W632" t="str">
        <x:v>https://www.pricecharting.com/game/pokemon-plasma-blast/genesect-ex-97</x:v>
      </x:c>
    </x:row>
    <x:row r="633">
      <x:c r="A633" t="n">
        <x:v>632</x:v>
      </x:c>
      <x:c r="B633" t="str">
        <x:v>EX / Full Art</x:v>
      </x:c>
      <x:c r="C633" t="str">
        <x:v>White Kyurem-EX</x:v>
      </x:c>
      <x:c r="D633" t="str">
        <x:v>146/149</x:v>
      </x:c>
      <x:c r="E633" t="str">
        <x:v>Boundaries Crossed</x:v>
      </x:c>
      <x:c r="F633" t="n">
        <x:v>2012</x:v>
      </x:c>
      <x:c r="G633" t="str">
        <x:v>Full Art Holo Ultra Rare</x:v>
      </x:c>
      <x:c r="H633" t="str">
        <x:v>1 of 2</x:v>
      </x:c>
      <x:c r="I633" t="n">
        <x:v>150</x:v>
      </x:c>
      <x:c r="J633" t="n">
        <x:v>225</x:v>
      </x:c>
      <x:c r="K633" t="n">
        <x:v>187.5</x:v>
      </x:c>
      <x:c r="L633" t="str">
        <x:v>$20+</x:v>
      </x:c>
      <x:c r="M633" t="str">
        <x:v>Yes</x:v>
      </x:c>
      <x:c r="N633" t="str">
        <x:v>Yes</x:v>
      </x:c>
      <x:c r="O633" t="str">
        <x:v>Yes</x:v>
      </x:c>
      <x:c r="P633" t="str">
        <x:v>Manual pre-grade: PSA 8 most likely</x:v>
      </x:c>
      <x:c r="Q633" t="n">
        <x:v>150</x:v>
      </x:c>
      <x:c r="R633" t="n">
        <x:v>225</x:v>
      </x:c>
      <x:c r="S633" t="n">
        <x:v>187.5</x:v>
      </x:c>
      <x:c r="T633" t="str">
        <x:v>Boundaries Crossed White Kyurem-EX 146/149 Full Art Ultra Rare, first physical copy. PriceCharting current ungraded guide is about $163.49; recent raw sales include roughly $150, $200, and $225, with some higher outliers. Working clean/NM range $150–225. Manual grading session 2026-08-17 — White Kyurem-EX copy 1. Centering 10; corners 8–9; edges 8 due cumulative reverse bottom/left edge chipping; surface 9–10 and confirmed good in-session. Odds: PSA 7 ~15%, PSA 8 ~70%, PSA 9 ~15%, PSA 10 ~0%.</x:v>
      </x:c>
      <x:c r="U633" t="n">
        <x:v>986</x:v>
      </x:c>
      <x:c r="V633" t="str">
        <x:v>Current chat continuation / researched 2026-08-16</x:v>
      </x:c>
      <x:c r="W633" t="str">
        <x:v>https://www.pricecharting.com/game/pokemon-boundaries-crossed/white-kyurem-ex-146</x:v>
      </x:c>
    </x:row>
    <x:row r="634">
      <x:c r="A634" t="n">
        <x:v>633</x:v>
      </x:c>
      <x:c r="B634" t="str">
        <x:v>EX / Full Art</x:v>
      </x:c>
      <x:c r="C634" t="str">
        <x:v>White Kyurem-EX</x:v>
      </x:c>
      <x:c r="D634" t="str">
        <x:v>146/149</x:v>
      </x:c>
      <x:c r="E634" t="str">
        <x:v>Boundaries Crossed</x:v>
      </x:c>
      <x:c r="F634" t="n">
        <x:v>2012</x:v>
      </x:c>
      <x:c r="G634" t="str">
        <x:v>Full Art Holo Ultra Rare</x:v>
      </x:c>
      <x:c r="H634" t="str">
        <x:v>2 of 2</x:v>
      </x:c>
      <x:c r="I634" t="n">
        <x:v>150</x:v>
      </x:c>
      <x:c r="J634" t="n">
        <x:v>225</x:v>
      </x:c>
      <x:c r="K634" t="n">
        <x:v>187.5</x:v>
      </x:c>
      <x:c r="L634" t="str">
        <x:v>$20+</x:v>
      </x:c>
      <x:c r="M634" t="str">
        <x:v>Yes</x:v>
      </x:c>
      <x:c r="N634" t="str">
        <x:v>Yes</x:v>
      </x:c>
      <x:c r="O634" t="str">
        <x:v>Yes</x:v>
      </x:c>
      <x:c r="P634" t="str">
        <x:v>Manual pre-grade: PSA 8 most likely / PSA 9 upside</x:v>
      </x:c>
      <x:c r="Q634" t="n">
        <x:v>150</x:v>
      </x:c>
      <x:c r="R634" t="n">
        <x:v>225</x:v>
      </x:c>
      <x:c r="S634" t="n">
        <x:v>187.5</x:v>
      </x:c>
      <x:c r="T634" t="str">
        <x:v>Second physical copy of Boundaries Crossed White Kyurem-EX 146/149 Full Art Ultra Rare. PriceCharting current ungraded guide is about $163.49; recent raw sales include roughly $150, $200, and $225, with some higher outliers. Working clean/NM range $150–225. Manual grading session 2026-08-17 — White Kyurem-EX copy 2. Centering 10; corners 8–9; edges 8–9 with bottom reverse chipping but cleaner vertical edges than copy 1; surface 10 candidate and confirmed good in-session. Odds: PSA 7 ~2%, PSA 8 ~53%, PSA 9 ~44%, PSA 10 ~1%.</x:v>
      </x:c>
      <x:c r="U634" t="n">
        <x:v>986</x:v>
      </x:c>
      <x:c r="V634" t="str">
        <x:v>Current chat continuation / researched 2026-08-16</x:v>
      </x:c>
      <x:c r="W634" t="str">
        <x:v>https://www.pricecharting.com/game/pokemon-boundaries-crossed/white-kyurem-ex-146</x:v>
      </x:c>
    </x:row>
    <x:row r="635">
      <x:c r="A635" t="n">
        <x:v>634</x:v>
      </x:c>
      <x:c r="B635" t="str">
        <x:v>EX / Full Art</x:v>
      </x:c>
      <x:c r="C635" t="str">
        <x:v>Thundurus</x:v>
      </x:c>
      <x:c r="D635" t="str">
        <x:v>97/98</x:v>
      </x:c>
      <x:c r="E635" t="str">
        <x:v>Emerging Powers</x:v>
      </x:c>
      <x:c r="F635" t="n">
        <x:v>2011</x:v>
      </x:c>
      <x:c r="G635" t="str">
        <x:v>Full Art Holo Ultra Rare</x:v>
      </x:c>
      <x:c r="H635" t="str">
        <x:v>1 of 1</x:v>
      </x:c>
      <x:c r="I635" t="n">
        <x:v>20</x:v>
      </x:c>
      <x:c r="J635" t="n">
        <x:v>28</x:v>
      </x:c>
      <x:c r="K635" t="n">
        <x:v>24</x:v>
      </x:c>
      <x:c r="L635" t="str">
        <x:v>$20+</x:v>
      </x:c>
      <x:c r="M635" t="str">
        <x:v>Yes</x:v>
      </x:c>
      <x:c r="N635" t="str">
        <x:v>Yes</x:v>
      </x:c>
      <x:c r="O635" t="str">
        <x:v>Yes</x:v>
      </x:c>
      <x:c r="P635" t="str">
        <x:v>Clean/NM benchmark unless noted</x:v>
      </x:c>
      <x:c r="Q635" t="n">
        <x:v>20</x:v>
      </x:c>
      <x:c r="R635" t="n">
        <x:v>28</x:v>
      </x:c>
      <x:c r="S635" t="n">
        <x:v>24</x:v>
      </x:c>
      <x:c r="T635" t="str">
        <x:v>Emerging Powers Thundurus 97/98 Full Art Ultra Rare. Recent 2026 TCGplayer Near Mint sales are mostly about $19.55–27.28; PriceCharting current ungraded guide is about $19. Working clean/NM range $20–28.</x:v>
      </x:c>
      <x:c r="U635" t="n">
        <x:v>986</x:v>
      </x:c>
      <x:c r="V635" t="str">
        <x:v>Current chat continuation / researched 2026-08-16</x:v>
      </x:c>
      <x:c r="W635" t="str">
        <x:v>https://www.pricecharting.com/game/pokemon-emerging-powers/thundurus-97</x:v>
      </x:c>
    </x:row>
    <x:row r="636">
      <x:c r="A636" t="n">
        <x:v>635</x:v>
      </x:c>
      <x:c r="B636" t="str">
        <x:v>EX / Full Art</x:v>
      </x:c>
      <x:c r="C636" t="str">
        <x:v>Zekrom</x:v>
      </x:c>
      <x:c r="D636" t="str">
        <x:v>114/114</x:v>
      </x:c>
      <x:c r="E636" t="str">
        <x:v>Black &amp; White</x:v>
      </x:c>
      <x:c r="F636" t="n">
        <x:v>2011</x:v>
      </x:c>
      <x:c r="G636" t="str">
        <x:v>Full Art Holo Ultra Rare</x:v>
      </x:c>
      <x:c r="H636" t="str">
        <x:v>1 of 4</x:v>
      </x:c>
      <x:c r="I636" t="n">
        <x:v>90</x:v>
      </x:c>
      <x:c r="J636" t="n">
        <x:v>180</x:v>
      </x:c>
      <x:c r="K636" t="n">
        <x:v>135</x:v>
      </x:c>
      <x:c r="L636" t="str">
        <x:v>$20+</x:v>
      </x:c>
      <x:c r="M636" t="str">
        <x:v>Yes</x:v>
      </x:c>
      <x:c r="N636" t="str">
        <x:v>Yes</x:v>
      </x:c>
      <x:c r="O636" t="str">
        <x:v>Yes</x:v>
      </x:c>
      <x:c r="P636" t="str">
        <x:v>Clean/NM benchmark unless noted</x:v>
      </x:c>
      <x:c r="Q636" t="n">
        <x:v>90</x:v>
      </x:c>
      <x:c r="R636" t="n">
        <x:v>180</x:v>
      </x:c>
      <x:c r="S636" t="n">
        <x:v>135</x:v>
      </x:c>
      <x:c r="T636" t="str">
        <x:v>Black &amp; White Zekrom 114/114 Full Art Ultra Rare. PriceCharting current ungraded guide is about $89.93; recent raw sales range from roughly $55–100 for played/average copies to about $178 for NM. Working clean/NM range $90–180.</x:v>
      </x:c>
      <x:c r="U636" t="n">
        <x:v>986</x:v>
      </x:c>
      <x:c r="V636" t="str">
        <x:v>Current chat continuation / researched 2026-08-16</x:v>
      </x:c>
      <x:c r="W636" t="str">
        <x:v>https://www.pricecharting.com/game/pokemon-black-%26-white/zekrom-114</x:v>
      </x:c>
    </x:row>
    <x:row r="637">
      <x:c r="A637" t="n">
        <x:v>636</x:v>
      </x:c>
      <x:c r="B637" t="str">
        <x:v>LEGEND / Special</x:v>
      </x:c>
      <x:c r="C637" t="str">
        <x:v>Palkia &amp; Dialga LEGEND</x:v>
      </x:c>
      <x:c r="D637" t="str">
        <x:v>101/102</x:v>
      </x:c>
      <x:c r="E637" t="str">
        <x:v>HS—Triumphant</x:v>
      </x:c>
      <x:c r="F637" t="n">
        <x:v>2010</x:v>
      </x:c>
      <x:c r="G637" t="str">
        <x:v>LEGEND Top Half Holo Ultra Rare</x:v>
      </x:c>
      <x:c r="H637" t="str">
        <x:v>1 of 2</x:v>
      </x:c>
      <x:c r="I637" t="n">
        <x:v>100</x:v>
      </x:c>
      <x:c r="J637" t="n">
        <x:v>140</x:v>
      </x:c>
      <x:c r="K637" t="n">
        <x:v>120</x:v>
      </x:c>
      <x:c r="L637" t="str">
        <x:v>$20+</x:v>
      </x:c>
      <x:c r="M637" t="str">
        <x:v>Yes</x:v>
      </x:c>
      <x:c r="N637" t="str">
        <x:v>Yes</x:v>
      </x:c>
      <x:c r="O637" t="str">
        <x:v>Yes</x:v>
      </x:c>
      <x:c r="P637" t="str">
        <x:v>Clean/NM benchmark unless noted</x:v>
      </x:c>
      <x:c r="Q637" t="n">
        <x:v>100</x:v>
      </x:c>
      <x:c r="R637" t="n">
        <x:v>140</x:v>
      </x:c>
      <x:c r="S637" t="n">
        <x:v>120</x:v>
      </x:c>
      <x:c r="T637" t="str">
        <x:v>HS—Triumphant Palkia &amp; Dialga LEGEND 101/102 top half. PriceCharting current ungraded guide is about $115.68; recent raw sales include about $100–107.50, while recent TCGplayer NM sales were $124.99–140. Working clean/NM range $100–140.</x:v>
      </x:c>
      <x:c r="U637" t="n">
        <x:v>986</x:v>
      </x:c>
      <x:c r="V637" t="str">
        <x:v>Current chat continuation / researched 2026-08-16</x:v>
      </x:c>
      <x:c r="W637" t="str">
        <x:v>https://www.pricecharting.com/game/pokemon-triumphant/palkia-%26-dialga-legend-101</x:v>
      </x:c>
    </x:row>
    <x:row r="638">
      <x:c r="A638" t="n">
        <x:v>637</x:v>
      </x:c>
      <x:c r="B638" t="str">
        <x:v>EX / Full Art</x:v>
      </x:c>
      <x:c r="C638" t="str">
        <x:v>Primal Kyogre-EX</x:v>
      </x:c>
      <x:c r="D638" t="str">
        <x:v>96/98</x:v>
      </x:c>
      <x:c r="E638" t="str">
        <x:v>Ancient Origins</x:v>
      </x:c>
      <x:c r="F638" t="n">
        <x:v>2015</x:v>
      </x:c>
      <x:c r="G638" t="str">
        <x:v>Shiny Full Art Holo Secret Rare</x:v>
      </x:c>
      <x:c r="H638" t="str">
        <x:v>1 of 2</x:v>
      </x:c>
      <x:c r="I638" t="n">
        <x:v>180</x:v>
      </x:c>
      <x:c r="J638" t="n">
        <x:v>450</x:v>
      </x:c>
      <x:c r="K638" t="n">
        <x:v>315</x:v>
      </x:c>
      <x:c r="L638" t="str">
        <x:v>$20+</x:v>
      </x:c>
      <x:c r="M638" t="str">
        <x:v>Yes</x:v>
      </x:c>
      <x:c r="N638" t="str">
        <x:v>Yes</x:v>
      </x:c>
      <x:c r="O638" t="str">
        <x:v>Yes</x:v>
      </x:c>
      <x:c r="P638" t="str">
        <x:v>Clean/NM benchmark unless noted</x:v>
      </x:c>
      <x:c r="Q638" t="n">
        <x:v>180</x:v>
      </x:c>
      <x:c r="R638" t="n">
        <x:v>450</x:v>
      </x:c>
      <x:c r="S638" t="n">
        <x:v>315</x:v>
      </x:c>
      <x:c r="T638" t="str">
        <x:v>Ancient Origins Primal Kyogre-EX 96/98 Shiny Full Art Secret Rare. Current PriceCharting ungraded guide is about $183.28, but recent 2026 Near Mint/raw sales have reached roughly $300–450+; condition drives this card very heavily. Working clean/NM range intentionally wide at $180–450 pending inspection.</x:v>
      </x:c>
      <x:c r="U638" t="n">
        <x:v>986</x:v>
      </x:c>
      <x:c r="V638" t="str">
        <x:v>Current chat continuation / researched 2026-08-16</x:v>
      </x:c>
      <x:c r="W638" t="str">
        <x:v>https://www.pricecharting.com/game/pokemon-ancient-origins/primal-kyogre-ex-96</x:v>
      </x:c>
    </x:row>
    <x:row r="639">
      <x:c r="A639" t="n">
        <x:v>638</x:v>
      </x:c>
      <x:c r="B639" t="str">
        <x:v>EX / Full Art</x:v>
      </x:c>
      <x:c r="C639" t="str">
        <x:v>Shaymin-EX</x:v>
      </x:c>
      <x:c r="D639" t="str">
        <x:v>RC21/RC25</x:v>
      </x:c>
      <x:c r="E639" t="str">
        <x:v>Legendary Treasures: Radiant Collection</x:v>
      </x:c>
      <x:c r="F639" t="n">
        <x:v>2013</x:v>
      </x:c>
      <x:c r="G639" t="str">
        <x:v>Full Art Holo Ultra Rare</x:v>
      </x:c>
      <x:c r="H639" t="str">
        <x:v>1 of 1</x:v>
      </x:c>
      <x:c r="I639" t="n">
        <x:v>30</x:v>
      </x:c>
      <x:c r="J639" t="n">
        <x:v>45</x:v>
      </x:c>
      <x:c r="K639" t="n">
        <x:v>37.5</x:v>
      </x:c>
      <x:c r="L639" t="str">
        <x:v>$20+</x:v>
      </x:c>
      <x:c r="M639" t="str">
        <x:v>Yes</x:v>
      </x:c>
      <x:c r="N639" t="str">
        <x:v>Yes</x:v>
      </x:c>
      <x:c r="O639" t="str">
        <x:v>Yes</x:v>
      </x:c>
      <x:c r="P639" t="str">
        <x:v>Clean/NM benchmark unless noted</x:v>
      </x:c>
      <x:c r="Q639" t="n">
        <x:v>30</x:v>
      </x:c>
      <x:c r="R639" t="n">
        <x:v>45</x:v>
      </x:c>
      <x:c r="S639" t="n">
        <x:v>37.5</x:v>
      </x:c>
      <x:c r="T639" t="str">
        <x:v>Legendary Treasures Radiant Collection Shaymin-EX RC21/RC25 Full Art. PriceCharting current ungraded guide is about $34.97. Working clean/NM range $30–45.</x:v>
      </x:c>
      <x:c r="U639" t="n">
        <x:v>986</x:v>
      </x:c>
      <x:c r="V639" t="str">
        <x:v>Current chat continuation / researched 2026-08-16</x:v>
      </x:c>
      <x:c r="W639" t="str">
        <x:v>https://www.pricecharting.com/game/pokemon-legendary-treasures/shaymin-ex-rc21</x:v>
      </x:c>
    </x:row>
    <x:row r="640">
      <x:c r="A640" t="n">
        <x:v>639</x:v>
      </x:c>
      <x:c r="B640" t="str">
        <x:v>EX / Full Art</x:v>
      </x:c>
      <x:c r="C640" t="str">
        <x:v>Terrakion</x:v>
      </x:c>
      <x:c r="D640" t="str">
        <x:v>99/101</x:v>
      </x:c>
      <x:c r="E640" t="str">
        <x:v>Noble Victories</x:v>
      </x:c>
      <x:c r="F640" t="n">
        <x:v>2011</x:v>
      </x:c>
      <x:c r="G640" t="str">
        <x:v>Full Art Holo Ultra Rare</x:v>
      </x:c>
      <x:c r="H640" t="str">
        <x:v>1 of 1</x:v>
      </x:c>
      <x:c r="I640" t="n">
        <x:v>30</x:v>
      </x:c>
      <x:c r="J640" t="n">
        <x:v>45</x:v>
      </x:c>
      <x:c r="K640" t="n">
        <x:v>37.5</x:v>
      </x:c>
      <x:c r="L640" t="str">
        <x:v>$20+</x:v>
      </x:c>
      <x:c r="M640" t="str">
        <x:v>Yes</x:v>
      </x:c>
      <x:c r="N640" t="str">
        <x:v>Yes</x:v>
      </x:c>
      <x:c r="O640" t="str">
        <x:v>Yes</x:v>
      </x:c>
      <x:c r="P640" t="str">
        <x:v>Clean/NM benchmark unless noted</x:v>
      </x:c>
      <x:c r="Q640" t="n">
        <x:v>30</x:v>
      </x:c>
      <x:c r="R640" t="n">
        <x:v>45</x:v>
      </x:c>
      <x:c r="S640" t="n">
        <x:v>37.5</x:v>
      </x:c>
      <x:c r="T640" t="str">
        <x:v>Noble Victories Terrakion 99/101 Full Art Ultra Rare. PriceCharting current ungraded guide is about $37.90. Working clean/NM range $30–45.</x:v>
      </x:c>
      <x:c r="U640" t="n">
        <x:v>986</x:v>
      </x:c>
      <x:c r="V640" t="str">
        <x:v>Current chat continuation / researched 2026-08-16</x:v>
      </x:c>
      <x:c r="W640" t="str">
        <x:v>https://www.pricecharting.com/game/pokemon-noble-victories/terrakion-99</x:v>
      </x:c>
    </x:row>
    <x:row r="641">
      <x:c r="A641" t="n">
        <x:v>640</x:v>
      </x:c>
      <x:c r="B641" t="str">
        <x:v>EX / Full Art</x:v>
      </x:c>
      <x:c r="C641" t="str">
        <x:v>Cresselia-EX</x:v>
      </x:c>
      <x:c r="D641" t="str">
        <x:v>143/149</x:v>
      </x:c>
      <x:c r="E641" t="str">
        <x:v>Boundaries Crossed</x:v>
      </x:c>
      <x:c r="F641" t="n">
        <x:v>2012</x:v>
      </x:c>
      <x:c r="G641" t="str">
        <x:v>Full Art Holo Ultra Rare</x:v>
      </x:c>
      <x:c r="H641" t="str">
        <x:v>1 of 2</x:v>
      </x:c>
      <x:c r="I641" t="n">
        <x:v>60</x:v>
      </x:c>
      <x:c r="J641" t="n">
        <x:v>110</x:v>
      </x:c>
      <x:c r="K641" t="n">
        <x:v>85</x:v>
      </x:c>
      <x:c r="L641" t="str">
        <x:v>$20+</x:v>
      </x:c>
      <x:c r="M641" t="str">
        <x:v>Yes</x:v>
      </x:c>
      <x:c r="N641" t="str">
        <x:v>Yes</x:v>
      </x:c>
      <x:c r="O641" t="str">
        <x:v>Yes</x:v>
      </x:c>
      <x:c r="P641" t="str">
        <x:v>Clean/NM benchmark unless noted</x:v>
      </x:c>
      <x:c r="Q641" t="n">
        <x:v>60</x:v>
      </x:c>
      <x:c r="R641" t="n">
        <x:v>110</x:v>
      </x:c>
      <x:c r="S641" t="n">
        <x:v>85</x:v>
      </x:c>
      <x:c r="T641" t="str">
        <x:v>Boundaries Crossed Cresselia-EX 143/149 Full Art Ultra Rare. Current PriceCharting ungraded guide is about $60, while TCGplayer market is around $108 and recent raw sales include roughly $60–110. Working clean/NM range $60–110.</x:v>
      </x:c>
      <x:c r="U641" t="n">
        <x:v>987</x:v>
      </x:c>
      <x:c r="V641" t="str">
        <x:v>Current chat continuation / researched 2026-08-16</x:v>
      </x:c>
      <x:c r="W641" t="str">
        <x:v>https://www.pricecharting.com/game/pokemon-boundaries-crossed/cresselia-ex-143</x:v>
      </x:c>
    </x:row>
    <x:row r="642">
      <x:c r="A642" t="n">
        <x:v>641</x:v>
      </x:c>
      <x:c r="B642" t="str">
        <x:v>EX / Full Art</x:v>
      </x:c>
      <x:c r="C642" t="str">
        <x:v>Meloetta-EX</x:v>
      </x:c>
      <x:c r="D642" t="str">
        <x:v>RC25/RC25</x:v>
      </x:c>
      <x:c r="E642" t="str">
        <x:v>Legendary Treasures: Radiant Collection</x:v>
      </x:c>
      <x:c r="F642" t="n">
        <x:v>2013</x:v>
      </x:c>
      <x:c r="G642" t="str">
        <x:v>Full Art Holo Ultra Rare</x:v>
      </x:c>
      <x:c r="H642" t="str">
        <x:v>1 of 1</x:v>
      </x:c>
      <x:c r="I642" t="n">
        <x:v>30</x:v>
      </x:c>
      <x:c r="J642" t="n">
        <x:v>45</x:v>
      </x:c>
      <x:c r="K642" t="n">
        <x:v>37.5</x:v>
      </x:c>
      <x:c r="L642" t="str">
        <x:v>$20+</x:v>
      </x:c>
      <x:c r="M642" t="str">
        <x:v>Yes</x:v>
      </x:c>
      <x:c r="N642" t="str">
        <x:v>Yes</x:v>
      </x:c>
      <x:c r="O642" t="str">
        <x:v>Yes</x:v>
      </x:c>
      <x:c r="P642" t="str">
        <x:v>Clean/NM benchmark unless noted</x:v>
      </x:c>
      <x:c r="Q642" t="n">
        <x:v>30</x:v>
      </x:c>
      <x:c r="R642" t="n">
        <x:v>45</x:v>
      </x:c>
      <x:c r="S642" t="n">
        <x:v>37.5</x:v>
      </x:c>
      <x:c r="T642" t="str">
        <x:v>Legendary Treasures Radiant Collection Meloetta-EX RC25/RC25 Full Art. Current TCGplayer market is about $39–40; recent NM TCGplayer sales are commonly about $35–49. Working clean/NM range $30–45.</x:v>
      </x:c>
      <x:c r="U642" t="n">
        <x:v>987</x:v>
      </x:c>
      <x:c r="V642" t="str">
        <x:v>Current chat continuation / researched 2026-08-16</x:v>
      </x:c>
      <x:c r="W642" t="str">
        <x:v>https://www.pricecharting.com/game/pokemon-legendary-treasures/meloetta-ex-rc25</x:v>
      </x:c>
    </x:row>
    <x:row r="643">
      <x:c r="A643" t="n">
        <x:v>642</x:v>
      </x:c>
      <x:c r="B643" t="str">
        <x:v>EX / Full Art</x:v>
      </x:c>
      <x:c r="C643" t="str">
        <x:v>Landorus</x:v>
      </x:c>
      <x:c r="D643" t="str">
        <x:v>BW43</x:v>
      </x:c>
      <x:c r="E643" t="str">
        <x:v>BW Black Star Promos</x:v>
      </x:c>
      <x:c r="F643" t="n">
        <x:v>2012</x:v>
      </x:c>
      <x:c r="G643" t="str">
        <x:v>Full Art Holo Promo</x:v>
      </x:c>
      <x:c r="H643" t="str">
        <x:v>1 of 2</x:v>
      </x:c>
      <x:c r="I643" t="n">
        <x:v>15</x:v>
      </x:c>
      <x:c r="J643" t="n">
        <x:v>35</x:v>
      </x:c>
      <x:c r="K643" t="n">
        <x:v>25</x:v>
      </x:c>
      <x:c r="L643" t="str">
        <x:v>$20+</x:v>
      </x:c>
      <x:c r="M643" t="str">
        <x:v>Yes</x:v>
      </x:c>
      <x:c r="N643" t="str">
        <x:v>Yes</x:v>
      </x:c>
      <x:c r="O643" t="str">
        <x:v>Yes</x:v>
      </x:c>
      <x:c r="P643" t="str">
        <x:v>Clean/NM benchmark unless noted</x:v>
      </x:c>
      <x:c r="Q643" t="n">
        <x:v>15</x:v>
      </x:c>
      <x:c r="R643" t="n">
        <x:v>35</x:v>
      </x:c>
      <x:c r="S643" t="n">
        <x:v>25</x:v>
      </x:c>
      <x:c r="T643" t="str">
        <x:v>Landorus BW43 Black &amp; White Black Star Promo full-art holo, first physical copy. PriceCharting ungraded is about $13.70, TCGplayer market is about $35.9, and recent NM/raw sales include roughly $15–28. Working clean/NM range $15–35.</x:v>
      </x:c>
      <x:c r="U643" t="n">
        <x:v>987</x:v>
      </x:c>
      <x:c r="V643" t="str">
        <x:v>Current chat continuation / researched 2026-08-16</x:v>
      </x:c>
      <x:c r="W643" t="str">
        <x:v>https://www.pricecharting.com/game/pokemon-promo/landorus-bw43</x:v>
      </x:c>
    </x:row>
    <x:row r="644">
      <x:c r="A644" t="n">
        <x:v>643</x:v>
      </x:c>
      <x:c r="B644" t="str">
        <x:v>LEGEND / Special</x:v>
      </x:c>
      <x:c r="C644" t="str">
        <x:v>Suicune &amp; Entei LEGEND</x:v>
      </x:c>
      <x:c r="D644" t="str">
        <x:v>95/95</x:v>
      </x:c>
      <x:c r="E644" t="str">
        <x:v>HS—Unleashed</x:v>
      </x:c>
      <x:c r="F644" t="n">
        <x:v>2010</x:v>
      </x:c>
      <x:c r="G644" t="str">
        <x:v>LEGEND Bottom Half Holo Ultra Rare</x:v>
      </x:c>
      <x:c r="H644" t="str">
        <x:v>1 of 2</x:v>
      </x:c>
      <x:c r="I644" t="n">
        <x:v>90</x:v>
      </x:c>
      <x:c r="J644" t="n">
        <x:v>130</x:v>
      </x:c>
      <x:c r="K644" t="n">
        <x:v>110</x:v>
      </x:c>
      <x:c r="L644" t="str">
        <x:v>$20+</x:v>
      </x:c>
      <x:c r="M644" t="str">
        <x:v>Yes</x:v>
      </x:c>
      <x:c r="N644" t="str">
        <x:v>Yes</x:v>
      </x:c>
      <x:c r="O644" t="str">
        <x:v>Yes</x:v>
      </x:c>
      <x:c r="P644" t="str">
        <x:v>Bad condition / user specifically reports poor condition</x:v>
      </x:c>
      <x:c r="Q644" t="n">
        <x:v>40</x:v>
      </x:c>
      <x:c r="R644" t="n">
        <x:v>85</x:v>
      </x:c>
      <x:c r="S644" t="n">
        <x:v>62.5</x:v>
      </x:c>
      <x:c r="T644" t="str">
        <x:v>HS—Unleashed Suicune &amp; Entei LEGEND 95/95 bottom half. Clean benchmark is roughly $90–130; current PriceCharting ungraded guide is about $91.50 and recent clean/LP sales commonly range around $70–125+. User reports this copy is in bad condition, so provisional as-is range is $40–85 pending photos.</x:v>
      </x:c>
      <x:c r="U644" t="n">
        <x:v>987</x:v>
      </x:c>
      <x:c r="V644" t="str">
        <x:v>Current chat continuation / condition-adjusted 2026-08-16</x:v>
      </x:c>
      <x:c r="W644" t="str">
        <x:v>https://www.pricecharting.com/game/pokemon-unleashed/suicune-%26-entei-legend-95</x:v>
      </x:c>
    </x:row>
    <x:row r="645">
      <x:c r="A645" t="n">
        <x:v>644</x:v>
      </x:c>
      <x:c r="B645" t="str">
        <x:v>LEGEND / Special</x:v>
      </x:c>
      <x:c r="C645" t="str">
        <x:v>Suicune &amp; Entei LEGEND</x:v>
      </x:c>
      <x:c r="D645" t="str">
        <x:v>95/95</x:v>
      </x:c>
      <x:c r="E645" t="str">
        <x:v>World Championships 2011</x:v>
      </x:c>
      <x:c r="F645" t="n">
        <x:v>2011</x:v>
      </x:c>
      <x:c r="G645" t="str">
        <x:v>World Championships — Ross Cawthon / The Truth (Bottom Half)</x:v>
      </x:c>
      <x:c r="H645" t="str">
        <x:v>1 of 1</x:v>
      </x:c>
      <x:c r="I645" t="n">
        <x:v>20</x:v>
      </x:c>
      <x:c r="J645" t="n">
        <x:v>30</x:v>
      </x:c>
      <x:c r="K645" t="n">
        <x:v>25</x:v>
      </x:c>
      <x:c r="L645" t="str">
        <x:v>$20+</x:v>
      </x:c>
      <x:c r="M645" t="str">
        <x:v>Yes</x:v>
      </x:c>
      <x:c r="N645" t="str">
        <x:v>Yes</x:v>
      </x:c>
      <x:c r="O645" t="str">
        <x:v>Yes</x:v>
      </x:c>
      <x:c r="P645" t="str">
        <x:v>Looks very good per user</x:v>
      </x:c>
      <x:c r="Q645" t="n">
        <x:v>20</x:v>
      </x:c>
      <x:c r="R645" t="n">
        <x:v>30</x:v>
      </x:c>
      <x:c r="S645" t="n">
        <x:v>25</x:v>
      </x:c>
      <x:c r="T645" t="str">
        <x:v>2011 World Championships Ross Cawthon ('The Truth') Suicune &amp; Entei LEGEND 95/95 bottom half. TCGplayer market is currently about $24.8–25.7. User says this copy looks really good, so working as-is/clean range is $20–30.</x:v>
      </x:c>
      <x:c r="U645" t="n">
        <x:v>987</x:v>
      </x:c>
      <x:c r="V645" t="str">
        <x:v>Current chat continuation / researched 2026-08-16</x:v>
      </x:c>
      <x:c r="W645" t="str">
        <x:v>https://www.tcgplayer.com/search/pokemon/product?q=Suicune+%26+Entei+LEGEND&amp;view=grid</x:v>
      </x:c>
    </x:row>
    <x:row r="646">
      <x:c r="A646" t="n">
        <x:v>645</x:v>
      </x:c>
      <x:c r="B646" t="str">
        <x:v>EX / Full Art</x:v>
      </x:c>
      <x:c r="C646" t="str">
        <x:v>Zekrom</x:v>
      </x:c>
      <x:c r="D646" t="str">
        <x:v>114/114</x:v>
      </x:c>
      <x:c r="E646" t="str">
        <x:v>Black &amp; White</x:v>
      </x:c>
      <x:c r="F646" t="n">
        <x:v>2011</x:v>
      </x:c>
      <x:c r="G646" t="str">
        <x:v>Full Art Holo Ultra Rare</x:v>
      </x:c>
      <x:c r="H646" t="str">
        <x:v>2 of 4</x:v>
      </x:c>
      <x:c r="I646" t="n">
        <x:v>90</x:v>
      </x:c>
      <x:c r="J646" t="n">
        <x:v>180</x:v>
      </x:c>
      <x:c r="K646" t="n">
        <x:v>135</x:v>
      </x:c>
      <x:c r="L646" t="str">
        <x:v>$20+</x:v>
      </x:c>
      <x:c r="M646" t="str">
        <x:v>Yes</x:v>
      </x:c>
      <x:c r="N646" t="str">
        <x:v>Yes</x:v>
      </x:c>
      <x:c r="O646" t="str">
        <x:v>Yes</x:v>
      </x:c>
      <x:c r="P646" t="str">
        <x:v>Clean/NM benchmark unless noted</x:v>
      </x:c>
      <x:c r="Q646" t="n">
        <x:v>90</x:v>
      </x:c>
      <x:c r="R646" t="n">
        <x:v>180</x:v>
      </x:c>
      <x:c r="S646" t="n">
        <x:v>135</x:v>
      </x:c>
      <x:c r="T646" t="str">
        <x:v>Second physical copy of Black &amp; White Zekrom 114/114 Full Art Ultra Rare. PriceCharting current ungraded guide is about $89.93; recent raw sales range widely and clean/NM copies can approach $180. Working clean/NM range $90–180.</x:v>
      </x:c>
      <x:c r="U646" t="n">
        <x:v>987</x:v>
      </x:c>
      <x:c r="V646" t="str">
        <x:v>Current chat continuation / researched 2026-08-16</x:v>
      </x:c>
      <x:c r="W646" t="str">
        <x:v>https://www.pricecharting.com/game/pokemon-black-%26-white/zekrom-114</x:v>
      </x:c>
    </x:row>
    <x:row r="647">
      <x:c r="A647" t="n">
        <x:v>646</x:v>
      </x:c>
      <x:c r="B647" t="str">
        <x:v>EX / Full Art</x:v>
      </x:c>
      <x:c r="C647" t="str">
        <x:v>Landorus</x:v>
      </x:c>
      <x:c r="D647" t="str">
        <x:v>BW43</x:v>
      </x:c>
      <x:c r="E647" t="str">
        <x:v>BW Black Star Promos</x:v>
      </x:c>
      <x:c r="F647" t="n">
        <x:v>2012</x:v>
      </x:c>
      <x:c r="G647" t="str">
        <x:v>Full Art Holo Promo</x:v>
      </x:c>
      <x:c r="H647" t="str">
        <x:v>2 of 2</x:v>
      </x:c>
      <x:c r="I647" t="n">
        <x:v>15</x:v>
      </x:c>
      <x:c r="J647" t="n">
        <x:v>35</x:v>
      </x:c>
      <x:c r="K647" t="n">
        <x:v>25</x:v>
      </x:c>
      <x:c r="L647" t="str">
        <x:v>$20+</x:v>
      </x:c>
      <x:c r="M647" t="str">
        <x:v>Yes</x:v>
      </x:c>
      <x:c r="N647" t="str">
        <x:v>Yes</x:v>
      </x:c>
      <x:c r="O647" t="str">
        <x:v>Yes</x:v>
      </x:c>
      <x:c r="P647" t="str">
        <x:v>Clean/NM benchmark unless noted</x:v>
      </x:c>
      <x:c r="Q647" t="n">
        <x:v>15</x:v>
      </x:c>
      <x:c r="R647" t="n">
        <x:v>35</x:v>
      </x:c>
      <x:c r="S647" t="n">
        <x:v>25</x:v>
      </x:c>
      <x:c r="T647" t="str">
        <x:v>Second physical copy of Landorus BW43 Black &amp; White Black Star Promo full-art holo. PriceCharting ungraded is about $13.70, TCGplayer market about $35.9, and recent NM/raw sales roughly $15–28. Working clean/NM range $15–35.</x:v>
      </x:c>
      <x:c r="U647" t="n">
        <x:v>987</x:v>
      </x:c>
      <x:c r="V647" t="str">
        <x:v>Current chat continuation / researched 2026-08-16</x:v>
      </x:c>
      <x:c r="W647" t="str">
        <x:v>https://www.pricecharting.com/game/pokemon-promo/landorus-bw43</x:v>
      </x:c>
    </x:row>
    <x:row r="648">
      <x:c r="A648" t="n">
        <x:v>647</x:v>
      </x:c>
      <x:c r="B648" t="str">
        <x:v>EX / Full Art</x:v>
      </x:c>
      <x:c r="C648" t="str">
        <x:v>Magnezone-EX</x:v>
      </x:c>
      <x:c r="D648" t="str">
        <x:v>101/106</x:v>
      </x:c>
      <x:c r="E648" t="str">
        <x:v>XY—Flashfire</x:v>
      </x:c>
      <x:c r="F648" t="n">
        <x:v>2014</x:v>
      </x:c>
      <x:c r="G648" t="str">
        <x:v>Full Art Holo Ultra Rare</x:v>
      </x:c>
      <x:c r="H648" t="str">
        <x:v>1 of 1</x:v>
      </x:c>
      <x:c r="I648" t="n">
        <x:v>13</x:v>
      </x:c>
      <x:c r="J648" t="n">
        <x:v>18</x:v>
      </x:c>
      <x:c r="K648" t="n">
        <x:v>15.5</x:v>
      </x:c>
      <x:c r="L648" t="str">
        <x:v>$5–20</x:v>
      </x:c>
      <x:c r="M648" t="str">
        <x:v>Yes</x:v>
      </x:c>
      <x:c r="N648" t="str">
        <x:v>No</x:v>
      </x:c>
      <x:c r="O648" t="str">
        <x:v>Yes</x:v>
      </x:c>
      <x:c r="P648" t="str">
        <x:v>Clean/NM benchmark unless noted</x:v>
      </x:c>
      <x:c r="Q648" t="n">
        <x:v>13</x:v>
      </x:c>
      <x:c r="R648" t="n">
        <x:v>18</x:v>
      </x:c>
      <x:c r="S648" t="n">
        <x:v>15.5</x:v>
      </x:c>
      <x:c r="T648" t="str">
        <x:v>XY—Flashfire Magnezone-EX 101/106 Full Art Ultra Rare. TCGplayer market is about $16.5–17.7 and recent Near Mint sales have been about $15.69–16.99. Working clean/NM range $13–18.</x:v>
      </x:c>
      <x:c r="U648" t="n">
        <x:v>987</x:v>
      </x:c>
      <x:c r="V648" t="str">
        <x:v>Current chat continuation / researched 2026-08-16</x:v>
      </x:c>
      <x:c r="W648" t="str">
        <x:v>https://www.pricecharting.com/game/pokemon-flashfire/magnezone-ex-101</x:v>
      </x:c>
    </x:row>
    <x:row r="649">
      <x:c r="A649" t="n">
        <x:v>648</x:v>
      </x:c>
      <x:c r="B649" t="str">
        <x:v>EX / Full Art</x:v>
      </x:c>
      <x:c r="C649" t="str">
        <x:v>Iris</x:v>
      </x:c>
      <x:c r="D649" t="str">
        <x:v>101/101</x:v>
      </x:c>
      <x:c r="E649" t="str">
        <x:v>Plasma Blast</x:v>
      </x:c>
      <x:c r="F649" t="n">
        <x:v>2013</x:v>
      </x:c>
      <x:c r="G649" t="str">
        <x:v>Full Art Holo Ultra Rare Trainer</x:v>
      </x:c>
      <x:c r="H649" t="str">
        <x:v>1 of 2</x:v>
      </x:c>
      <x:c r="I649" t="n">
        <x:v>90</x:v>
      </x:c>
      <x:c r="J649" t="n">
        <x:v>125</x:v>
      </x:c>
      <x:c r="K649" t="n">
        <x:v>107.5</x:v>
      </x:c>
      <x:c r="L649" t="str">
        <x:v>$20+</x:v>
      </x:c>
      <x:c r="M649" t="str">
        <x:v>Yes</x:v>
      </x:c>
      <x:c r="N649" t="str">
        <x:v>Yes</x:v>
      </x:c>
      <x:c r="O649" t="str">
        <x:v>Yes</x:v>
      </x:c>
      <x:c r="P649" t="str">
        <x:v>Clean/NM benchmark unless noted</x:v>
      </x:c>
      <x:c r="Q649" t="n">
        <x:v>90</x:v>
      </x:c>
      <x:c r="R649" t="n">
        <x:v>125</x:v>
      </x:c>
      <x:c r="S649" t="n">
        <x:v>107.5</x:v>
      </x:c>
      <x:c r="T649" t="str">
        <x:v>Plasma Blast Iris 101/101 Full Art Trainer. TCGplayer market is currently about $116–125; a recent mint raw eBay sale was about $99. Working clean/NM range $90–125.</x:v>
      </x:c>
      <x:c r="U649" t="n">
        <x:v>987</x:v>
      </x:c>
      <x:c r="V649" t="str">
        <x:v>Current chat continuation / researched 2026-08-16</x:v>
      </x:c>
      <x:c r="W649" t="str">
        <x:v>https://www.pricecharting.com/game/pokemon-plasma-blast/iris-101</x:v>
      </x:c>
    </x:row>
    <x:row r="650">
      <x:c r="A650" t="n">
        <x:v>649</x:v>
      </x:c>
      <x:c r="B650" t="str">
        <x:v>EX / Full Art</x:v>
      </x:c>
      <x:c r="C650" t="str">
        <x:v>M Gyarados-EX</x:v>
      </x:c>
      <x:c r="D650" t="str">
        <x:v>115/122</x:v>
      </x:c>
      <x:c r="E650" t="str">
        <x:v>XY—BREAKpoint</x:v>
      </x:c>
      <x:c r="F650" t="n">
        <x:v>2016</x:v>
      </x:c>
      <x:c r="G650" t="str">
        <x:v>Shiny Full Art Holo Ultra Rare</x:v>
      </x:c>
      <x:c r="H650" t="str">
        <x:v>1 of 2</x:v>
      </x:c>
      <x:c r="I650" t="n">
        <x:v>90</x:v>
      </x:c>
      <x:c r="J650" t="n">
        <x:v>125</x:v>
      </x:c>
      <x:c r="K650" t="n">
        <x:v>107.5</x:v>
      </x:c>
      <x:c r="L650" t="str">
        <x:v>$20+</x:v>
      </x:c>
      <x:c r="M650" t="str">
        <x:v>Yes</x:v>
      </x:c>
      <x:c r="N650" t="str">
        <x:v>Yes</x:v>
      </x:c>
      <x:c r="O650" t="str">
        <x:v>Yes</x:v>
      </x:c>
      <x:c r="P650" t="str">
        <x:v>Clean/NM benchmark unless noted</x:v>
      </x:c>
      <x:c r="Q650" t="n">
        <x:v>90</x:v>
      </x:c>
      <x:c r="R650" t="n">
        <x:v>125</x:v>
      </x:c>
      <x:c r="S650" t="n">
        <x:v>107.5</x:v>
      </x:c>
      <x:c r="T650" t="str">
        <x:v>XY—BREAKpoint M Gyarados-EX 115/122 Shiny Full Art Ultra Rare. TCGplayer market is about $111 and recent Near Mint/raw sales include roughly $99–125, with condition-driven outliers. Working clean/NM range $90–125.</x:v>
      </x:c>
      <x:c r="U650" t="n">
        <x:v>987</x:v>
      </x:c>
      <x:c r="V650" t="str">
        <x:v>Current chat continuation / researched 2026-08-16</x:v>
      </x:c>
      <x:c r="W650" t="str">
        <x:v>https://www.pricecharting.com/game/pokemon-breakpoint/m-gyarados-ex-115</x:v>
      </x:c>
    </x:row>
    <x:row r="651">
      <x:c r="A651" t="n">
        <x:v>650</x:v>
      </x:c>
      <x:c r="B651" t="str">
        <x:v>EX / Full Art</x:v>
      </x:c>
      <x:c r="C651" t="str">
        <x:v>Thundurus-EX</x:v>
      </x:c>
      <x:c r="D651" t="str">
        <x:v>110/116</x:v>
      </x:c>
      <x:c r="E651" t="str">
        <x:v>Plasma Freeze</x:v>
      </x:c>
      <x:c r="F651" t="n">
        <x:v>2013</x:v>
      </x:c>
      <x:c r="G651" t="str">
        <x:v>Full Art Holo Ultra Rare (Team Plasma)</x:v>
      </x:c>
      <x:c r="H651" t="str">
        <x:v>1 of 2</x:v>
      </x:c>
      <x:c r="I651" t="n">
        <x:v>95</x:v>
      </x:c>
      <x:c r="J651" t="n">
        <x:v>130</x:v>
      </x:c>
      <x:c r="K651" t="n">
        <x:v>112.5</x:v>
      </x:c>
      <x:c r="L651" t="str">
        <x:v>$20+</x:v>
      </x:c>
      <x:c r="M651" t="str">
        <x:v>Yes</x:v>
      </x:c>
      <x:c r="N651" t="str">
        <x:v>Yes</x:v>
      </x:c>
      <x:c r="O651" t="str">
        <x:v>Yes</x:v>
      </x:c>
      <x:c r="P651" t="str">
        <x:v>Clean/NM benchmark unless noted</x:v>
      </x:c>
      <x:c r="Q651" t="n">
        <x:v>95</x:v>
      </x:c>
      <x:c r="R651" t="n">
        <x:v>130</x:v>
      </x:c>
      <x:c r="S651" t="n">
        <x:v>112.5</x:v>
      </x:c>
      <x:c r="T651" t="str">
        <x:v>Plasma Freeze Thundurus-EX 110/116 Team Plasma Full Art Ultra Rare. TCGplayer market is about $122; recent raw/NM sales include roughly $100–127, with a May TCGplayer NM sale much higher. Working clean/NM range $95–130.</x:v>
      </x:c>
      <x:c r="U651" t="n">
        <x:v>987</x:v>
      </x:c>
      <x:c r="V651" t="str">
        <x:v>Current chat continuation / researched 2026-08-16</x:v>
      </x:c>
      <x:c r="W651" t="str">
        <x:v>https://www.pricecharting.com/game/pokemon-plasma-freeze/thundurus-ex-110</x:v>
      </x:c>
    </x:row>
    <x:row r="652">
      <x:c r="A652" t="n">
        <x:v>651</x:v>
      </x:c>
      <x:c r="B652" t="str">
        <x:v>EX / Full Art</x:v>
      </x:c>
      <x:c r="C652" t="str">
        <x:v>Registeel-EX</x:v>
      </x:c>
      <x:c r="D652" t="str">
        <x:v>122/124</x:v>
      </x:c>
      <x:c r="E652" t="str">
        <x:v>Dragons Exalted</x:v>
      </x:c>
      <x:c r="F652" t="n">
        <x:v>2012</x:v>
      </x:c>
      <x:c r="G652" t="str">
        <x:v>Full Art Holo Ultra Rare</x:v>
      </x:c>
      <x:c r="H652" t="str">
        <x:v>1 of 2</x:v>
      </x:c>
      <x:c r="I652" t="n">
        <x:v>45</x:v>
      </x:c>
      <x:c r="J652" t="n">
        <x:v>70</x:v>
      </x:c>
      <x:c r="K652" t="n">
        <x:v>57.5</x:v>
      </x:c>
      <x:c r="L652" t="str">
        <x:v>$20+</x:v>
      </x:c>
      <x:c r="M652" t="str">
        <x:v>Yes</x:v>
      </x:c>
      <x:c r="N652" t="str">
        <x:v>Yes</x:v>
      </x:c>
      <x:c r="O652" t="str">
        <x:v>Yes</x:v>
      </x:c>
      <x:c r="P652" t="str">
        <x:v>Clean/NM benchmark unless noted</x:v>
      </x:c>
      <x:c r="Q652" t="n">
        <x:v>45</x:v>
      </x:c>
      <x:c r="R652" t="n">
        <x:v>70</x:v>
      </x:c>
      <x:c r="S652" t="n">
        <x:v>57.5</x:v>
      </x:c>
      <x:c r="T652" t="str">
        <x:v>Dragons Exalted Registeel-EX 122/124 Full Art Ultra Rare. TCGplayer market is about $69; recent raw sales include roughly $48–58. Working clean/NM range $45–70.</x:v>
      </x:c>
      <x:c r="U652" t="n">
        <x:v>987</x:v>
      </x:c>
      <x:c r="V652" t="str">
        <x:v>Current chat continuation / researched 2026-08-16</x:v>
      </x:c>
      <x:c r="W652" t="str">
        <x:v>https://www.pricecharting.com/game/pokemon-dragons-exalted/registeel-ex-122</x:v>
      </x:c>
    </x:row>
    <x:row r="653">
      <x:c r="A653" t="n">
        <x:v>652</x:v>
      </x:c>
      <x:c r="B653" t="str">
        <x:v>EX / Full Art</x:v>
      </x:c>
      <x:c r="C653" t="str">
        <x:v>Latios-EX</x:v>
      </x:c>
      <x:c r="D653" t="str">
        <x:v>113/116</x:v>
      </x:c>
      <x:c r="E653" t="str">
        <x:v>Plasma Freeze</x:v>
      </x:c>
      <x:c r="F653" t="n">
        <x:v>2013</x:v>
      </x:c>
      <x:c r="G653" t="str">
        <x:v>Full Art Holo Ultra Rare</x:v>
      </x:c>
      <x:c r="H653" t="str">
        <x:v>1 of 2</x:v>
      </x:c>
      <x:c r="I653" t="n">
        <x:v>120</x:v>
      </x:c>
      <x:c r="J653" t="n">
        <x:v>230</x:v>
      </x:c>
      <x:c r="K653" t="n">
        <x:v>175</x:v>
      </x:c>
      <x:c r="L653" t="str">
        <x:v>$20+</x:v>
      </x:c>
      <x:c r="M653" t="str">
        <x:v>Yes</x:v>
      </x:c>
      <x:c r="N653" t="str">
        <x:v>Yes</x:v>
      </x:c>
      <x:c r="O653" t="str">
        <x:v>Yes</x:v>
      </x:c>
      <x:c r="P653" t="str">
        <x:v>Manual pre-grade: PSA 8 most likely / PSA 9 upside</x:v>
      </x:c>
      <x:c r="Q653" t="n">
        <x:v>120</x:v>
      </x:c>
      <x:c r="R653" t="n">
        <x:v>230</x:v>
      </x:c>
      <x:c r="S653" t="n">
        <x:v>175</x:v>
      </x:c>
      <x:c r="T653" t="str">
        <x:v>Plasma Freeze Latios-EX 113/116 Full Art Ultra Rare. TCGplayer market is currently about $230; recent raw/NM sales have ranged from roughly $100–200+, including NM sales around $122.50–159.50 and higher. Working clean/NM range $120–230. Manual grading session 2026-08-17 — Latios-EX 113/116 copy 1. Centering 10 (52/48 L-R, 55/45 T-B); corners 9; edges 8 due multiple visible left-side reverse dings/notches; surface 9–10. Odds: PSA 7 ~7%, PSA 8 ~60%, PSA 9 ~32%, PSA 10 ~1%.</x:v>
      </x:c>
      <x:c r="U653" t="n">
        <x:v>987</x:v>
      </x:c>
      <x:c r="V653" t="str">
        <x:v>Current chat continuation / researched 2026-08-16</x:v>
      </x:c>
      <x:c r="W653" t="str">
        <x:v>https://www.pricecharting.com/game/pokemon-plasma-freeze/latios-ex-113</x:v>
      </x:c>
    </x:row>
    <x:row r="654">
      <x:c r="A654" t="n">
        <x:v>653</x:v>
      </x:c>
      <x:c r="B654" t="str">
        <x:v>EX / Full Art</x:v>
      </x:c>
      <x:c r="C654" t="str">
        <x:v>Emolga</x:v>
      </x:c>
      <x:c r="D654" t="str">
        <x:v>RC23/RC25</x:v>
      </x:c>
      <x:c r="E654" t="str">
        <x:v>Legendary Treasures: Radiant Collection</x:v>
      </x:c>
      <x:c r="F654" t="n">
        <x:v>2013</x:v>
      </x:c>
      <x:c r="G654" t="str">
        <x:v>Full Art Holo Ultra Rare</x:v>
      </x:c>
      <x:c r="H654" t="str">
        <x:v>2 of 4</x:v>
      </x:c>
      <x:c r="I654" t="n">
        <x:v>45</x:v>
      </x:c>
      <x:c r="J654" t="n">
        <x:v>90</x:v>
      </x:c>
      <x:c r="K654" t="n">
        <x:v>67.5</x:v>
      </x:c>
      <x:c r="L654" t="str">
        <x:v>$20+</x:v>
      </x:c>
      <x:c r="M654" t="str">
        <x:v>Yes</x:v>
      </x:c>
      <x:c r="N654" t="str">
        <x:v>Yes</x:v>
      </x:c>
      <x:c r="O654" t="str">
        <x:v>Yes</x:v>
      </x:c>
      <x:c r="P654" t="str">
        <x:v>Clean/NM benchmark unless noted</x:v>
      </x:c>
      <x:c r="Q654" t="n">
        <x:v>45</x:v>
      </x:c>
      <x:c r="R654" t="n">
        <x:v>90</x:v>
      </x:c>
      <x:c r="S654" t="n">
        <x:v>67.5</x:v>
      </x:c>
      <x:c r="T654" t="str">
        <x:v>Second physical copy of Legendary Treasures Radiant Collection Emolga RC23/RC25 Full Art Ultra Rare. Using the same current clean/NM benchmark as the first copy: $45–90.</x:v>
      </x:c>
      <x:c r="U654" t="n">
        <x:v>988</x:v>
      </x:c>
      <x:c r="V654" t="str">
        <x:v>Current chat continuation / duplicate addition 2026-08-16</x:v>
      </x:c>
      <x:c r="W654" t="str">
        <x:v>https://www.pricecharting.com/game/pokemon-legendary-treasures/emolga-rc23</x:v>
      </x:c>
    </x:row>
    <x:row r="655">
      <x:c r="A655" t="n">
        <x:v>654</x:v>
      </x:c>
      <x:c r="B655" t="str">
        <x:v>LEGEND / Special</x:v>
      </x:c>
      <x:c r="C655" t="str">
        <x:v>Suicune &amp; Entei LEGEND</x:v>
      </x:c>
      <x:c r="D655" t="str">
        <x:v>94/95</x:v>
      </x:c>
      <x:c r="E655" t="str">
        <x:v>World Championships 2011</x:v>
      </x:c>
      <x:c r="F655" t="n">
        <x:v>2011</x:v>
      </x:c>
      <x:c r="G655" t="str">
        <x:v>World Championships — Ross Cawthon / The Truth (Top Half)</x:v>
      </x:c>
      <x:c r="H655" t="str">
        <x:v>1 of 1</x:v>
      </x:c>
      <x:c r="I655" t="n">
        <x:v>30</x:v>
      </x:c>
      <x:c r="J655" t="n">
        <x:v>45</x:v>
      </x:c>
      <x:c r="K655" t="n">
        <x:v>37.5</x:v>
      </x:c>
      <x:c r="L655" t="str">
        <x:v>$20+</x:v>
      </x:c>
      <x:c r="M655" t="str">
        <x:v>Yes</x:v>
      </x:c>
      <x:c r="N655" t="str">
        <x:v>Yes</x:v>
      </x:c>
      <x:c r="O655" t="str">
        <x:v>Yes</x:v>
      </x:c>
      <x:c r="P655" t="str">
        <x:v>Clean/NM benchmark unless noted</x:v>
      </x:c>
      <x:c r="Q655" t="n">
        <x:v>30</x:v>
      </x:c>
      <x:c r="R655" t="n">
        <x:v>45</x:v>
      </x:c>
      <x:c r="S655" t="n">
        <x:v>37.5</x:v>
      </x:c>
      <x:c r="T655" t="str">
        <x:v>2011 World Championships Ross Cawthon ('The Truth') Suicune &amp; Entei LEGEND 94/95 top half. This completes the user's WC pair with the already-logged 95/95 bottom half. PriceCharting currently estimates ungraded around $36 and TCGplayer market is about $36.93. Working clean/NM range $30–45.</x:v>
      </x:c>
      <x:c r="U655" t="n">
        <x:v>989</x:v>
      </x:c>
      <x:c r="V655" t="str">
        <x:v>Current chat continuation / researched 2026-08-16</x:v>
      </x:c>
      <x:c r="W655" t="str">
        <x:v>https://www.pricecharting.com/game/pokemon-world-championships-2011/suicune-%26-entei-legend-ross-cawthon-94</x:v>
      </x:c>
    </x:row>
    <x:row r="656">
      <x:c r="A656" t="n">
        <x:v>655</x:v>
      </x:c>
      <x:c r="B656" t="str">
        <x:v>Post-Dragon / Mixed Pokémon</x:v>
      </x:c>
      <x:c r="C656" t="str">
        <x:v>Pikachu δ</x:v>
      </x:c>
      <x:c r="D656" t="str">
        <x:v>93/92</x:v>
      </x:c>
      <x:c r="E656" t="str">
        <x:v>EX Legend Maker</x:v>
      </x:c>
      <x:c r="F656" t="n">
        <x:v>2006</x:v>
      </x:c>
      <x:c r="G656" t="str">
        <x:v>Holo Secret Rare (Delta Species — Metal type)</x:v>
      </x:c>
      <x:c r="H656" t="str">
        <x:v>1 of 1</x:v>
      </x:c>
      <x:c r="I656" t="n">
        <x:v>180</x:v>
      </x:c>
      <x:c r="J656" t="n">
        <x:v>325</x:v>
      </x:c>
      <x:c r="K656" t="n">
        <x:v>252.5</x:v>
      </x:c>
      <x:c r="L656" t="str">
        <x:v>$20+</x:v>
      </x:c>
      <x:c r="M656" t="str">
        <x:v>Yes</x:v>
      </x:c>
      <x:c r="N656" t="str">
        <x:v>Yes</x:v>
      </x:c>
      <x:c r="O656" t="str">
        <x:v>Yes</x:v>
      </x:c>
      <x:c r="P656" t="str">
        <x:v>Damaged / absolutely mangled per user</x:v>
      </x:c>
      <x:c r="Q656" t="n">
        <x:v>75</x:v>
      </x:c>
      <x:c r="R656" t="n">
        <x:v>110</x:v>
      </x:c>
      <x:c r="S656" t="n">
        <x:v>92.5</x:v>
      </x:c>
      <x:c r="T656" t="str">
        <x:v>EX Legend Maker Pikachu δ 93/92 secret rare holo. Current PriceCharting ungraded guide is about $194, while recent 2026 NM/NM-LP raw sales include roughly $300–350. Recent damaged/heavily-played sales include about $100 DMG and roughly $100–150 HP. Because the user describes this copy as absolutely mangled, working as-is range is set conservatively at $75–110 pending photos.</x:v>
      </x:c>
      <x:c r="U656" t="n">
        <x:v>990</x:v>
      </x:c>
      <x:c r="V656" t="str">
        <x:v>Current chat continuation / researched 2026-08-16</x:v>
      </x:c>
      <x:c r="W656" t="str">
        <x:v>https://www.pricecharting.com/game/pokemon-legend-maker/pikachu-93</x:v>
      </x:c>
    </x:row>
    <x:row r="657">
      <x:c r="A657" t="n">
        <x:v>656</x:v>
      </x:c>
      <x:c r="B657" t="str">
        <x:v>PDF Import / Added Cards</x:v>
      </x:c>
      <x:c r="C657" t="str">
        <x:v>Rayquaza-EX</x:v>
      </x:c>
      <x:c r="D657" t="str">
        <x:v>BW47</x:v>
      </x:c>
      <x:c r="E657" t="str">
        <x:v>Promo</x:v>
      </x:c>
      <x:c r="F657"/>
      <x:c r="G657" t="str">
        <x:v>Holo EX</x:v>
      </x:c>
      <x:c r="H657" t="str">
        <x:v>1 of 2</x:v>
      </x:c>
      <x:c r="I657" t="n">
        <x:v>35</x:v>
      </x:c>
      <x:c r="J657" t="n">
        <x:v>45</x:v>
      </x:c>
      <x:c r="K657" t="n">
        <x:v>40</x:v>
      </x:c>
      <x:c r="L657" t="str">
        <x:v>$20+</x:v>
      </x:c>
      <x:c r="M657" t="str">
        <x:v>Yes</x:v>
      </x:c>
      <x:c r="N657" t="str">
        <x:v>Yes</x:v>
      </x:c>
      <x:c r="O657" t="str">
        <x:v>Yes</x:v>
      </x:c>
      <x:c r="P657" t="str">
        <x:v>Manual pre-grade: PSA 8 most likely</x:v>
      </x:c>
      <x:c r="Q657" t="n">
        <x:v>35</x:v>
      </x:c>
      <x:c r="R657" t="n">
        <x:v>45</x:v>
      </x:c>
      <x:c r="S657" t="n">
        <x:v>40</x:v>
      </x:c>
      <x:c r="T657" t="str">
        <x:v>Rayquaza-EX BW47 copy 1 of 2. Manual grading session 2026-08-18: centering PSA 10 (app: 52/48 L-R, 53.4/46.6 T-B); corners PSA 8–9; edges PSA 8 due repeated reverse bottom-edge whitening/chipping plus smaller side-edge touches; surface PSA 9 with no obvious dent, crease, or major scratch in supplied angled photos. Overall PSA 8 most likely. Strict odds: PSA 7 ~24%, PSA 8 ~72%, PSA 9 ~4%, PSA 10 ~0%.</x:v>
      </x:c>
      <x:c r="U657" t="n">
        <x:v>991</x:v>
      </x:c>
      <x:c r="V657" t="str">
        <x:v>TCGplayer + PriceCharting + PSA/Collectors, researched 2026-08-18</x:v>
      </x:c>
      <x:c r="W657" t="str">
        <x:v>https://www.pricecharting.com/game/pokemon-promo/rayquaza-ex-bw47</x:v>
      </x:c>
    </x:row>
    <x:row r="658">
      <x:c r="A658" t="n">
        <x:v>657</x:v>
      </x:c>
      <x:c r="B658" t="str">
        <x:v>PDF Import / Added Cards</x:v>
      </x:c>
      <x:c r="C658" t="str">
        <x:v>Rayquaza-EX</x:v>
      </x:c>
      <x:c r="D658" t="str">
        <x:v>BW47</x:v>
      </x:c>
      <x:c r="E658" t="str">
        <x:v>Promo</x:v>
      </x:c>
      <x:c r="F658"/>
      <x:c r="G658" t="str">
        <x:v>Holo EX</x:v>
      </x:c>
      <x:c r="H658" t="str">
        <x:v>2 of 2</x:v>
      </x:c>
      <x:c r="I658" t="n">
        <x:v>35</x:v>
      </x:c>
      <x:c r="J658" t="n">
        <x:v>45</x:v>
      </x:c>
      <x:c r="K658" t="n">
        <x:v>40</x:v>
      </x:c>
      <x:c r="L658" t="str">
        <x:v>$20+</x:v>
      </x:c>
      <x:c r="M658" t="str">
        <x:v>Yes</x:v>
      </x:c>
      <x:c r="N658" t="str">
        <x:v>Yes</x:v>
      </x:c>
      <x:c r="O658" t="str">
        <x:v>Yes</x:v>
      </x:c>
      <x:c r="P658" t="str">
        <x:v>Manual pre-grade: PSA 6 most likely</x:v>
      </x:c>
      <x:c r="Q658" t="n">
        <x:v>35</x:v>
      </x:c>
      <x:c r="R658" t="n">
        <x:v>45</x:v>
      </x:c>
      <x:c r="S658" t="n">
        <x:v>40</x:v>
      </x:c>
      <x:c r="T658" t="str">
        <x:v>Rayquaza-EX BW47 copy 2 of 2. Manual grading session 2026-08-18: centering conservatively PSA 9 pending app verification; corners PSA 7; edges PSA 6 due heavy cumulative reverse perimeter whitening/chipping, especially the bottom edge plus multiple top/side flecks; surface PSA 9 with no obvious crease, dent, or major front scratch in supplied angles. Overall PSA 6 most likely. Strict odds: PSA 5 ~25%, PSA 6 ~55%, PSA 7 ~18%, PSA 8 ~2%, PSA 9/10 ~0%.</x:v>
      </x:c>
      <x:c r="U658" t="n">
        <x:v>991</x:v>
      </x:c>
      <x:c r="V658" t="str">
        <x:v>TCGplayer + PriceCharting + PSA/Collectors, researched 2026-08-18</x:v>
      </x:c>
      <x:c r="W658" t="str">
        <x:v>https://www.pricecharting.com/game/pokemon-promo/rayquaza-ex-bw47</x:v>
      </x:c>
    </x:row>
    <x:row r="659">
      <x:c r="A659" t="n">
        <x:v>658</x:v>
      </x:c>
      <x:c r="B659" t="str">
        <x:v>PDF Import / Added Cards</x:v>
      </x:c>
      <x:c r="C659" t="str">
        <x:v>Crobat</x:v>
      </x:c>
      <x:c r="D659" t="str">
        <x:v>84/95</x:v>
      </x:c>
      <x:c r="E659" t="str">
        <x:v>Unleashed</x:v>
      </x:c>
      <x:c r="F659" t="n">
        <x:v>2010</x:v>
      </x:c>
      <x:c r="G659" t="str">
        <x:v>Prime Holo</x:v>
      </x:c>
      <x:c r="H659" t="str">
        <x:v>1 of 1</x:v>
      </x:c>
      <x:c r="I659" t="n">
        <x:v>55</x:v>
      </x:c>
      <x:c r="J659" t="n">
        <x:v>80</x:v>
      </x:c>
      <x:c r="K659" t="n">
        <x:v>67.5</x:v>
      </x:c>
      <x:c r="L659" t="str">
        <x:v>$20+</x:v>
      </x:c>
      <x:c r="M659" t="str">
        <x:v>Yes</x:v>
      </x:c>
      <x:c r="N659" t="str">
        <x:v>Yes</x:v>
      </x:c>
      <x:c r="O659" t="str">
        <x:v>Yes</x:v>
      </x:c>
      <x:c r="P659" t="str">
        <x:v>Condition not yet reviewed</x:v>
      </x:c>
      <x:c r="Q659" t="n">
        <x:v>55</x:v>
      </x:c>
      <x:c r="R659" t="n">
        <x:v>80</x:v>
      </x:c>
      <x:c r="S659" t="n">
        <x:v>67.5</x:v>
      </x:c>
      <x:c r="T659" t="str">
        <x:v>Imported from user's PriceCharting Collection.pdf, page 2. PDF row value $48.50; quantity 1; per-card allocation $48.50. Imported value is carried exactly from the PDF and has not been independently repriced. EXTERNAL REPRICE (2026-08-17): TCGplayer market about $61; recent NM sale near $85; working range avoids anchoring to one sale.</x:v>
      </x:c>
      <x:c r="U659" t="n">
        <x:v>991</x:v>
      </x:c>
      <x:c r="V659" t="str">
        <x:v>Collection.pdf + current TCGplayer/cross-market research 2026-08-17</x:v>
      </x:c>
      <x:c r="W659" t="str">
        <x:v>https://www.tcgplayer.com/search/pokemon/product?q=Crobat+%2384+Unleashed</x:v>
      </x:c>
    </x:row>
    <x:row r="660">
      <x:c r="A660" t="n">
        <x:v>659</x:v>
      </x:c>
      <x:c r="B660" t="str">
        <x:v>PDF Import / Added Cards</x:v>
      </x:c>
      <x:c r="C660" t="str">
        <x:v>Darkrai LV.X</x:v>
      </x:c>
      <x:c r="D660" t="str">
        <x:v>104/106</x:v>
      </x:c>
      <x:c r="E660" t="str">
        <x:v>Great Encounters</x:v>
      </x:c>
      <x:c r="F660" t="n">
        <x:v>2008</x:v>
      </x:c>
      <x:c r="G660" t="str">
        <x:v>Holofoil LV.X</x:v>
      </x:c>
      <x:c r="H660" t="str">
        <x:v>1 of 1</x:v>
      </x:c>
      <x:c r="I660" t="n">
        <x:v>60</x:v>
      </x:c>
      <x:c r="J660" t="n">
        <x:v>130</x:v>
      </x:c>
      <x:c r="K660" t="n">
        <x:v>95</x:v>
      </x:c>
      <x:c r="L660" t="str">
        <x:v>$20+</x:v>
      </x:c>
      <x:c r="M660" t="str">
        <x:v>Yes</x:v>
      </x:c>
      <x:c r="N660" t="str">
        <x:v>Yes</x:v>
      </x:c>
      <x:c r="O660" t="str">
        <x:v>Yes</x:v>
      </x:c>
      <x:c r="P660" t="str">
        <x:v>Condition not yet reviewed</x:v>
      </x:c>
      <x:c r="Q660" t="n">
        <x:v>60</x:v>
      </x:c>
      <x:c r="R660" t="n">
        <x:v>130</x:v>
      </x:c>
      <x:c r="S660" t="n">
        <x:v>95</x:v>
      </x:c>
      <x:c r="T660" t="str">
        <x:v>Imported from user's PriceCharting Collection.pdf, page 2. PDF row value $50.00; quantity 1; per-card allocation $50.00. Imported value is carried exactly from the PDF and has not been independently repriced. EXTERNAL REPRICE (2026-08-17): Market is unusually split: TCGplayer headline near $184, other current cross-market signals around the low-$60s; deliberately wide range.</x:v>
      </x:c>
      <x:c r="U660" t="n">
        <x:v>991</x:v>
      </x:c>
      <x:c r="V660" t="str">
        <x:v>Collection.pdf + current TCGplayer/cross-market research 2026-08-17</x:v>
      </x:c>
      <x:c r="W660" t="str">
        <x:v>https://www.tcgplayer.com/search/pokemon/product?q=Darkrai+LV.+X+%23104+Great+Encounters</x:v>
      </x:c>
    </x:row>
    <x:row r="661">
      <x:c r="A661" t="n">
        <x:v>660</x:v>
      </x:c>
      <x:c r="B661" t="str">
        <x:v>PDF Import / Added Cards</x:v>
      </x:c>
      <x:c r="C661" t="str">
        <x:v>Krookodile-EX</x:v>
      </x:c>
      <x:c r="D661" t="str">
        <x:v>XY25</x:v>
      </x:c>
      <x:c r="E661" t="str">
        <x:v>Promo</x:v>
      </x:c>
      <x:c r="F661"/>
      <x:c r="G661" t="str">
        <x:v>Holo EX</x:v>
      </x:c>
      <x:c r="H661" t="str">
        <x:v>1 of 1</x:v>
      </x:c>
      <x:c r="I661" t="n">
        <x:v>9</x:v>
      </x:c>
      <x:c r="J661" t="n">
        <x:v>13</x:v>
      </x:c>
      <x:c r="K661" t="n">
        <x:v>11</x:v>
      </x:c>
      <x:c r="L661" t="str">
        <x:v>$5–20</x:v>
      </x:c>
      <x:c r="M661" t="str">
        <x:v>Yes</x:v>
      </x:c>
      <x:c r="N661" t="str">
        <x:v>No</x:v>
      </x:c>
      <x:c r="O661" t="str">
        <x:v>Yes</x:v>
      </x:c>
      <x:c r="P661" t="str">
        <x:v>Condition not yet reviewed</x:v>
      </x:c>
      <x:c r="Q661" t="n">
        <x:v>9</x:v>
      </x:c>
      <x:c r="R661" t="n">
        <x:v>13</x:v>
      </x:c>
      <x:c r="S661" t="n">
        <x:v>11</x:v>
      </x:c>
      <x:c r="T661" t="str">
        <x:v>Imported from user's PriceCharting Collection.pdf, page 2. PDF row value $3.99; quantity 1; per-card allocation $3.99. Imported value is carried exactly from the PDF and has not been independently repriced. EXTERNAL REPRICE (2026-08-17): Current TCGplayer/PokeScope signals roughly $10–13.</x:v>
      </x:c>
      <x:c r="U661" t="n">
        <x:v>991</x:v>
      </x:c>
      <x:c r="V661" t="str">
        <x:v>Collection.pdf + current TCGplayer/cross-market research 2026-08-17</x:v>
      </x:c>
      <x:c r="W661" t="str">
        <x:v>https://www.tcgplayer.com/search/pokemon/product?q=Krookodile+EX+%23XY25+Promo</x:v>
      </x:c>
    </x:row>
    <x:row r="662">
      <x:c r="A662" t="n">
        <x:v>661</x:v>
      </x:c>
      <x:c r="B662" t="str">
        <x:v>PDF Import / Added Cards</x:v>
      </x:c>
      <x:c r="C662" t="str">
        <x:v>Articuno</x:v>
      </x:c>
      <x:c r="D662" t="str">
        <x:v>16/147</x:v>
      </x:c>
      <x:c r="E662" t="str">
        <x:v>Supreme Victors</x:v>
      </x:c>
      <x:c r="F662" t="n">
        <x:v>2009</x:v>
      </x:c>
      <x:c r="G662" t="str">
        <x:v>As listed in PriceCharting PDF; foil unspecified</x:v>
      </x:c>
      <x:c r="H662" t="str">
        <x:v>1 of 1</x:v>
      </x:c>
      <x:c r="I662" t="n">
        <x:v>9</x:v>
      </x:c>
      <x:c r="J662" t="n">
        <x:v>13</x:v>
      </x:c>
      <x:c r="K662" t="n">
        <x:v>11</x:v>
      </x:c>
      <x:c r="L662" t="str">
        <x:v>$5–20</x:v>
      </x:c>
      <x:c r="M662" t="str">
        <x:v>Yes</x:v>
      </x:c>
      <x:c r="N662" t="str">
        <x:v>No</x:v>
      </x:c>
      <x:c r="O662" t="str">
        <x:v>Yes</x:v>
      </x:c>
      <x:c r="P662" t="str">
        <x:v>Condition not yet reviewed</x:v>
      </x:c>
      <x:c r="Q662" t="n">
        <x:v>9</x:v>
      </x:c>
      <x:c r="R662" t="n">
        <x:v>13</x:v>
      </x:c>
      <x:c r="S662" t="n">
        <x:v>11</x:v>
      </x:c>
      <x:c r="T662" t="str">
        <x:v>Imported from user's PriceCharting Collection.pdf, page 2. PDF row value $9.00; quantity 1; per-card allocation $9.00. Imported value is carried exactly from the PDF and has not been independently repriced. EXTERNAL REPRICE (2026-08-17): Current TCGplayer/PokeScope/PokeData signals roughly $10–12.</x:v>
      </x:c>
      <x:c r="U662" t="n">
        <x:v>991</x:v>
      </x:c>
      <x:c r="V662" t="str">
        <x:v>Collection.pdf + current TCGplayer/cross-market research 2026-08-17</x:v>
      </x:c>
      <x:c r="W662" t="str">
        <x:v>https://www.tcgplayer.com/search/pokemon/product?q=Articuno+%2316+Supreme+Victors</x:v>
      </x:c>
    </x:row>
    <x:row r="663">
      <x:c r="A663" t="n">
        <x:v>662</x:v>
      </x:c>
      <x:c r="B663" t="str">
        <x:v>PDF Import / Added Cards</x:v>
      </x:c>
      <x:c r="C663" t="str">
        <x:v>Registeel-EX</x:v>
      </x:c>
      <x:c r="D663" t="str">
        <x:v>81/124</x:v>
      </x:c>
      <x:c r="E663" t="str">
        <x:v>Dragons Exalted</x:v>
      </x:c>
      <x:c r="F663" t="n">
        <x:v>2012</x:v>
      </x:c>
      <x:c r="G663" t="str">
        <x:v>Holo EX</x:v>
      </x:c>
      <x:c r="H663" t="str">
        <x:v>1 of 1</x:v>
      </x:c>
      <x:c r="I663" t="n">
        <x:v>11</x:v>
      </x:c>
      <x:c r="J663" t="n">
        <x:v>15</x:v>
      </x:c>
      <x:c r="K663" t="n">
        <x:v>13</x:v>
      </x:c>
      <x:c r="L663" t="str">
        <x:v>$5–20</x:v>
      </x:c>
      <x:c r="M663" t="str">
        <x:v>Yes</x:v>
      </x:c>
      <x:c r="N663" t="str">
        <x:v>No</x:v>
      </x:c>
      <x:c r="O663" t="str">
        <x:v>Yes</x:v>
      </x:c>
      <x:c r="P663" t="str">
        <x:v>Condition not yet reviewed</x:v>
      </x:c>
      <x:c r="Q663" t="n">
        <x:v>11</x:v>
      </x:c>
      <x:c r="R663" t="n">
        <x:v>15</x:v>
      </x:c>
      <x:c r="S663" t="n">
        <x:v>13</x:v>
      </x:c>
      <x:c r="T663" t="str">
        <x:v>Imported from user's PriceCharting Collection.pdf, page 2. PDF row value $7.81; quantity 1; per-card allocation $7.81. Imported value is carried exactly from the PDF and has not been independently repriced. EXTERNAL REPRICE (2026-08-17): Current TCGplayer/PokeScope roughly $12–14.</x:v>
      </x:c>
      <x:c r="U663" t="n">
        <x:v>991</x:v>
      </x:c>
      <x:c r="V663" t="str">
        <x:v>Collection.pdf + current TCGplayer/cross-market research 2026-08-17</x:v>
      </x:c>
      <x:c r="W663" t="str">
        <x:v>https://www.tcgplayer.com/search/pokemon/product?q=Registeel+EX+%2381+Dragons+Exalted</x:v>
      </x:c>
    </x:row>
    <x:row r="664">
      <x:c r="A664" t="n">
        <x:v>663</x:v>
      </x:c>
      <x:c r="B664" t="str">
        <x:v>PDF Import / Added Cards</x:v>
      </x:c>
      <x:c r="C664" t="str">
        <x:v>Charizard</x:v>
      </x:c>
      <x:c r="D664" t="str">
        <x:v>20/149</x:v>
      </x:c>
      <x:c r="E664" t="str">
        <x:v>Boundaries Crossed</x:v>
      </x:c>
      <x:c r="F664" t="n">
        <x:v>2012</x:v>
      </x:c>
      <x:c r="G664" t="str">
        <x:v>As listed in PriceCharting PDF; foil unspecified</x:v>
      </x:c>
      <x:c r="H664" t="str">
        <x:v>1 of 1</x:v>
      </x:c>
      <x:c r="I664" t="n">
        <x:v>35</x:v>
      </x:c>
      <x:c r="J664" t="n">
        <x:v>55</x:v>
      </x:c>
      <x:c r="K664" t="n">
        <x:v>45</x:v>
      </x:c>
      <x:c r="L664" t="str">
        <x:v>$20+</x:v>
      </x:c>
      <x:c r="M664" t="str">
        <x:v>Yes</x:v>
      </x:c>
      <x:c r="N664" t="str">
        <x:v>Yes</x:v>
      </x:c>
      <x:c r="O664" t="str">
        <x:v>Yes</x:v>
      </x:c>
      <x:c r="P664" t="str">
        <x:v>Condition not yet reviewed</x:v>
      </x:c>
      <x:c r="Q664" t="n">
        <x:v>35</x:v>
      </x:c>
      <x:c r="R664" t="n">
        <x:v>55</x:v>
      </x:c>
      <x:c r="S664" t="n">
        <x:v>45</x:v>
      </x:c>
      <x:c r="T664" t="str">
        <x:v>Imported from user's PriceCharting Collection.pdf, page 3. PDF row value $25.13; quantity 1; per-card allocation $25.13. Imported value is carried exactly from the PDF and has not been independently repriced. EXTERNAL REPRICE (2026-08-17): Current TCGplayer market in the low/mid-$40s with recent NM sales spanning roughly $30–65.</x:v>
      </x:c>
      <x:c r="U664" t="n">
        <x:v>991</x:v>
      </x:c>
      <x:c r="V664" t="str">
        <x:v>Collection.pdf + current TCGplayer/cross-market research 2026-08-17</x:v>
      </x:c>
      <x:c r="W664" t="str">
        <x:v>https://www.tcgplayer.com/search/pokemon/product?q=Charizard+%2320+Boundaries+Crossed</x:v>
      </x:c>
    </x:row>
    <x:row r="665">
      <x:c r="A665" t="n">
        <x:v>664</x:v>
      </x:c>
      <x:c r="B665" t="str">
        <x:v>PDF Import / Added Cards</x:v>
      </x:c>
      <x:c r="C665" t="str">
        <x:v>Kingdra</x:v>
      </x:c>
      <x:c r="D665" t="str">
        <x:v>8/111</x:v>
      </x:c>
      <x:c r="E665" t="str">
        <x:v>Neo Genesis</x:v>
      </x:c>
      <x:c r="F665" t="n">
        <x:v>2000</x:v>
      </x:c>
      <x:c r="G665" t="str">
        <x:v>As listed in PriceCharting PDF; foil unspecified</x:v>
      </x:c>
      <x:c r="H665" t="str">
        <x:v>1 of 1</x:v>
      </x:c>
      <x:c r="I665" t="n">
        <x:v>18</x:v>
      </x:c>
      <x:c r="J665" t="n">
        <x:v>28</x:v>
      </x:c>
      <x:c r="K665" t="n">
        <x:v>23</x:v>
      </x:c>
      <x:c r="L665" t="str">
        <x:v>$20+</x:v>
      </x:c>
      <x:c r="M665" t="str">
        <x:v>Yes</x:v>
      </x:c>
      <x:c r="N665" t="str">
        <x:v>Yes</x:v>
      </x:c>
      <x:c r="O665" t="str">
        <x:v>Yes</x:v>
      </x:c>
      <x:c r="P665" t="str">
        <x:v>Condition not yet reviewed</x:v>
      </x:c>
      <x:c r="Q665" t="n">
        <x:v>18</x:v>
      </x:c>
      <x:c r="R665" t="n">
        <x:v>28</x:v>
      </x:c>
      <x:c r="S665" t="n">
        <x:v>23</x:v>
      </x:c>
      <x:c r="T665" t="str">
        <x:v>Imported from user's PriceCharting Collection.pdf, page 3. PDF row value $15.60; quantity 1; per-card allocation $15.60. Imported value is carried exactly from the PDF and has not been independently repriced. EXTERNAL REPRICE (2026-08-17): Recent NM sales and current secondary-market checks cluster around low/mid-$20s.</x:v>
      </x:c>
      <x:c r="U665" t="n">
        <x:v>991</x:v>
      </x:c>
      <x:c r="V665" t="str">
        <x:v>Collection.pdf + current TCGplayer/cross-market research 2026-08-17</x:v>
      </x:c>
      <x:c r="W665" t="str">
        <x:v>https://www.tcgplayer.com/search/pokemon/product?q=Kingdra+%238+Neo+Genesis</x:v>
      </x:c>
    </x:row>
    <x:row r="666">
      <x:c r="A666" t="n">
        <x:v>665</x:v>
      </x:c>
      <x:c r="B666" t="str">
        <x:v>PDF Import / Added Cards</x:v>
      </x:c>
      <x:c r="C666" t="str">
        <x:v>Light Togetic</x:v>
      </x:c>
      <x:c r="D666" t="str">
        <x:v>15/105</x:v>
      </x:c>
      <x:c r="E666" t="str">
        <x:v>Neo Destiny</x:v>
      </x:c>
      <x:c r="F666" t="n">
        <x:v>2002</x:v>
      </x:c>
      <x:c r="G666" t="str">
        <x:v>As listed in PriceCharting PDF; foil unspecified</x:v>
      </x:c>
      <x:c r="H666" t="str">
        <x:v>1 of 1</x:v>
      </x:c>
      <x:c r="I666" t="n">
        <x:v>55</x:v>
      </x:c>
      <x:c r="J666" t="n">
        <x:v>85</x:v>
      </x:c>
      <x:c r="K666" t="n">
        <x:v>70</x:v>
      </x:c>
      <x:c r="L666" t="str">
        <x:v>$20+</x:v>
      </x:c>
      <x:c r="M666" t="str">
        <x:v>Yes</x:v>
      </x:c>
      <x:c r="N666" t="str">
        <x:v>Yes</x:v>
      </x:c>
      <x:c r="O666" t="str">
        <x:v>Yes</x:v>
      </x:c>
      <x:c r="P666" t="str">
        <x:v>Condition not yet reviewed</x:v>
      </x:c>
      <x:c r="Q666" t="n">
        <x:v>55</x:v>
      </x:c>
      <x:c r="R666" t="n">
        <x:v>85</x:v>
      </x:c>
      <x:c r="S666" t="n">
        <x:v>70</x:v>
      </x:c>
      <x:c r="T666" t="str">
        <x:v>Imported from user's PriceCharting Collection.pdf, page 3. PDF row value $71.00; quantity 1; per-card allocation $71.00. Imported value is carried exactly from the PDF and has not been independently repriced. EXTERNAL REPRICE (2026-08-17): Current market near $70 with recent raw sales roughly $60–100; range trimmed for clean/NM.</x:v>
      </x:c>
      <x:c r="U666" t="n">
        <x:v>991</x:v>
      </x:c>
      <x:c r="V666" t="str">
        <x:v>Collection.pdf + current TCGplayer/cross-market research 2026-08-17</x:v>
      </x:c>
      <x:c r="W666" t="str">
        <x:v>https://www.tcgplayer.com/search/pokemon/product?q=Light+Togetic+%2315+Neo+Destiny</x:v>
      </x:c>
    </x:row>
    <x:row r="667">
      <x:c r="A667" t="n">
        <x:v>666</x:v>
      </x:c>
      <x:c r="B667" t="str">
        <x:v>PDF Import / Added Cards</x:v>
      </x:c>
      <x:c r="C667" t="str">
        <x:v>Palkia</x:v>
      </x:c>
      <x:c r="D667" t="str">
        <x:v>19/95</x:v>
      </x:c>
      <x:c r="E667" t="str">
        <x:v>Call of Legends</x:v>
      </x:c>
      <x:c r="F667" t="n">
        <x:v>2011</x:v>
      </x:c>
      <x:c r="G667" t="str">
        <x:v>As listed in PriceCharting PDF; foil unspecified</x:v>
      </x:c>
      <x:c r="H667" t="str">
        <x:v>1 of 1</x:v>
      </x:c>
      <x:c r="I667" t="n">
        <x:v>12</x:v>
      </x:c>
      <x:c r="J667" t="n">
        <x:v>22</x:v>
      </x:c>
      <x:c r="K667" t="n">
        <x:v>17</x:v>
      </x:c>
      <x:c r="L667" t="str">
        <x:v>$5–20</x:v>
      </x:c>
      <x:c r="M667" t="str">
        <x:v>Yes</x:v>
      </x:c>
      <x:c r="N667" t="str">
        <x:v>No</x:v>
      </x:c>
      <x:c r="O667" t="str">
        <x:v>Yes</x:v>
      </x:c>
      <x:c r="P667" t="str">
        <x:v>Condition not yet reviewed</x:v>
      </x:c>
      <x:c r="Q667" t="n">
        <x:v>12</x:v>
      </x:c>
      <x:c r="R667" t="n">
        <x:v>22</x:v>
      </x:c>
      <x:c r="S667" t="n">
        <x:v>17</x:v>
      </x:c>
      <x:c r="T667" t="str">
        <x:v>Imported from user's PriceCharting Collection.pdf, page 3. PDF row value $10.00; quantity 1; per-card allocation $10.00. Imported value is carried exactly from the PDF and has not been independently repriced. EXTERNAL REPRICE (2026-08-17): Current TCGplayer/PokeScope market around $19 with recent sales in the low-to-high teens.</x:v>
      </x:c>
      <x:c r="U667" t="n">
        <x:v>991</x:v>
      </x:c>
      <x:c r="V667" t="str">
        <x:v>Collection.pdf + current TCGplayer/cross-market research 2026-08-17</x:v>
      </x:c>
      <x:c r="W667" t="str">
        <x:v>https://www.tcgplayer.com/search/pokemon/product?q=Palkia+%2319+Call+of+Legends</x:v>
      </x:c>
    </x:row>
    <x:row r="668">
      <x:c r="A668" t="n">
        <x:v>667</x:v>
      </x:c>
      <x:c r="B668" t="str">
        <x:v>PDF Import / Added Cards</x:v>
      </x:c>
      <x:c r="C668" t="str">
        <x:v>Jirachi</x:v>
      </x:c>
      <x:c r="D668" t="str">
        <x:v>11/95</x:v>
      </x:c>
      <x:c r="E668" t="str">
        <x:v>Call of Legends</x:v>
      </x:c>
      <x:c r="F668" t="n">
        <x:v>2011</x:v>
      </x:c>
      <x:c r="G668" t="str">
        <x:v>As listed in PriceCharting PDF; foil unspecified</x:v>
      </x:c>
      <x:c r="H668" t="str">
        <x:v>1 of 1</x:v>
      </x:c>
      <x:c r="I668" t="n">
        <x:v>28</x:v>
      </x:c>
      <x:c r="J668" t="n">
        <x:v>40</x:v>
      </x:c>
      <x:c r="K668" t="n">
        <x:v>34</x:v>
      </x:c>
      <x:c r="L668" t="str">
        <x:v>$20+</x:v>
      </x:c>
      <x:c r="M668" t="str">
        <x:v>Yes</x:v>
      </x:c>
      <x:c r="N668" t="str">
        <x:v>Yes</x:v>
      </x:c>
      <x:c r="O668" t="str">
        <x:v>Yes</x:v>
      </x:c>
      <x:c r="P668" t="str">
        <x:v>Condition not yet reviewed</x:v>
      </x:c>
      <x:c r="Q668" t="n">
        <x:v>28</x:v>
      </x:c>
      <x:c r="R668" t="n">
        <x:v>40</x:v>
      </x:c>
      <x:c r="S668" t="n">
        <x:v>34</x:v>
      </x:c>
      <x:c r="T668" t="str">
        <x:v>Imported from user's PriceCharting Collection.pdf, page 3. PDF row value $21.43; quantity 1; per-card allocation $21.43. Imported value is carried exactly from the PDF and has not been independently repriced. EXTERNAL REPRICE (2026-08-17): Current TCGplayer/PokeScope market around mid-$30s; recent NM sales roughly $22–45.</x:v>
      </x:c>
      <x:c r="U668" t="n">
        <x:v>991</x:v>
      </x:c>
      <x:c r="V668" t="str">
        <x:v>Collection.pdf + current TCGplayer/cross-market research 2026-08-17</x:v>
      </x:c>
      <x:c r="W668" t="str">
        <x:v>https://www.tcgplayer.com/search/pokemon/product?q=Jirachi+%2311+Call+of+Legends</x:v>
      </x:c>
    </x:row>
    <x:row r="669">
      <x:c r="A669" t="n">
        <x:v>668</x:v>
      </x:c>
      <x:c r="B669" t="str">
        <x:v>PDF Import / Added Cards</x:v>
      </x:c>
      <x:c r="C669" t="str">
        <x:v>Noctowl BREAK</x:v>
      </x:c>
      <x:c r="D669" t="str">
        <x:v>XY136</x:v>
      </x:c>
      <x:c r="E669" t="str">
        <x:v>Promo</x:v>
      </x:c>
      <x:c r="F669"/>
      <x:c r="G669" t="str">
        <x:v>BREAK Holo</x:v>
      </x:c>
      <x:c r="H669" t="str">
        <x:v>1 of 1</x:v>
      </x:c>
      <x:c r="I669" t="n">
        <x:v>10</x:v>
      </x:c>
      <x:c r="J669" t="n">
        <x:v>16</x:v>
      </x:c>
      <x:c r="K669" t="n">
        <x:v>13</x:v>
      </x:c>
      <x:c r="L669" t="str">
        <x:v>$5–20</x:v>
      </x:c>
      <x:c r="M669" t="str">
        <x:v>Yes</x:v>
      </x:c>
      <x:c r="N669" t="str">
        <x:v>No</x:v>
      </x:c>
      <x:c r="O669" t="str">
        <x:v>Yes</x:v>
      </x:c>
      <x:c r="P669" t="str">
        <x:v>Condition not yet reviewed</x:v>
      </x:c>
      <x:c r="Q669" t="n">
        <x:v>10</x:v>
      </x:c>
      <x:c r="R669" t="n">
        <x:v>16</x:v>
      </x:c>
      <x:c r="S669" t="n">
        <x:v>13</x:v>
      </x:c>
      <x:c r="T669" t="str">
        <x:v>Imported from user's PriceCharting Collection.pdf, page 3. PDF row value $9.24; quantity 1; per-card allocation $9.24. Imported value is carried exactly from the PDF and has not been independently repriced. EXTERNAL REPRICE (2026-08-17): Current TCGplayer holo market around mid-teens.</x:v>
      </x:c>
      <x:c r="U669" t="n">
        <x:v>991</x:v>
      </x:c>
      <x:c r="V669" t="str">
        <x:v>Collection.pdf + current TCGplayer/cross-market research 2026-08-17</x:v>
      </x:c>
      <x:c r="W669" t="str">
        <x:v>https://www.tcgplayer.com/search/pokemon/product?q=Noctowl+BREAK+%23XY136+Promo</x:v>
      </x:c>
    </x:row>
    <x:row r="670">
      <x:c r="A670" t="n">
        <x:v>669</x:v>
      </x:c>
      <x:c r="B670" t="str">
        <x:v>PDF Import / Added Cards</x:v>
      </x:c>
      <x:c r="C670" t="str">
        <x:v>Garchomp-EX</x:v>
      </x:c>
      <x:c r="D670" t="str">
        <x:v>XY09</x:v>
      </x:c>
      <x:c r="E670" t="str">
        <x:v>Promo</x:v>
      </x:c>
      <x:c r="F670"/>
      <x:c r="G670" t="str">
        <x:v>Holo EX</x:v>
      </x:c>
      <x:c r="H670" t="str">
        <x:v>1 of 1</x:v>
      </x:c>
      <x:c r="I670" t="n">
        <x:v>8</x:v>
      </x:c>
      <x:c r="J670" t="n">
        <x:v>15</x:v>
      </x:c>
      <x:c r="K670" t="n">
        <x:v>11.5</x:v>
      </x:c>
      <x:c r="L670" t="str">
        <x:v>$5–20</x:v>
      </x:c>
      <x:c r="M670" t="str">
        <x:v>Yes</x:v>
      </x:c>
      <x:c r="N670" t="str">
        <x:v>No</x:v>
      </x:c>
      <x:c r="O670" t="str">
        <x:v>Yes</x:v>
      </x:c>
      <x:c r="P670" t="str">
        <x:v>Condition not yet reviewed</x:v>
      </x:c>
      <x:c r="Q670" t="n">
        <x:v>8</x:v>
      </x:c>
      <x:c r="R670" t="n">
        <x:v>15</x:v>
      </x:c>
      <x:c r="S670" t="n">
        <x:v>11.5</x:v>
      </x:c>
      <x:c r="T670" t="str">
        <x:v>Imported from user's PriceCharting Collection.pdf, page 3. PDF row value $4.50; quantity 1; per-card allocation $4.50. Imported value is carried exactly from the PDF and has not been independently repriced. EXTERNAL REPRICE (2026-08-17): Current TCGplayer and secondary checks roughly $8–15.</x:v>
      </x:c>
      <x:c r="U670" t="n">
        <x:v>991</x:v>
      </x:c>
      <x:c r="V670" t="str">
        <x:v>Collection.pdf + current TCGplayer/cross-market research 2026-08-17</x:v>
      </x:c>
      <x:c r="W670" t="str">
        <x:v>https://www.tcgplayer.com/search/pokemon/product?q=Garchomp+EX+%23XY09+Promo</x:v>
      </x:c>
    </x:row>
    <x:row r="671">
      <x:c r="A671" t="n">
        <x:v>670</x:v>
      </x:c>
      <x:c r="B671" t="str">
        <x:v>PDF Import / Added Cards</x:v>
      </x:c>
      <x:c r="C671" t="str">
        <x:v>Chandelure-EX</x:v>
      </x:c>
      <x:c r="D671" t="str">
        <x:v>77/113</x:v>
      </x:c>
      <x:c r="E671" t="str">
        <x:v>Legendary Treasures</x:v>
      </x:c>
      <x:c r="F671" t="n">
        <x:v>2013</x:v>
      </x:c>
      <x:c r="G671" t="str">
        <x:v>Holo EX</x:v>
      </x:c>
      <x:c r="H671" t="str">
        <x:v>1 of 1</x:v>
      </x:c>
      <x:c r="I671" t="n">
        <x:v>9</x:v>
      </x:c>
      <x:c r="J671" t="n">
        <x:v>12</x:v>
      </x:c>
      <x:c r="K671" t="n">
        <x:v>10.5</x:v>
      </x:c>
      <x:c r="L671" t="str">
        <x:v>$5–20</x:v>
      </x:c>
      <x:c r="M671" t="str">
        <x:v>Yes</x:v>
      </x:c>
      <x:c r="N671" t="str">
        <x:v>No</x:v>
      </x:c>
      <x:c r="O671" t="str">
        <x:v>Yes</x:v>
      </x:c>
      <x:c r="P671" t="str">
        <x:v>Condition not yet reviewed</x:v>
      </x:c>
      <x:c r="Q671" t="n">
        <x:v>9</x:v>
      </x:c>
      <x:c r="R671" t="n">
        <x:v>12</x:v>
      </x:c>
      <x:c r="S671" t="n">
        <x:v>10.5</x:v>
      </x:c>
      <x:c r="T671" t="str">
        <x:v>Imported from user's PriceCharting Collection.pdf, page 4. PDF row value $9.54; quantity 1; per-card allocation $9.54. Imported value is carried exactly from the PDF and has not been independently repriced. EXTERNAL REPRICE (2026-08-17): Current PokeScope/TCGplayer market around $10–11.</x:v>
      </x:c>
      <x:c r="U671" t="n">
        <x:v>991</x:v>
      </x:c>
      <x:c r="V671" t="str">
        <x:v>Collection.pdf + current TCGplayer/cross-market research 2026-08-17</x:v>
      </x:c>
      <x:c r="W671" t="str">
        <x:v>https://www.tcgplayer.com/search/pokemon/product?q=Chandelure+EX+%2377+Legendary+Treasures</x:v>
      </x:c>
    </x:row>
    <x:row r="672">
      <x:c r="A672" t="n">
        <x:v>671</x:v>
      </x:c>
      <x:c r="B672" t="str">
        <x:v>PDF Import / Added Cards</x:v>
      </x:c>
      <x:c r="C672" t="str">
        <x:v>Kyurem-EX</x:v>
      </x:c>
      <x:c r="D672" t="str">
        <x:v>BW37</x:v>
      </x:c>
      <x:c r="E672" t="str">
        <x:v>Promo</x:v>
      </x:c>
      <x:c r="F672"/>
      <x:c r="G672" t="str">
        <x:v>Holo EX</x:v>
      </x:c>
      <x:c r="H672" t="str">
        <x:v>1 of 1</x:v>
      </x:c>
      <x:c r="I672" t="n">
        <x:v>4.5</x:v>
      </x:c>
      <x:c r="J672" t="n">
        <x:v>7</x:v>
      </x:c>
      <x:c r="K672" t="n">
        <x:v>5.75</x:v>
      </x:c>
      <x:c r="L672" t="str">
        <x:v>$5–20</x:v>
      </x:c>
      <x:c r="M672" t="str">
        <x:v>Yes</x:v>
      </x:c>
      <x:c r="N672" t="str">
        <x:v>No</x:v>
      </x:c>
      <x:c r="O672" t="str">
        <x:v>Yes</x:v>
      </x:c>
      <x:c r="P672" t="str">
        <x:v>Condition not yet reviewed</x:v>
      </x:c>
      <x:c r="Q672" t="n">
        <x:v>4.5</x:v>
      </x:c>
      <x:c r="R672" t="n">
        <x:v>7</x:v>
      </x:c>
      <x:c r="S672" t="n">
        <x:v>5.75</x:v>
      </x:c>
      <x:c r="T672" t="str">
        <x:v>Imported from user's PriceCharting Collection.pdf, page 4. PDF row value $5.56; quantity 1; per-card allocation $5.56. Imported value is carried exactly from the PDF and has not been independently repriced. EXTERNAL REPRICE (2026-08-17): Current TCGplayer/PokeScope around $5–6.</x:v>
      </x:c>
      <x:c r="U672" t="n">
        <x:v>991</x:v>
      </x:c>
      <x:c r="V672" t="str">
        <x:v>Collection.pdf + current TCGplayer/cross-market research 2026-08-17</x:v>
      </x:c>
      <x:c r="W672" t="str">
        <x:v>https://www.tcgplayer.com/search/pokemon/product?q=Kyurem+EX+%23BW37+Promo</x:v>
      </x:c>
    </x:row>
    <x:row r="673">
      <x:c r="A673" t="n">
        <x:v>672</x:v>
      </x:c>
      <x:c r="B673" t="str">
        <x:v>PDF Import / Added Cards</x:v>
      </x:c>
      <x:c r="C673" t="str">
        <x:v>Dialga</x:v>
      </x:c>
      <x:c r="D673" t="str">
        <x:v>DP49</x:v>
      </x:c>
      <x:c r="E673" t="str">
        <x:v>Promo</x:v>
      </x:c>
      <x:c r="F673"/>
      <x:c r="G673" t="str">
        <x:v>As listed in PriceCharting PDF; foil unspecified</x:v>
      </x:c>
      <x:c r="H673" t="str">
        <x:v>1 of 1</x:v>
      </x:c>
      <x:c r="I673" t="n">
        <x:v>10</x:v>
      </x:c>
      <x:c r="J673" t="n">
        <x:v>18</x:v>
      </x:c>
      <x:c r="K673" t="n">
        <x:v>14</x:v>
      </x:c>
      <x:c r="L673" t="str">
        <x:v>$5–20</x:v>
      </x:c>
      <x:c r="M673" t="str">
        <x:v>Yes</x:v>
      </x:c>
      <x:c r="N673" t="str">
        <x:v>No</x:v>
      </x:c>
      <x:c r="O673" t="str">
        <x:v>Yes</x:v>
      </x:c>
      <x:c r="P673" t="str">
        <x:v>Condition not yet reviewed</x:v>
      </x:c>
      <x:c r="Q673" t="n">
        <x:v>10</x:v>
      </x:c>
      <x:c r="R673" t="n">
        <x:v>18</x:v>
      </x:c>
      <x:c r="S673" t="n">
        <x:v>14</x:v>
      </x:c>
      <x:c r="T673" t="str">
        <x:v>Imported from user's PriceCharting Collection.pdf, page 4. PDF row value $12.00; quantity 1; per-card allocation $12.00. Imported value is carried exactly from the PDF and has not been independently repriced. EXTERNAL REPRICE (2026-08-17): Current TCGplayer market mid-teens; recent NM sale data can run higher.</x:v>
      </x:c>
      <x:c r="U673" t="n">
        <x:v>991</x:v>
      </x:c>
      <x:c r="V673" t="str">
        <x:v>Collection.pdf + current TCGplayer/cross-market research 2026-08-17</x:v>
      </x:c>
      <x:c r="W673" t="str">
        <x:v>https://www.tcgplayer.com/search/pokemon/product?q=Dialga+%23DP49+Promo</x:v>
      </x:c>
    </x:row>
    <x:row r="674">
      <x:c r="A674" t="n">
        <x:v>673</x:v>
      </x:c>
      <x:c r="B674" t="str">
        <x:v>PDF Import / Added Cards</x:v>
      </x:c>
      <x:c r="C674" t="str">
        <x:v>Thundurus-EX</x:v>
      </x:c>
      <x:c r="D674" t="str">
        <x:v>38/116</x:v>
      </x:c>
      <x:c r="E674" t="str">
        <x:v>Plasma Freeze</x:v>
      </x:c>
      <x:c r="F674" t="n">
        <x:v>2013</x:v>
      </x:c>
      <x:c r="G674" t="str">
        <x:v>Holo EX</x:v>
      </x:c>
      <x:c r="H674" t="str">
        <x:v>1 of 1</x:v>
      </x:c>
      <x:c r="I674" t="n">
        <x:v>10</x:v>
      </x:c>
      <x:c r="J674" t="n">
        <x:v>16</x:v>
      </x:c>
      <x:c r="K674" t="n">
        <x:v>13</x:v>
      </x:c>
      <x:c r="L674" t="str">
        <x:v>$5–20</x:v>
      </x:c>
      <x:c r="M674" t="str">
        <x:v>Yes</x:v>
      </x:c>
      <x:c r="N674" t="str">
        <x:v>No</x:v>
      </x:c>
      <x:c r="O674" t="str">
        <x:v>Yes</x:v>
      </x:c>
      <x:c r="P674" t="str">
        <x:v>Condition not yet reviewed</x:v>
      </x:c>
      <x:c r="Q674" t="n">
        <x:v>10</x:v>
      </x:c>
      <x:c r="R674" t="n">
        <x:v>16</x:v>
      </x:c>
      <x:c r="S674" t="n">
        <x:v>13</x:v>
      </x:c>
      <x:c r="T674" t="str">
        <x:v>Imported from user's PriceCharting Collection.pdf, page 4. PDF row value $9.02; quantity 1; per-card allocation $9.02. Imported value is carried exactly from the PDF and has not been independently repriced. EXTERNAL REPRICE (2026-08-17): Current TCGplayer/PokeScope around $14.</x:v>
      </x:c>
      <x:c r="U674" t="n">
        <x:v>991</x:v>
      </x:c>
      <x:c r="V674" t="str">
        <x:v>Collection.pdf + current TCGplayer/cross-market research 2026-08-17</x:v>
      </x:c>
      <x:c r="W674" t="str">
        <x:v>https://www.tcgplayer.com/search/pokemon/product?q=Thundurus+EX+%2338+Plasma+Freeze</x:v>
      </x:c>
    </x:row>
    <x:row r="675">
      <x:c r="A675" t="n">
        <x:v>674</x:v>
      </x:c>
      <x:c r="B675" t="str">
        <x:v>PDF Import / Added Cards</x:v>
      </x:c>
      <x:c r="C675" t="str">
        <x:v>Zapdos-EX</x:v>
      </x:c>
      <x:c r="D675" t="str">
        <x:v>48/135</x:v>
      </x:c>
      <x:c r="E675" t="str">
        <x:v>Plasma Storm</x:v>
      </x:c>
      <x:c r="F675" t="n">
        <x:v>2013</x:v>
      </x:c>
      <x:c r="G675" t="str">
        <x:v>Holo EX</x:v>
      </x:c>
      <x:c r="H675" t="str">
        <x:v>1 of 1</x:v>
      </x:c>
      <x:c r="I675" t="n">
        <x:v>10</x:v>
      </x:c>
      <x:c r="J675" t="n">
        <x:v>14</x:v>
      </x:c>
      <x:c r="K675" t="n">
        <x:v>12</x:v>
      </x:c>
      <x:c r="L675" t="str">
        <x:v>$5–20</x:v>
      </x:c>
      <x:c r="M675" t="str">
        <x:v>Yes</x:v>
      </x:c>
      <x:c r="N675" t="str">
        <x:v>No</x:v>
      </x:c>
      <x:c r="O675" t="str">
        <x:v>Yes</x:v>
      </x:c>
      <x:c r="P675" t="str">
        <x:v>Condition not yet reviewed</x:v>
      </x:c>
      <x:c r="Q675" t="n">
        <x:v>10</x:v>
      </x:c>
      <x:c r="R675" t="n">
        <x:v>14</x:v>
      </x:c>
      <x:c r="S675" t="n">
        <x:v>12</x:v>
      </x:c>
      <x:c r="T675" t="str">
        <x:v>Imported from user's PriceCharting Collection.pdf, page 4. PDF row value $10.09; quantity 1; per-card allocation $10.09. Imported value is carried exactly from the PDF and has not been independently repriced. EXTERNAL REPRICE (2026-08-17): Current TCGplayer/PokeScope around $11–12; recent NM sales roughly $10–14.</x:v>
      </x:c>
      <x:c r="U675" t="n">
        <x:v>991</x:v>
      </x:c>
      <x:c r="V675" t="str">
        <x:v>Collection.pdf + current TCGplayer/cross-market research 2026-08-17</x:v>
      </x:c>
      <x:c r="W675" t="str">
        <x:v>https://www.tcgplayer.com/search/pokemon/product?q=Zapdos+EX+%2348+Plasma+Storm</x:v>
      </x:c>
    </x:row>
    <x:row r="676">
      <x:c r="A676" t="n">
        <x:v>675</x:v>
      </x:c>
      <x:c r="B676" t="str">
        <x:v>PDF Import / Added Cards</x:v>
      </x:c>
      <x:c r="C676" t="str">
        <x:v>Terrakion-EX</x:v>
      </x:c>
      <x:c r="D676" t="str">
        <x:v>71/124</x:v>
      </x:c>
      <x:c r="E676" t="str">
        <x:v>Dragons Exalted</x:v>
      </x:c>
      <x:c r="F676" t="n">
        <x:v>2012</x:v>
      </x:c>
      <x:c r="G676" t="str">
        <x:v>Holo EX</x:v>
      </x:c>
      <x:c r="H676" t="str">
        <x:v>1 of 1</x:v>
      </x:c>
      <x:c r="I676" t="n">
        <x:v>5.5</x:v>
      </x:c>
      <x:c r="J676" t="n">
        <x:v>8</x:v>
      </x:c>
      <x:c r="K676" t="n">
        <x:v>6.75</x:v>
      </x:c>
      <x:c r="L676" t="str">
        <x:v>$5–20</x:v>
      </x:c>
      <x:c r="M676" t="str">
        <x:v>Yes</x:v>
      </x:c>
      <x:c r="N676" t="str">
        <x:v>No</x:v>
      </x:c>
      <x:c r="O676" t="str">
        <x:v>Yes</x:v>
      </x:c>
      <x:c r="P676" t="str">
        <x:v>Condition not yet reviewed</x:v>
      </x:c>
      <x:c r="Q676" t="n">
        <x:v>5.5</x:v>
      </x:c>
      <x:c r="R676" t="n">
        <x:v>8</x:v>
      </x:c>
      <x:c r="S676" t="n">
        <x:v>6.75</x:v>
      </x:c>
      <x:c r="T676" t="str">
        <x:v>Imported from user's PriceCharting Collection.pdf, page 4. PDF row value $6.00; quantity 1; per-card allocation $6.00. Imported value is carried exactly from the PDF and has not been independently repriced. EXTERNAL REPRICE (2026-08-17): Current TCGplayer market around $6.8–7.</x:v>
      </x:c>
      <x:c r="U676" t="n">
        <x:v>991</x:v>
      </x:c>
      <x:c r="V676" t="str">
        <x:v>Collection.pdf + current TCGplayer/cross-market research 2026-08-17</x:v>
      </x:c>
      <x:c r="W676" t="str">
        <x:v>https://www.tcgplayer.com/search/pokemon/product?q=Terrakion+EX+%2371+Dragons+Exalted</x:v>
      </x:c>
    </x:row>
    <x:row r="677">
      <x:c r="A677" t="n">
        <x:v>676</x:v>
      </x:c>
      <x:c r="B677" t="str">
        <x:v>PDF Import / Added Cards</x:v>
      </x:c>
      <x:c r="C677" t="str">
        <x:v>Beeheyem BREAK</x:v>
      </x:c>
      <x:c r="D677" t="str">
        <x:v>XY135</x:v>
      </x:c>
      <x:c r="E677" t="str">
        <x:v>Promo</x:v>
      </x:c>
      <x:c r="F677"/>
      <x:c r="G677" t="str">
        <x:v>BREAK Holo</x:v>
      </x:c>
      <x:c r="H677" t="str">
        <x:v>1 of 1</x:v>
      </x:c>
      <x:c r="I677" t="n">
        <x:v>8</x:v>
      </x:c>
      <x:c r="J677" t="n">
        <x:v>13</x:v>
      </x:c>
      <x:c r="K677" t="n">
        <x:v>10.5</x:v>
      </x:c>
      <x:c r="L677" t="str">
        <x:v>$5–20</x:v>
      </x:c>
      <x:c r="M677" t="str">
        <x:v>Yes</x:v>
      </x:c>
      <x:c r="N677" t="str">
        <x:v>No</x:v>
      </x:c>
      <x:c r="O677" t="str">
        <x:v>Yes</x:v>
      </x:c>
      <x:c r="P677" t="str">
        <x:v>Condition not yet reviewed</x:v>
      </x:c>
      <x:c r="Q677" t="n">
        <x:v>8</x:v>
      </x:c>
      <x:c r="R677" t="n">
        <x:v>13</x:v>
      </x:c>
      <x:c r="S677" t="n">
        <x:v>10.5</x:v>
      </x:c>
      <x:c r="T677" t="str">
        <x:v>Imported from user's PriceCharting Collection.pdf, page 4. PDF row value $0.99; quantity 1; per-card allocation $0.99. Imported value is carried exactly from the PDF and has not been independently repriced. EXTERNAL REPRICE (2026-08-17): Current TCGplayer/search and PokeScope signals around $9–12; PDF value was materially stale.</x:v>
      </x:c>
      <x:c r="U677" t="n">
        <x:v>991</x:v>
      </x:c>
      <x:c r="V677" t="str">
        <x:v>Collection.pdf + current TCGplayer/cross-market research 2026-08-17</x:v>
      </x:c>
      <x:c r="W677" t="str">
        <x:v>https://www.tcgplayer.com/search/pokemon/product?q=Beeheyem+BREAK+%23XY135+Promo</x:v>
      </x:c>
    </x:row>
    <x:row r="678">
      <x:c r="A678" t="n">
        <x:v>677</x:v>
      </x:c>
      <x:c r="B678" t="str">
        <x:v>PDF Import / Added Cards</x:v>
      </x:c>
      <x:c r="C678" t="str">
        <x:v>Black Kyurem-EX</x:v>
      </x:c>
      <x:c r="D678" t="str">
        <x:v>100/113</x:v>
      </x:c>
      <x:c r="E678" t="str">
        <x:v>Legendary Treasures</x:v>
      </x:c>
      <x:c r="F678" t="n">
        <x:v>2013</x:v>
      </x:c>
      <x:c r="G678" t="str">
        <x:v>Holo EX</x:v>
      </x:c>
      <x:c r="H678" t="str">
        <x:v>1 of 1</x:v>
      </x:c>
      <x:c r="I678" t="n">
        <x:v>5.5</x:v>
      </x:c>
      <x:c r="J678" t="n">
        <x:v>8</x:v>
      </x:c>
      <x:c r="K678" t="n">
        <x:v>6.75</x:v>
      </x:c>
      <x:c r="L678" t="str">
        <x:v>$5–20</x:v>
      </x:c>
      <x:c r="M678" t="str">
        <x:v>Yes</x:v>
      </x:c>
      <x:c r="N678" t="str">
        <x:v>No</x:v>
      </x:c>
      <x:c r="O678" t="str">
        <x:v>Yes</x:v>
      </x:c>
      <x:c r="P678" t="str">
        <x:v>Condition not yet reviewed</x:v>
      </x:c>
      <x:c r="Q678" t="n">
        <x:v>5.5</x:v>
      </x:c>
      <x:c r="R678" t="n">
        <x:v>8</x:v>
      </x:c>
      <x:c r="S678" t="n">
        <x:v>6.75</x:v>
      </x:c>
      <x:c r="T678" t="str">
        <x:v>Imported from user's PriceCharting Collection.pdf, page 5. PDF row value $6.25; quantity 1; per-card allocation $6.25. Imported value is carried exactly from the PDF and has not been independently repriced. EXTERNAL REPRICE (2026-08-17): Current TCGplayer/PokeScope around $6–7.</x:v>
      </x:c>
      <x:c r="U678" t="n">
        <x:v>991</x:v>
      </x:c>
      <x:c r="V678" t="str">
        <x:v>Collection.pdf + current TCGplayer/cross-market research 2026-08-17</x:v>
      </x:c>
      <x:c r="W678" t="str">
        <x:v>https://www.tcgplayer.com/search/pokemon/product?q=Black+Kyurem+EX+%23100+Legendary+Treasures</x:v>
      </x:c>
    </x:row>
    <x:row r="679">
      <x:c r="A679" t="n">
        <x:v>678</x:v>
      </x:c>
      <x:c r="B679" t="str">
        <x:v>PDF Import / Added Cards</x:v>
      </x:c>
      <x:c r="C679" t="str">
        <x:v>Reshiram-EX</x:v>
      </x:c>
      <x:c r="D679" t="str">
        <x:v>22/99</x:v>
      </x:c>
      <x:c r="E679" t="str">
        <x:v>Next Destinies</x:v>
      </x:c>
      <x:c r="F679" t="n">
        <x:v>2012</x:v>
      </x:c>
      <x:c r="G679" t="str">
        <x:v>Holo EX</x:v>
      </x:c>
      <x:c r="H679" t="str">
        <x:v>1 of 1</x:v>
      </x:c>
      <x:c r="I679" t="n">
        <x:v>16</x:v>
      </x:c>
      <x:c r="J679" t="n">
        <x:v>22</x:v>
      </x:c>
      <x:c r="K679" t="n">
        <x:v>19</x:v>
      </x:c>
      <x:c r="L679" t="str">
        <x:v>$5–20</x:v>
      </x:c>
      <x:c r="M679" t="str">
        <x:v>Yes</x:v>
      </x:c>
      <x:c r="N679" t="str">
        <x:v>No</x:v>
      </x:c>
      <x:c r="O679" t="str">
        <x:v>Yes</x:v>
      </x:c>
      <x:c r="P679" t="str">
        <x:v>Condition not yet reviewed</x:v>
      </x:c>
      <x:c r="Q679" t="n">
        <x:v>16</x:v>
      </x:c>
      <x:c r="R679" t="n">
        <x:v>22</x:v>
      </x:c>
      <x:c r="S679" t="n">
        <x:v>19</x:v>
      </x:c>
      <x:c r="T679" t="str">
        <x:v>Imported from user's PriceCharting Collection.pdf, page 5. PDF row value $12.47; quantity 1; per-card allocation $12.47. Imported value is carried exactly from the PDF and has not been independently repriced. EXTERNAL REPRICE (2026-08-17): Current TCGplayer/PokeScope roughly $18–20; recent NM sales around high teens/low $20s.</x:v>
      </x:c>
      <x:c r="U679" t="n">
        <x:v>991</x:v>
      </x:c>
      <x:c r="V679" t="str">
        <x:v>Collection.pdf + current TCGplayer/cross-market research 2026-08-17</x:v>
      </x:c>
      <x:c r="W679" t="str">
        <x:v>https://www.tcgplayer.com/search/pokemon/product?q=Reshiram+EX+%2322+Next+Destinies</x:v>
      </x:c>
    </x:row>
    <x:row r="680">
      <x:c r="A680" t="n">
        <x:v>679</x:v>
      </x:c>
      <x:c r="B680" t="str">
        <x:v>PDF Import / Added Cards</x:v>
      </x:c>
      <x:c r="C680" t="str">
        <x:v>Keldeo-EX</x:v>
      </x:c>
      <x:c r="D680" t="str">
        <x:v>49/149</x:v>
      </x:c>
      <x:c r="E680" t="str">
        <x:v>Boundaries Crossed</x:v>
      </x:c>
      <x:c r="F680" t="n">
        <x:v>2012</x:v>
      </x:c>
      <x:c r="G680" t="str">
        <x:v>Holo EX</x:v>
      </x:c>
      <x:c r="H680" t="str">
        <x:v>3 of 3</x:v>
      </x:c>
      <x:c r="I680" t="n">
        <x:v>1.25</x:v>
      </x:c>
      <x:c r="J680" t="n">
        <x:v>2.5</x:v>
      </x:c>
      <x:c r="K680" t="n">
        <x:v>1.875</x:v>
      </x:c>
      <x:c r="L680" t="str">
        <x:v>$1–5</x:v>
      </x:c>
      <x:c r="M680" t="str">
        <x:v>Yes</x:v>
      </x:c>
      <x:c r="N680" t="str">
        <x:v>No</x:v>
      </x:c>
      <x:c r="O680" t="str">
        <x:v>Yes</x:v>
      </x:c>
      <x:c r="P680" t="str">
        <x:v>Condition not yet reviewed</x:v>
      </x:c>
      <x:c r="Q680" t="n">
        <x:v>1.25</x:v>
      </x:c>
      <x:c r="R680" t="n">
        <x:v>2.5</x:v>
      </x:c>
      <x:c r="S680" t="n">
        <x:v>1.875</x:v>
      </x:c>
      <x:c r="T680" t="str">
        <x:v>Imported from user's PriceCharting Collection.pdf, page 5. PDF row value $1.92; quantity 1; per-card allocation $1.92. Imported value is carried exactly from the PDF and has not been independently repriced. EXTERNAL REPRICE (2026-08-17): Current TCGplayer market around $1.7–2.</x:v>
      </x:c>
      <x:c r="U680" t="n">
        <x:v>991</x:v>
      </x:c>
      <x:c r="V680" t="str">
        <x:v>Collection.pdf + current TCGplayer/cross-market research 2026-08-17</x:v>
      </x:c>
      <x:c r="W680" t="str">
        <x:v>https://www.tcgplayer.com/search/pokemon/product?q=Keldeo+EX+%2349+Boundaries+Crossed</x:v>
      </x:c>
    </x:row>
    <x:row r="681">
      <x:c r="A681" t="n">
        <x:v>680</x:v>
      </x:c>
      <x:c r="B681" t="str">
        <x:v>PDF Import / Added Cards</x:v>
      </x:c>
      <x:c r="C681" t="str">
        <x:v>Eevee</x:v>
      </x:c>
      <x:c r="D681" t="str">
        <x:v>51/64</x:v>
      </x:c>
      <x:c r="E681" t="str">
        <x:v>Jungle</x:v>
      </x:c>
      <x:c r="F681" t="n">
        <x:v>1999</x:v>
      </x:c>
      <x:c r="G681" t="str">
        <x:v>As listed in PriceCharting PDF; foil unspecified</x:v>
      </x:c>
      <x:c r="H681" t="str">
        <x:v>1 of 1</x:v>
      </x:c>
      <x:c r="I681" t="n">
        <x:v>1.5</x:v>
      </x:c>
      <x:c r="J681" t="n">
        <x:v>3</x:v>
      </x:c>
      <x:c r="K681" t="n">
        <x:v>2.25</x:v>
      </x:c>
      <x:c r="L681" t="str">
        <x:v>$1–5</x:v>
      </x:c>
      <x:c r="M681" t="str">
        <x:v>Yes</x:v>
      </x:c>
      <x:c r="N681" t="str">
        <x:v>No</x:v>
      </x:c>
      <x:c r="O681" t="str">
        <x:v>Yes</x:v>
      </x:c>
      <x:c r="P681" t="str">
        <x:v>Condition not yet reviewed</x:v>
      </x:c>
      <x:c r="Q681" t="n">
        <x:v>1.5</x:v>
      </x:c>
      <x:c r="R681" t="n">
        <x:v>3</x:v>
      </x:c>
      <x:c r="S681" t="n">
        <x:v>2.25</x:v>
      </x:c>
      <x:c r="T681" t="str">
        <x:v>Imported from user's PriceCharting Collection.pdf, page 5. PDF row value $2.05; quantity 1; per-card allocation $2.05. Imported value is carried exactly from the PDF and has not been independently repriced. EXTERNAL REPRICE (2026-08-17): Current TCGplayer/PokeScope/PokeData around $2–3 for unlimited.</x:v>
      </x:c>
      <x:c r="U681" t="n">
        <x:v>991</x:v>
      </x:c>
      <x:c r="V681" t="str">
        <x:v>Collection.pdf + current TCGplayer/cross-market research 2026-08-17</x:v>
      </x:c>
      <x:c r="W681" t="str">
        <x:v>https://www.tcgplayer.com/search/pokemon/product?q=Eevee+%2351+Jungle</x:v>
      </x:c>
    </x:row>
    <x:row r="682">
      <x:c r="A682" t="n">
        <x:v>681</x:v>
      </x:c>
      <x:c r="B682" t="str">
        <x:v>PDF Import / Added Cards</x:v>
      </x:c>
      <x:c r="C682" t="str">
        <x:v>M Charizard-EX</x:v>
      </x:c>
      <x:c r="D682" t="str">
        <x:v>13/108</x:v>
      </x:c>
      <x:c r="E682" t="str">
        <x:v>Evolutions</x:v>
      </x:c>
      <x:c r="F682" t="n">
        <x:v>2016</x:v>
      </x:c>
      <x:c r="G682" t="str">
        <x:v>Holo EX</x:v>
      </x:c>
      <x:c r="H682" t="str">
        <x:v>1 of 1</x:v>
      </x:c>
      <x:c r="I682" t="n">
        <x:v>40</x:v>
      </x:c>
      <x:c r="J682" t="n">
        <x:v>55</x:v>
      </x:c>
      <x:c r="K682" t="n">
        <x:v>47.5</x:v>
      </x:c>
      <x:c r="L682" t="str">
        <x:v>$20+</x:v>
      </x:c>
      <x:c r="M682" t="str">
        <x:v>Yes</x:v>
      </x:c>
      <x:c r="N682" t="str">
        <x:v>Yes</x:v>
      </x:c>
      <x:c r="O682" t="str">
        <x:v>Yes</x:v>
      </x:c>
      <x:c r="P682" t="str">
        <x:v>Condition not yet reviewed</x:v>
      </x:c>
      <x:c r="Q682" t="n">
        <x:v>40</x:v>
      </x:c>
      <x:c r="R682" t="n">
        <x:v>55</x:v>
      </x:c>
      <x:c r="S682" t="n">
        <x:v>47.5</x:v>
      </x:c>
      <x:c r="T682" t="str">
        <x:v>Imported from user's PriceCharting Collection.pdf, page 5. PDF row value $39.73; quantity 1; per-card allocation $39.73. Imported value is carried exactly from the PDF and has not been independently repriced. EXTERNAL REPRICE (2026-08-17): Current TCGplayer/PokemonWizard low-$40s to low-$50s; recent NM sales can run higher.</x:v>
      </x:c>
      <x:c r="U682" t="n">
        <x:v>991</x:v>
      </x:c>
      <x:c r="V682" t="str">
        <x:v>Collection.pdf + current TCGplayer/cross-market research 2026-08-17</x:v>
      </x:c>
      <x:c r="W682" t="str">
        <x:v>https://www.tcgplayer.com/search/pokemon/product?q=M+Charizard+EX+%2313+Evolutions</x:v>
      </x:c>
    </x:row>
    <x:row r="683">
      <x:c r="A683" t="n">
        <x:v>682</x:v>
      </x:c>
      <x:c r="B683" t="str">
        <x:v>PDF Import / Added Cards</x:v>
      </x:c>
      <x:c r="C683" t="str">
        <x:v>Chesnaught-EX</x:v>
      </x:c>
      <x:c r="D683" t="str">
        <x:v>XY18</x:v>
      </x:c>
      <x:c r="E683" t="str">
        <x:v>Promo</x:v>
      </x:c>
      <x:c r="F683"/>
      <x:c r="G683" t="str">
        <x:v>Holo EX</x:v>
      </x:c>
      <x:c r="H683" t="str">
        <x:v>1 of 1</x:v>
      </x:c>
      <x:c r="I683" t="n">
        <x:v>4</x:v>
      </x:c>
      <x:c r="J683" t="n">
        <x:v>6</x:v>
      </x:c>
      <x:c r="K683" t="n">
        <x:v>5</x:v>
      </x:c>
      <x:c r="L683" t="str">
        <x:v>$5–20</x:v>
      </x:c>
      <x:c r="M683" t="str">
        <x:v>Yes</x:v>
      </x:c>
      <x:c r="N683" t="str">
        <x:v>No</x:v>
      </x:c>
      <x:c r="O683" t="str">
        <x:v>Yes</x:v>
      </x:c>
      <x:c r="P683" t="str">
        <x:v>Condition not yet reviewed</x:v>
      </x:c>
      <x:c r="Q683" t="n">
        <x:v>4</x:v>
      </x:c>
      <x:c r="R683" t="n">
        <x:v>6</x:v>
      </x:c>
      <x:c r="S683" t="n">
        <x:v>5</x:v>
      </x:c>
      <x:c r="T683" t="str">
        <x:v>Imported from user's PriceCharting Collection.pdf, page 5. PDF row value $4.40; quantity 1; per-card allocation $4.40. Imported value is carried exactly from the PDF and has not been independently repriced. EXTERNAL REPRICE (2026-08-17): Current TCGplayer/PokeScope around $5–5.5.</x:v>
      </x:c>
      <x:c r="U683" t="n">
        <x:v>991</x:v>
      </x:c>
      <x:c r="V683" t="str">
        <x:v>Collection.pdf + current TCGplayer/cross-market research 2026-08-17</x:v>
      </x:c>
      <x:c r="W683" t="str">
        <x:v>https://www.tcgplayer.com/search/pokemon/product?q=Chesnaught+EX+%23XY18+Promo</x:v>
      </x:c>
    </x:row>
    <x:row r="684">
      <x:c r="A684" t="n">
        <x:v>683</x:v>
      </x:c>
      <x:c r="B684" t="str">
        <x:v>PDF Import / Added Cards</x:v>
      </x:c>
      <x:c r="C684" t="str">
        <x:v>Victini-EX</x:v>
      </x:c>
      <x:c r="D684" t="str">
        <x:v>24/113</x:v>
      </x:c>
      <x:c r="E684" t="str">
        <x:v>Legendary Treasures</x:v>
      </x:c>
      <x:c r="F684" t="n">
        <x:v>2013</x:v>
      </x:c>
      <x:c r="G684" t="str">
        <x:v>Holo EX</x:v>
      </x:c>
      <x:c r="H684" t="str">
        <x:v>1 of 1</x:v>
      </x:c>
      <x:c r="I684" t="n">
        <x:v>6.5</x:v>
      </x:c>
      <x:c r="J684" t="n">
        <x:v>9.5</x:v>
      </x:c>
      <x:c r="K684" t="n">
        <x:v>8</x:v>
      </x:c>
      <x:c r="L684" t="str">
        <x:v>$5–20</x:v>
      </x:c>
      <x:c r="M684" t="str">
        <x:v>Yes</x:v>
      </x:c>
      <x:c r="N684" t="str">
        <x:v>No</x:v>
      </x:c>
      <x:c r="O684" t="str">
        <x:v>Yes</x:v>
      </x:c>
      <x:c r="P684" t="str">
        <x:v>Condition not yet reviewed</x:v>
      </x:c>
      <x:c r="Q684" t="n">
        <x:v>6.5</x:v>
      </x:c>
      <x:c r="R684" t="n">
        <x:v>9.5</x:v>
      </x:c>
      <x:c r="S684" t="n">
        <x:v>8</x:v>
      </x:c>
      <x:c r="T684" t="str">
        <x:v>Imported from user's PriceCharting Collection.pdf, page 5. PDF row value $6.00; quantity 1; per-card allocation $6.00. Imported value is carried exactly from the PDF and has not been independently repriced. EXTERNAL REPRICE (2026-08-17): Current TCGplayer/PokeScope around $8–9.</x:v>
      </x:c>
      <x:c r="U684" t="n">
        <x:v>991</x:v>
      </x:c>
      <x:c r="V684" t="str">
        <x:v>Collection.pdf + current TCGplayer/cross-market research 2026-08-17</x:v>
      </x:c>
      <x:c r="W684" t="str">
        <x:v>https://www.tcgplayer.com/search/pokemon/product?q=Victini+EX+%2324+Legendary+Treasures</x:v>
      </x:c>
    </x:row>
    <x:row r="685">
      <x:c r="A685" t="n">
        <x:v>684</x:v>
      </x:c>
      <x:c r="B685" t="str">
        <x:v>PDF Import / Added Cards</x:v>
      </x:c>
      <x:c r="C685" t="str">
        <x:v>Shaymin-EX</x:v>
      </x:c>
      <x:c r="D685" t="str">
        <x:v>5/99</x:v>
      </x:c>
      <x:c r="E685" t="str">
        <x:v>Next Destinies</x:v>
      </x:c>
      <x:c r="F685" t="n">
        <x:v>2012</x:v>
      </x:c>
      <x:c r="G685" t="str">
        <x:v>Holo EX</x:v>
      </x:c>
      <x:c r="H685" t="str">
        <x:v>1 of 1</x:v>
      </x:c>
      <x:c r="I685" t="n">
        <x:v>8</x:v>
      </x:c>
      <x:c r="J685" t="n">
        <x:v>12</x:v>
      </x:c>
      <x:c r="K685" t="n">
        <x:v>10</x:v>
      </x:c>
      <x:c r="L685" t="str">
        <x:v>$5–20</x:v>
      </x:c>
      <x:c r="M685" t="str">
        <x:v>Yes</x:v>
      </x:c>
      <x:c r="N685" t="str">
        <x:v>No</x:v>
      </x:c>
      <x:c r="O685" t="str">
        <x:v>Yes</x:v>
      </x:c>
      <x:c r="P685" t="str">
        <x:v>Condition not yet reviewed</x:v>
      </x:c>
      <x:c r="Q685" t="n">
        <x:v>8</x:v>
      </x:c>
      <x:c r="R685" t="n">
        <x:v>12</x:v>
      </x:c>
      <x:c r="S685" t="n">
        <x:v>10</x:v>
      </x:c>
      <x:c r="T685" t="str">
        <x:v>Imported from user's PriceCharting Collection.pdf, page 6. PDF row value $8.05; quantity 1; per-card allocation $8.05. Imported value is carried exactly from the PDF and has not been independently repriced. EXTERNAL REPRICE (2026-08-17): Current TCGplayer/PokeScope around $10–11.</x:v>
      </x:c>
      <x:c r="U685" t="n">
        <x:v>991</x:v>
      </x:c>
      <x:c r="V685" t="str">
        <x:v>Collection.pdf + current TCGplayer/cross-market research 2026-08-17</x:v>
      </x:c>
      <x:c r="W685" t="str">
        <x:v>https://www.tcgplayer.com/search/pokemon/product?q=Shaymin+EX+%235+Next+Destinies</x:v>
      </x:c>
    </x:row>
    <x:row r="686">
      <x:c r="A686" t="n">
        <x:v>685</x:v>
      </x:c>
      <x:c r="B686" t="str">
        <x:v>PDF Import / Added Cards</x:v>
      </x:c>
      <x:c r="C686" t="str">
        <x:v>Zekrom-EX</x:v>
      </x:c>
      <x:c r="D686" t="str">
        <x:v>BW38</x:v>
      </x:c>
      <x:c r="E686" t="str">
        <x:v>Promo</x:v>
      </x:c>
      <x:c r="F686"/>
      <x:c r="G686" t="str">
        <x:v>Holo EX</x:v>
      </x:c>
      <x:c r="H686" t="str">
        <x:v>1 of 1</x:v>
      </x:c>
      <x:c r="I686" t="n">
        <x:v>7</x:v>
      </x:c>
      <x:c r="J686" t="n">
        <x:v>10.5</x:v>
      </x:c>
      <x:c r="K686" t="n">
        <x:v>8.75</x:v>
      </x:c>
      <x:c r="L686" t="str">
        <x:v>$5–20</x:v>
      </x:c>
      <x:c r="M686" t="str">
        <x:v>Yes</x:v>
      </x:c>
      <x:c r="N686" t="str">
        <x:v>No</x:v>
      </x:c>
      <x:c r="O686" t="str">
        <x:v>Yes</x:v>
      </x:c>
      <x:c r="P686" t="str">
        <x:v>Condition not yet reviewed</x:v>
      </x:c>
      <x:c r="Q686" t="n">
        <x:v>7</x:v>
      </x:c>
      <x:c r="R686" t="n">
        <x:v>10.5</x:v>
      </x:c>
      <x:c r="S686" t="n">
        <x:v>8.75</x:v>
      </x:c>
      <x:c r="T686" t="str">
        <x:v>Imported from user's PriceCharting Collection.pdf, page 6. PDF row value $5.95; quantity 1; per-card allocation $5.95. Imported value is carried exactly from the PDF and has not been independently repriced. EXTERNAL REPRICE (2026-08-17): Current TCGplayer market around $8.5–9.</x:v>
      </x:c>
      <x:c r="U686" t="n">
        <x:v>991</x:v>
      </x:c>
      <x:c r="V686" t="str">
        <x:v>Collection.pdf + current TCGplayer/cross-market research 2026-08-17</x:v>
      </x:c>
      <x:c r="W686" t="str">
        <x:v>https://www.tcgplayer.com/search/pokemon/product?q=Zekrom+EX+%23BW38+Promo</x:v>
      </x:c>
    </x:row>
    <x:row r="687">
      <x:c r="A687" t="n">
        <x:v>686</x:v>
      </x:c>
      <x:c r="B687" t="str">
        <x:v>PDF Import / Added Cards</x:v>
      </x:c>
      <x:c r="C687" t="str">
        <x:v>Reshiram-EX</x:v>
      </x:c>
      <x:c r="D687" t="str">
        <x:v>29/113</x:v>
      </x:c>
      <x:c r="E687" t="str">
        <x:v>Legendary Treasures</x:v>
      </x:c>
      <x:c r="F687" t="n">
        <x:v>2013</x:v>
      </x:c>
      <x:c r="G687" t="str">
        <x:v>Holo EX</x:v>
      </x:c>
      <x:c r="H687" t="str">
        <x:v>1 of 1</x:v>
      </x:c>
      <x:c r="I687" t="n">
        <x:v>9</x:v>
      </x:c>
      <x:c r="J687" t="n">
        <x:v>14</x:v>
      </x:c>
      <x:c r="K687" t="n">
        <x:v>11.5</x:v>
      </x:c>
      <x:c r="L687" t="str">
        <x:v>$5–20</x:v>
      </x:c>
      <x:c r="M687" t="str">
        <x:v>Yes</x:v>
      </x:c>
      <x:c r="N687" t="str">
        <x:v>No</x:v>
      </x:c>
      <x:c r="O687" t="str">
        <x:v>Yes</x:v>
      </x:c>
      <x:c r="P687" t="str">
        <x:v>Condition not yet reviewed</x:v>
      </x:c>
      <x:c r="Q687" t="n">
        <x:v>9</x:v>
      </x:c>
      <x:c r="R687" t="n">
        <x:v>14</x:v>
      </x:c>
      <x:c r="S687" t="n">
        <x:v>11.5</x:v>
      </x:c>
      <x:c r="T687" t="str">
        <x:v>Imported from user's PriceCharting Collection.pdf, page 6. PDF row value $11.55; quantity 1; per-card allocation $11.55. Imported value is carried exactly from the PDF and has not been independently repriced. EXTERNAL REPRICE (2026-08-17): Current Legendary Treasures market around $11–12.</x:v>
      </x:c>
      <x:c r="U687" t="n">
        <x:v>991</x:v>
      </x:c>
      <x:c r="V687" t="str">
        <x:v>Collection.pdf + current TCGplayer/cross-market research 2026-08-17</x:v>
      </x:c>
      <x:c r="W687" t="str">
        <x:v>https://www.tcgplayer.com/search/pokemon/product?q=Reshiram+EX+%2329+Legendary+Treasures</x:v>
      </x:c>
    </x:row>
    <x:row r="688">
      <x:c r="A688" t="n">
        <x:v>687</x:v>
      </x:c>
      <x:c r="B688" t="str">
        <x:v>PDF Import / Added Cards</x:v>
      </x:c>
      <x:c r="C688" t="str">
        <x:v>Empoleon BREAK</x:v>
      </x:c>
      <x:c r="D688" t="str">
        <x:v>XY134</x:v>
      </x:c>
      <x:c r="E688" t="str">
        <x:v>Promo</x:v>
      </x:c>
      <x:c r="F688"/>
      <x:c r="G688" t="str">
        <x:v>BREAK Holo</x:v>
      </x:c>
      <x:c r="H688" t="str">
        <x:v>1 of 1</x:v>
      </x:c>
      <x:c r="I688" t="n">
        <x:v>15</x:v>
      </x:c>
      <x:c r="J688" t="n">
        <x:v>22</x:v>
      </x:c>
      <x:c r="K688" t="n">
        <x:v>18.5</x:v>
      </x:c>
      <x:c r="L688" t="str">
        <x:v>$5–20</x:v>
      </x:c>
      <x:c r="M688" t="str">
        <x:v>Yes</x:v>
      </x:c>
      <x:c r="N688" t="str">
        <x:v>No</x:v>
      </x:c>
      <x:c r="O688" t="str">
        <x:v>Yes</x:v>
      </x:c>
      <x:c r="P688" t="str">
        <x:v>Condition not yet reviewed</x:v>
      </x:c>
      <x:c r="Q688" t="n">
        <x:v>15</x:v>
      </x:c>
      <x:c r="R688" t="n">
        <x:v>22</x:v>
      </x:c>
      <x:c r="S688" t="n">
        <x:v>18.5</x:v>
      </x:c>
      <x:c r="T688" t="str">
        <x:v>Imported from user's PriceCharting Collection.pdf, page 6. PDF row value $12.96; quantity 1; per-card allocation $12.96. Imported value is carried exactly from the PDF and has not been independently repriced. EXTERNAL REPRICE (2026-08-17): Current standard-size TCGplayer promo market around $19; jumbo excluded.</x:v>
      </x:c>
      <x:c r="U688" t="n">
        <x:v>991</x:v>
      </x:c>
      <x:c r="V688" t="str">
        <x:v>Collection.pdf + current TCGplayer/cross-market research 2026-08-17</x:v>
      </x:c>
      <x:c r="W688" t="str">
        <x:v>https://www.tcgplayer.com/search/pokemon/product?q=Empoleon+BREAK+%23XY134+Promo</x:v>
      </x:c>
    </x:row>
    <x:row r="689">
      <x:c r="A689" t="n">
        <x:v>688</x:v>
      </x:c>
      <x:c r="B689" t="str">
        <x:v>PDF Import / Added Cards</x:v>
      </x:c>
      <x:c r="C689" t="str">
        <x:v>Marowak BREAK</x:v>
      </x:c>
      <x:c r="D689" t="str">
        <x:v>79/162</x:v>
      </x:c>
      <x:c r="E689" t="str">
        <x:v>BREAKthrough</x:v>
      </x:c>
      <x:c r="F689" t="n">
        <x:v>2015</x:v>
      </x:c>
      <x:c r="G689" t="str">
        <x:v>BREAK Holo</x:v>
      </x:c>
      <x:c r="H689" t="str">
        <x:v>1 of 1</x:v>
      </x:c>
      <x:c r="I689" t="n">
        <x:v>4.5</x:v>
      </x:c>
      <x:c r="J689" t="n">
        <x:v>7</x:v>
      </x:c>
      <x:c r="K689" t="n">
        <x:v>5.75</x:v>
      </x:c>
      <x:c r="L689" t="str">
        <x:v>$5–20</x:v>
      </x:c>
      <x:c r="M689" t="str">
        <x:v>Yes</x:v>
      </x:c>
      <x:c r="N689" t="str">
        <x:v>No</x:v>
      </x:c>
      <x:c r="O689" t="str">
        <x:v>Yes</x:v>
      </x:c>
      <x:c r="P689" t="str">
        <x:v>Condition not yet reviewed</x:v>
      </x:c>
      <x:c r="Q689" t="n">
        <x:v>4.5</x:v>
      </x:c>
      <x:c r="R689" t="n">
        <x:v>7</x:v>
      </x:c>
      <x:c r="S689" t="n">
        <x:v>5.75</x:v>
      </x:c>
      <x:c r="T689" t="str">
        <x:v>Imported from user's PriceCharting Collection.pdf, page 6. PDF row value $4.14; quantity 1; per-card allocation $4.14. Imported value is carried exactly from the PDF and has not been independently repriced. EXTERNAL REPRICE (2026-08-17): Current TCGplayer/PokeScope roughly $5.5–6.5.</x:v>
      </x:c>
      <x:c r="U689" t="n">
        <x:v>991</x:v>
      </x:c>
      <x:c r="V689" t="str">
        <x:v>Collection.pdf + current TCGplayer/cross-market research 2026-08-17</x:v>
      </x:c>
      <x:c r="W689" t="str">
        <x:v>https://www.tcgplayer.com/search/pokemon/product?q=Marowak+BREAK+%2379+BREAKthrough</x:v>
      </x:c>
    </x:row>
    <x:row r="690">
      <x:c r="A690" t="n">
        <x:v>689</x:v>
      </x:c>
      <x:c r="B690" t="str">
        <x:v>PDF Import / Added Cards</x:v>
      </x:c>
      <x:c r="C690" t="str">
        <x:v>Magnezone-EX</x:v>
      </x:c>
      <x:c r="D690" t="str">
        <x:v>35/106</x:v>
      </x:c>
      <x:c r="E690" t="str">
        <x:v>Flashfire</x:v>
      </x:c>
      <x:c r="F690" t="n">
        <x:v>2014</x:v>
      </x:c>
      <x:c r="G690" t="str">
        <x:v>Holo EX</x:v>
      </x:c>
      <x:c r="H690" t="str">
        <x:v>1 of 1</x:v>
      </x:c>
      <x:c r="I690" t="n">
        <x:v>2</x:v>
      </x:c>
      <x:c r="J690" t="n">
        <x:v>3.5</x:v>
      </x:c>
      <x:c r="K690" t="n">
        <x:v>2.75</x:v>
      </x:c>
      <x:c r="L690" t="str">
        <x:v>$1–5</x:v>
      </x:c>
      <x:c r="M690" t="str">
        <x:v>Yes</x:v>
      </x:c>
      <x:c r="N690" t="str">
        <x:v>No</x:v>
      </x:c>
      <x:c r="O690" t="str">
        <x:v>Yes</x:v>
      </x:c>
      <x:c r="P690" t="str">
        <x:v>Condition not yet reviewed</x:v>
      </x:c>
      <x:c r="Q690" t="n">
        <x:v>2</x:v>
      </x:c>
      <x:c r="R690" t="n">
        <x:v>3.5</x:v>
      </x:c>
      <x:c r="S690" t="n">
        <x:v>2.75</x:v>
      </x:c>
      <x:c r="T690" t="str">
        <x:v>Imported from user's PriceCharting Collection.pdf, page 6. PDF row value $2.72; quantity 1; per-card allocation $2.72. Imported value is carried exactly from the PDF and has not been independently repriced. EXTERNAL REPRICE (2026-08-17): Current TCGplayer/PokeScope around $2.7–2.8.</x:v>
      </x:c>
      <x:c r="U690" t="n">
        <x:v>991</x:v>
      </x:c>
      <x:c r="V690" t="str">
        <x:v>Collection.pdf + current TCGplayer/cross-market research 2026-08-17</x:v>
      </x:c>
      <x:c r="W690" t="str">
        <x:v>https://www.tcgplayer.com/search/pokemon/product?q=Magnezone+EX+%2335+Flashfire</x:v>
      </x:c>
    </x:row>
    <x:row r="691">
      <x:c r="A691" t="n">
        <x:v>690</x:v>
      </x:c>
      <x:c r="B691" t="str">
        <x:v>PDF Import / Added Cards</x:v>
      </x:c>
      <x:c r="C691" t="str">
        <x:v>Deoxys-EX</x:v>
      </x:c>
      <x:c r="D691" t="str">
        <x:v>BW82</x:v>
      </x:c>
      <x:c r="E691" t="str">
        <x:v>Promo</x:v>
      </x:c>
      <x:c r="F691"/>
      <x:c r="G691" t="str">
        <x:v>Holo EX</x:v>
      </x:c>
      <x:c r="H691" t="str">
        <x:v>1 of 1</x:v>
      </x:c>
      <x:c r="I691" t="n">
        <x:v>15</x:v>
      </x:c>
      <x:c r="J691" t="n">
        <x:v>25</x:v>
      </x:c>
      <x:c r="K691" t="n">
        <x:v>20</x:v>
      </x:c>
      <x:c r="L691" t="str">
        <x:v>$20+</x:v>
      </x:c>
      <x:c r="M691" t="str">
        <x:v>Yes</x:v>
      </x:c>
      <x:c r="N691" t="str">
        <x:v>Yes</x:v>
      </x:c>
      <x:c r="O691" t="str">
        <x:v>Yes</x:v>
      </x:c>
      <x:c r="P691" t="str">
        <x:v>Condition not yet reviewed</x:v>
      </x:c>
      <x:c r="Q691" t="n">
        <x:v>15</x:v>
      </x:c>
      <x:c r="R691" t="n">
        <x:v>25</x:v>
      </x:c>
      <x:c r="S691" t="n">
        <x:v>20</x:v>
      </x:c>
      <x:c r="T691" t="str">
        <x:v>Imported from user's PriceCharting Collection.pdf, page 6. PDF row value $14.67; quantity 1; per-card allocation $14.67. Imported value is carried exactly from the PDF and has not been independently repriced. EXTERNAL REPRICE (2026-08-17): Current TCGplayer market around low-$20s; recent raw comps span mid-teens to low-$20s.</x:v>
      </x:c>
      <x:c r="U691" t="n">
        <x:v>991</x:v>
      </x:c>
      <x:c r="V691" t="str">
        <x:v>Collection.pdf + current TCGplayer/cross-market research 2026-08-17</x:v>
      </x:c>
      <x:c r="W691" t="str">
        <x:v>https://www.tcgplayer.com/search/pokemon/product?q=Deoxys+EX+%23BW82+Promo</x:v>
      </x:c>
    </x:row>
    <x:row r="692">
      <x:c r="A692" t="n">
        <x:v>691</x:v>
      </x:c>
      <x:c r="B692" t="str">
        <x:v>PDF Import / Added Cards</x:v>
      </x:c>
      <x:c r="C692" t="str">
        <x:v>M Kangaskhan-EX</x:v>
      </x:c>
      <x:c r="D692" t="str">
        <x:v>79/106</x:v>
      </x:c>
      <x:c r="E692" t="str">
        <x:v>Flashfire</x:v>
      </x:c>
      <x:c r="F692" t="n">
        <x:v>2014</x:v>
      </x:c>
      <x:c r="G692" t="str">
        <x:v>Holo EX</x:v>
      </x:c>
      <x:c r="H692" t="str">
        <x:v>1 of 1</x:v>
      </x:c>
      <x:c r="I692" t="n">
        <x:v>16</x:v>
      </x:c>
      <x:c r="J692" t="n">
        <x:v>22</x:v>
      </x:c>
      <x:c r="K692" t="n">
        <x:v>19</x:v>
      </x:c>
      <x:c r="L692" t="str">
        <x:v>$5–20</x:v>
      </x:c>
      <x:c r="M692" t="str">
        <x:v>Yes</x:v>
      </x:c>
      <x:c r="N692" t="str">
        <x:v>No</x:v>
      </x:c>
      <x:c r="O692" t="str">
        <x:v>Yes</x:v>
      </x:c>
      <x:c r="P692" t="str">
        <x:v>Condition not yet reviewed</x:v>
      </x:c>
      <x:c r="Q692" t="n">
        <x:v>16</x:v>
      </x:c>
      <x:c r="R692" t="n">
        <x:v>22</x:v>
      </x:c>
      <x:c r="S692" t="n">
        <x:v>19</x:v>
      </x:c>
      <x:c r="T692" t="str">
        <x:v>Imported from user's PriceCharting Collection.pdf, page 7. PDF row value $15.06; quantity 1; per-card allocation $15.06. Imported value is carried exactly from the PDF and has not been independently repriced. EXTERNAL REPRICE (2026-08-17): Current TCGplayer/Pallet around $19–20.</x:v>
      </x:c>
      <x:c r="U692" t="n">
        <x:v>991</x:v>
      </x:c>
      <x:c r="V692" t="str">
        <x:v>Collection.pdf + current TCGplayer/cross-market research 2026-08-17</x:v>
      </x:c>
      <x:c r="W692" t="str">
        <x:v>https://www.tcgplayer.com/search/pokemon/product?q=M+Kangaskhan+EX+%2379+Flashfire</x:v>
      </x:c>
    </x:row>
    <x:row r="693">
      <x:c r="A693" t="n">
        <x:v>692</x:v>
      </x:c>
      <x:c r="B693" t="str">
        <x:v>PDF Import / Added Cards</x:v>
      </x:c>
      <x:c r="C693" t="str">
        <x:v>Meloetta</x:v>
      </x:c>
      <x:c r="D693" t="str">
        <x:v>77/149</x:v>
      </x:c>
      <x:c r="E693" t="str">
        <x:v>Boundaries Crossed</x:v>
      </x:c>
      <x:c r="F693" t="n">
        <x:v>2012</x:v>
      </x:c>
      <x:c r="G693" t="str">
        <x:v>As listed in PriceCharting PDF; foil unspecified</x:v>
      </x:c>
      <x:c r="H693" t="str">
        <x:v>1 of 1</x:v>
      </x:c>
      <x:c r="I693" t="n">
        <x:v>8</x:v>
      </x:c>
      <x:c r="J693" t="n">
        <x:v>13</x:v>
      </x:c>
      <x:c r="K693" t="n">
        <x:v>10.5</x:v>
      </x:c>
      <x:c r="L693" t="str">
        <x:v>$5–20</x:v>
      </x:c>
      <x:c r="M693" t="str">
        <x:v>Yes</x:v>
      </x:c>
      <x:c r="N693" t="str">
        <x:v>No</x:v>
      </x:c>
      <x:c r="O693" t="str">
        <x:v>Yes</x:v>
      </x:c>
      <x:c r="P693" t="str">
        <x:v>Condition not yet reviewed</x:v>
      </x:c>
      <x:c r="Q693" t="n">
        <x:v>8</x:v>
      </x:c>
      <x:c r="R693" t="n">
        <x:v>13</x:v>
      </x:c>
      <x:c r="S693" t="n">
        <x:v>10.5</x:v>
      </x:c>
      <x:c r="T693" t="str">
        <x:v>Imported from user's PriceCharting Collection.pdf, page 7. PDF row value $2.99; quantity 1; per-card allocation $2.99. Imported value is carried exactly from the PDF and has not been independently repriced. EXTERNAL REPRICE (2026-08-17): Treated as the holo set printing shown/listed; TCGplayer holo market around $10. Normal non-holo/deck variant would be much lower.</x:v>
      </x:c>
      <x:c r="U693" t="n">
        <x:v>991</x:v>
      </x:c>
      <x:c r="V693" t="str">
        <x:v>Collection.pdf + current TCGplayer/cross-market research 2026-08-17</x:v>
      </x:c>
      <x:c r="W693" t="str">
        <x:v>https://www.tcgplayer.com/search/pokemon/product?q=Meloetta+%2377+Boundaries+Crossed</x:v>
      </x:c>
    </x:row>
    <x:row r="694">
      <x:c r="A694" t="n">
        <x:v>693</x:v>
      </x:c>
      <x:c r="B694" t="str">
        <x:v>PDF Import / Added Cards</x:v>
      </x:c>
      <x:c r="C694" t="str">
        <x:v>Phione</x:v>
      </x:c>
      <x:c r="D694" t="str">
        <x:v>36/113</x:v>
      </x:c>
      <x:c r="E694" t="str">
        <x:v>Legendary Treasures</x:v>
      </x:c>
      <x:c r="F694" t="n">
        <x:v>2013</x:v>
      </x:c>
      <x:c r="G694" t="str">
        <x:v>Reverse Holo</x:v>
      </x:c>
      <x:c r="H694" t="str">
        <x:v>1 of 1</x:v>
      </x:c>
      <x:c r="I694" t="n">
        <x:v>9</x:v>
      </x:c>
      <x:c r="J694" t="n">
        <x:v>13</x:v>
      </x:c>
      <x:c r="K694" t="n">
        <x:v>11</x:v>
      </x:c>
      <x:c r="L694" t="str">
        <x:v>$5–20</x:v>
      </x:c>
      <x:c r="M694" t="str">
        <x:v>Yes</x:v>
      </x:c>
      <x:c r="N694" t="str">
        <x:v>No</x:v>
      </x:c>
      <x:c r="O694" t="str">
        <x:v>Yes</x:v>
      </x:c>
      <x:c r="P694" t="str">
        <x:v>Condition not yet reviewed</x:v>
      </x:c>
      <x:c r="Q694" t="n">
        <x:v>9</x:v>
      </x:c>
      <x:c r="R694" t="n">
        <x:v>13</x:v>
      </x:c>
      <x:c r="S694" t="n">
        <x:v>11</x:v>
      </x:c>
      <x:c r="T694" t="str">
        <x:v>Imported from user's PriceCharting Collection.pdf, page 7. PDF row value $9.24; quantity 1; per-card allocation $9.24. Imported value is carried exactly from the PDF and has not been independently repriced. EXTERNAL REPRICE (2026-08-17): Current TCGplayer reverse-holo guide around $11.</x:v>
      </x:c>
      <x:c r="U694" t="n">
        <x:v>991</x:v>
      </x:c>
      <x:c r="V694" t="str">
        <x:v>Collection.pdf + current TCGplayer/cross-market research 2026-08-17</x:v>
      </x:c>
      <x:c r="W694" t="str">
        <x:v>https://www.tcgplayer.com/search/pokemon/product?q=Phione+%5BReverse+Holo%5D+%2336+Legendary+Treasures</x:v>
      </x:c>
    </x:row>
    <x:row r="695">
      <x:c r="A695" t="n">
        <x:v>694</x:v>
      </x:c>
      <x:c r="B695" t="str">
        <x:v>PDF Import / Added Cards</x:v>
      </x:c>
      <x:c r="C695" t="str">
        <x:v>Victini</x:v>
      </x:c>
      <x:c r="D695" t="str">
        <x:v>23/113</x:v>
      </x:c>
      <x:c r="E695" t="str">
        <x:v>Legendary Treasures</x:v>
      </x:c>
      <x:c r="F695" t="n">
        <x:v>2013</x:v>
      </x:c>
      <x:c r="G695" t="str">
        <x:v>As listed in PriceCharting PDF; foil unspecified</x:v>
      </x:c>
      <x:c r="H695" t="str">
        <x:v>1 of 1</x:v>
      </x:c>
      <x:c r="I695" t="n">
        <x:v>3</x:v>
      </x:c>
      <x:c r="J695" t="n">
        <x:v>6</x:v>
      </x:c>
      <x:c r="K695" t="n">
        <x:v>4.5</x:v>
      </x:c>
      <x:c r="L695" t="str">
        <x:v>$1–5</x:v>
      </x:c>
      <x:c r="M695" t="str">
        <x:v>Yes</x:v>
      </x:c>
      <x:c r="N695" t="str">
        <x:v>No</x:v>
      </x:c>
      <x:c r="O695" t="str">
        <x:v>Yes</x:v>
      </x:c>
      <x:c r="P695" t="str">
        <x:v>Condition not yet reviewed</x:v>
      </x:c>
      <x:c r="Q695" t="n">
        <x:v>3</x:v>
      </x:c>
      <x:c r="R695" t="n">
        <x:v>6</x:v>
      </x:c>
      <x:c r="S695" t="n">
        <x:v>4.5</x:v>
      </x:c>
      <x:c r="T695" t="str">
        <x:v>Imported from user's PriceCharting Collection.pdf, page 7. PDF row value $4.00; quantity 1; per-card allocation $4.00. Imported value is carried exactly from the PDF and has not been independently repriced. EXTERNAL REPRICE (2026-08-17): Legendary Treasures holo market roughly low-single digits.</x:v>
      </x:c>
      <x:c r="U695" t="n">
        <x:v>991</x:v>
      </x:c>
      <x:c r="V695" t="str">
        <x:v>Collection.pdf + current TCGplayer/cross-market research 2026-08-17</x:v>
      </x:c>
      <x:c r="W695" t="str">
        <x:v>https://www.tcgplayer.com/search/pokemon/product?q=Victini+%2323+Legendary+Treasures</x:v>
      </x:c>
    </x:row>
    <x:row r="696">
      <x:c r="A696" t="n">
        <x:v>695</x:v>
      </x:c>
      <x:c r="B696" t="str">
        <x:v>PDF Import / Added Cards</x:v>
      </x:c>
      <x:c r="C696" t="str">
        <x:v>Cobalion</x:v>
      </x:c>
      <x:c r="D696" t="str">
        <x:v>84/101</x:v>
      </x:c>
      <x:c r="E696" t="str">
        <x:v>Noble Victories</x:v>
      </x:c>
      <x:c r="F696" t="n">
        <x:v>2011</x:v>
      </x:c>
      <x:c r="G696" t="str">
        <x:v>As listed in PriceCharting PDF; foil unspecified</x:v>
      </x:c>
      <x:c r="H696" t="str">
        <x:v>1 of 1</x:v>
      </x:c>
      <x:c r="I696" t="n">
        <x:v>1</x:v>
      </x:c>
      <x:c r="J696" t="n">
        <x:v>2</x:v>
      </x:c>
      <x:c r="K696" t="n">
        <x:v>1.5</x:v>
      </x:c>
      <x:c r="L696" t="str">
        <x:v>$1–5</x:v>
      </x:c>
      <x:c r="M696" t="str">
        <x:v>Yes</x:v>
      </x:c>
      <x:c r="N696" t="str">
        <x:v>No</x:v>
      </x:c>
      <x:c r="O696" t="str">
        <x:v>Yes</x:v>
      </x:c>
      <x:c r="P696" t="str">
        <x:v>Condition not yet reviewed</x:v>
      </x:c>
      <x:c r="Q696" t="n">
        <x:v>1</x:v>
      </x:c>
      <x:c r="R696" t="n">
        <x:v>2</x:v>
      </x:c>
      <x:c r="S696" t="n">
        <x:v>1.5</x:v>
      </x:c>
      <x:c r="T696" t="str">
        <x:v>Imported from user's PriceCharting Collection.pdf, page 7. PDF row value $1.70; quantity 1; per-card allocation $1.70. Imported value is carried exactly from the PDF and has not been independently repriced. EXTERNAL REPRICE (2026-08-17): Current TCGplayer market around $1.5.</x:v>
      </x:c>
      <x:c r="U696" t="n">
        <x:v>991</x:v>
      </x:c>
      <x:c r="V696" t="str">
        <x:v>Collection.pdf + current TCGplayer/cross-market research 2026-08-17</x:v>
      </x:c>
      <x:c r="W696" t="str">
        <x:v>https://www.tcgplayer.com/search/pokemon/product?q=Cobalion+%2384+Noble+Victories</x:v>
      </x:c>
    </x:row>
    <x:row r="697">
      <x:c r="A697" t="n">
        <x:v>696</x:v>
      </x:c>
      <x:c r="B697" t="str">
        <x:v>PDF Import / Added Cards</x:v>
      </x:c>
      <x:c r="C697" t="str">
        <x:v>Cobalion</x:v>
      </x:c>
      <x:c r="D697" t="str">
        <x:v>77/98</x:v>
      </x:c>
      <x:c r="E697" t="str">
        <x:v>Emerging Powers</x:v>
      </x:c>
      <x:c r="F697" t="n">
        <x:v>2011</x:v>
      </x:c>
      <x:c r="G697" t="str">
        <x:v>As listed in PriceCharting PDF; foil unspecified</x:v>
      </x:c>
      <x:c r="H697" t="str">
        <x:v>1 of 1</x:v>
      </x:c>
      <x:c r="I697" t="n">
        <x:v>1</x:v>
      </x:c>
      <x:c r="J697" t="n">
        <x:v>2</x:v>
      </x:c>
      <x:c r="K697" t="n">
        <x:v>1.5</x:v>
      </x:c>
      <x:c r="L697" t="str">
        <x:v>$1–5</x:v>
      </x:c>
      <x:c r="M697" t="str">
        <x:v>Yes</x:v>
      </x:c>
      <x:c r="N697" t="str">
        <x:v>No</x:v>
      </x:c>
      <x:c r="O697" t="str">
        <x:v>Yes</x:v>
      </x:c>
      <x:c r="P697" t="str">
        <x:v>Condition not yet reviewed</x:v>
      </x:c>
      <x:c r="Q697" t="n">
        <x:v>1</x:v>
      </x:c>
      <x:c r="R697" t="n">
        <x:v>2</x:v>
      </x:c>
      <x:c r="S697" t="n">
        <x:v>1.5</x:v>
      </x:c>
      <x:c r="T697" t="str">
        <x:v>Imported from user's PriceCharting Collection.pdf, page 7. PDF row value $1.88; quantity 1; per-card allocation $1.88. Imported value is carried exactly from the PDF and has not been independently repriced. EXTERNAL REPRICE (2026-08-17): Current TCGplayer market around $1.5.</x:v>
      </x:c>
      <x:c r="U697" t="n">
        <x:v>991</x:v>
      </x:c>
      <x:c r="V697" t="str">
        <x:v>Collection.pdf + current TCGplayer/cross-market research 2026-08-17</x:v>
      </x:c>
      <x:c r="W697" t="str">
        <x:v>https://www.tcgplayer.com/search/pokemon/product?q=Cobalion+%2377+Emerging+Powers</x:v>
      </x:c>
    </x:row>
    <x:row r="698">
      <x:c r="A698" t="n">
        <x:v>697</x:v>
      </x:c>
      <x:c r="B698" t="str">
        <x:v>PDF Import / Added Cards</x:v>
      </x:c>
      <x:c r="C698" t="str">
        <x:v>Arceus</x:v>
      </x:c>
      <x:c r="D698" t="str">
        <x:v>AR3/AR9</x:v>
      </x:c>
      <x:c r="E698" t="str">
        <x:v>Arceus</x:v>
      </x:c>
      <x:c r="F698" t="n">
        <x:v>2009</x:v>
      </x:c>
      <x:c r="G698" t="str">
        <x:v>Arceus subset holo</x:v>
      </x:c>
      <x:c r="H698" t="str">
        <x:v>1 of 1</x:v>
      </x:c>
      <x:c r="I698" t="n">
        <x:v>22</x:v>
      </x:c>
      <x:c r="J698" t="n">
        <x:v>36</x:v>
      </x:c>
      <x:c r="K698" t="n">
        <x:v>29</x:v>
      </x:c>
      <x:c r="L698" t="str">
        <x:v>$20+</x:v>
      </x:c>
      <x:c r="M698" t="str">
        <x:v>Yes</x:v>
      </x:c>
      <x:c r="N698" t="str">
        <x:v>Yes</x:v>
      </x:c>
      <x:c r="O698" t="str">
        <x:v>Yes</x:v>
      </x:c>
      <x:c r="P698" t="str">
        <x:v>Condition not yet reviewed</x:v>
      </x:c>
      <x:c r="Q698" t="n">
        <x:v>22</x:v>
      </x:c>
      <x:c r="R698" t="n">
        <x:v>36</x:v>
      </x:c>
      <x:c r="S698" t="n">
        <x:v>29</x:v>
      </x:c>
      <x:c r="T698" t="str">
        <x:v>Imported from user's PriceCharting Collection.pdf, page 7. PDF row value $18.38; quantity 1; per-card allocation $18.38. Imported value is carried exactly from the PDF and has not been independently repriced. EXTERNAL REPRICE (2026-08-17): TCGplayer market about $35–36; TCGIndex lower around $20; range reflects both.</x:v>
      </x:c>
      <x:c r="U698" t="n">
        <x:v>991</x:v>
      </x:c>
      <x:c r="V698" t="str">
        <x:v>Collection.pdf + current TCGplayer/cross-market research 2026-08-17</x:v>
      </x:c>
      <x:c r="W698" t="str">
        <x:v>https://www.tcgplayer.com/search/pokemon/product?q=Arceus+%23AR3+Arceus</x:v>
      </x:c>
    </x:row>
    <x:row r="699">
      <x:c r="A699" t="n">
        <x:v>698</x:v>
      </x:c>
      <x:c r="B699" t="str">
        <x:v>PDF Import / Added Cards</x:v>
      </x:c>
      <x:c r="C699" t="str">
        <x:v>Ditto</x:v>
      </x:c>
      <x:c r="D699" t="str">
        <x:v>108/149</x:v>
      </x:c>
      <x:c r="E699" t="str">
        <x:v>Boundaries Crossed</x:v>
      </x:c>
      <x:c r="F699" t="n">
        <x:v>2012</x:v>
      </x:c>
      <x:c r="G699" t="str">
        <x:v>Reverse Holo</x:v>
      </x:c>
      <x:c r="H699" t="str">
        <x:v>1 of 1</x:v>
      </x:c>
      <x:c r="I699" t="n">
        <x:v>65</x:v>
      </x:c>
      <x:c r="J699" t="n">
        <x:v>90</x:v>
      </x:c>
      <x:c r="K699" t="n">
        <x:v>77.5</x:v>
      </x:c>
      <x:c r="L699" t="str">
        <x:v>$20+</x:v>
      </x:c>
      <x:c r="M699" t="str">
        <x:v>Yes</x:v>
      </x:c>
      <x:c r="N699" t="str">
        <x:v>Yes</x:v>
      </x:c>
      <x:c r="O699" t="str">
        <x:v>Yes</x:v>
      </x:c>
      <x:c r="P699" t="str">
        <x:v>Condition not yet reviewed</x:v>
      </x:c>
      <x:c r="Q699" t="n">
        <x:v>65</x:v>
      </x:c>
      <x:c r="R699" t="n">
        <x:v>90</x:v>
      </x:c>
      <x:c r="S699" t="n">
        <x:v>77.5</x:v>
      </x:c>
      <x:c r="T699" t="str">
        <x:v>Imported from user's PriceCharting Collection.pdf, page 8. PDF row value $70.00; quantity 1; per-card allocation $70.00. Imported value is carried exactly from the PDF and has not been independently repriced. EXTERNAL REPRICE (2026-08-17): TCGplayer reverse-holo market about $81; recent raw comps around mid-$60s+.</x:v>
      </x:c>
      <x:c r="U699" t="n">
        <x:v>991</x:v>
      </x:c>
      <x:c r="V699" t="str">
        <x:v>Collection.pdf + current TCGplayer/cross-market research 2026-08-17</x:v>
      </x:c>
      <x:c r="W699" t="str">
        <x:v>https://www.tcgplayer.com/search/pokemon/product?q=Ditto+%5BReverse+Holo%5D+%23108+Boundaries+Crossed</x:v>
      </x:c>
    </x:row>
    <x:row r="700">
      <x:c r="A700" t="n">
        <x:v>699</x:v>
      </x:c>
      <x:c r="B700" t="str">
        <x:v>PDF Import / Added Cards</x:v>
      </x:c>
      <x:c r="C700" t="str">
        <x:v>Ditto</x:v>
      </x:c>
      <x:c r="D700" t="str">
        <x:v>108/149</x:v>
      </x:c>
      <x:c r="E700" t="str">
        <x:v>Boundaries Crossed</x:v>
      </x:c>
      <x:c r="F700" t="n">
        <x:v>2012</x:v>
      </x:c>
      <x:c r="G700" t="str">
        <x:v>As listed in PriceCharting PDF; foil unspecified</x:v>
      </x:c>
      <x:c r="H700" t="str">
        <x:v>1 of 1</x:v>
      </x:c>
      <x:c r="I700" t="n">
        <x:v>35</x:v>
      </x:c>
      <x:c r="J700" t="n">
        <x:v>50</x:v>
      </x:c>
      <x:c r="K700" t="n">
        <x:v>42.5</x:v>
      </x:c>
      <x:c r="L700" t="str">
        <x:v>$20+</x:v>
      </x:c>
      <x:c r="M700" t="str">
        <x:v>Yes</x:v>
      </x:c>
      <x:c r="N700" t="str">
        <x:v>Yes</x:v>
      </x:c>
      <x:c r="O700" t="str">
        <x:v>Yes</x:v>
      </x:c>
      <x:c r="P700" t="str">
        <x:v>Condition not yet reviewed</x:v>
      </x:c>
      <x:c r="Q700" t="n">
        <x:v>35</x:v>
      </x:c>
      <x:c r="R700" t="n">
        <x:v>50</x:v>
      </x:c>
      <x:c r="S700" t="n">
        <x:v>42.5</x:v>
      </x:c>
      <x:c r="T700" t="str">
        <x:v>Imported from user's PriceCharting Collection.pdf, page 8. PDF row value $34.31; quantity 1; per-card allocation $34.31. Imported value is carried exactly from the PDF and has not been independently repriced. EXTERNAL REPRICE (2026-08-17): Boundaries Crossed regular set printing is holo; TCGplayer holo market around $40–42.</x:v>
      </x:c>
      <x:c r="U700" t="n">
        <x:v>991</x:v>
      </x:c>
      <x:c r="V700" t="str">
        <x:v>Collection.pdf + current TCGplayer/cross-market research 2026-08-17</x:v>
      </x:c>
      <x:c r="W700" t="str">
        <x:v>https://www.tcgplayer.com/search/pokemon/product?q=Ditto+%23108+Boundaries+Crossed</x:v>
      </x:c>
    </x:row>
    <x:row r="701">
      <x:c r="A701" t="n">
        <x:v>700</x:v>
      </x:c>
      <x:c r="B701" t="str">
        <x:v>PDF Import / Added Cards</x:v>
      </x:c>
      <x:c r="C701" t="str">
        <x:v>Light Dragonair</x:v>
      </x:c>
      <x:c r="D701" t="str">
        <x:v>22/105</x:v>
      </x:c>
      <x:c r="E701" t="str">
        <x:v>Neo Destiny</x:v>
      </x:c>
      <x:c r="F701" t="n">
        <x:v>2002</x:v>
      </x:c>
      <x:c r="G701" t="str">
        <x:v>As listed in PriceCharting PDF; foil unspecified</x:v>
      </x:c>
      <x:c r="H701" t="str">
        <x:v>1 of 1</x:v>
      </x:c>
      <x:c r="I701" t="n">
        <x:v>30</x:v>
      </x:c>
      <x:c r="J701" t="n">
        <x:v>60</x:v>
      </x:c>
      <x:c r="K701" t="n">
        <x:v>45</x:v>
      </x:c>
      <x:c r="L701" t="str">
        <x:v>$20+</x:v>
      </x:c>
      <x:c r="M701" t="str">
        <x:v>Yes</x:v>
      </x:c>
      <x:c r="N701" t="str">
        <x:v>Yes</x:v>
      </x:c>
      <x:c r="O701" t="str">
        <x:v>Yes</x:v>
      </x:c>
      <x:c r="P701" t="str">
        <x:v>Condition not yet reviewed</x:v>
      </x:c>
      <x:c r="Q701" t="n">
        <x:v>30</x:v>
      </x:c>
      <x:c r="R701" t="n">
        <x:v>60</x:v>
      </x:c>
      <x:c r="S701" t="n">
        <x:v>45</x:v>
      </x:c>
      <x:c r="T701" t="str">
        <x:v>Imported from user's PriceCharting Collection.pdf, page 8. PDF row value $30.00; quantity 1; per-card allocation $30.00. Imported value is carried exactly from the PDF and has not been independently repriced. EXTERNAL REPRICE (2026-08-17): Market is split: TCGplayer headline around $84, secondary analytics around high-$20s; conservative cross-market clean range.</x:v>
      </x:c>
      <x:c r="U701" t="n">
        <x:v>991</x:v>
      </x:c>
      <x:c r="V701" t="str">
        <x:v>Collection.pdf + current TCGplayer/cross-market research 2026-08-17</x:v>
      </x:c>
      <x:c r="W701" t="str">
        <x:v>https://www.tcgplayer.com/search/pokemon/product?q=Light+Dragonair+%2322+Neo+Destiny</x:v>
      </x:c>
    </x:row>
    <x:row r="702">
      <x:c r="A702" t="n">
        <x:v>701</x:v>
      </x:c>
      <x:c r="B702" t="str">
        <x:v>PDF Import / Added Cards</x:v>
      </x:c>
      <x:c r="C702" t="str">
        <x:v>Flareon</x:v>
      </x:c>
      <x:c r="D702" t="str">
        <x:v>12/116</x:v>
      </x:c>
      <x:c r="E702" t="str">
        <x:v>Plasma Freeze</x:v>
      </x:c>
      <x:c r="F702" t="n">
        <x:v>2013</x:v>
      </x:c>
      <x:c r="G702" t="str">
        <x:v>As listed in PriceCharting PDF; foil unspecified</x:v>
      </x:c>
      <x:c r="H702" t="str">
        <x:v>2 of 2</x:v>
      </x:c>
      <x:c r="I702" t="n">
        <x:v>4</x:v>
      </x:c>
      <x:c r="J702" t="n">
        <x:v>6</x:v>
      </x:c>
      <x:c r="K702" t="n">
        <x:v>5</x:v>
      </x:c>
      <x:c r="L702" t="str">
        <x:v>$5–20</x:v>
      </x:c>
      <x:c r="M702" t="str">
        <x:v>Yes</x:v>
      </x:c>
      <x:c r="N702" t="str">
        <x:v>No</x:v>
      </x:c>
      <x:c r="O702" t="str">
        <x:v>Yes</x:v>
      </x:c>
      <x:c r="P702" t="str">
        <x:v>Condition not yet reviewed</x:v>
      </x:c>
      <x:c r="Q702" t="n">
        <x:v>4</x:v>
      </x:c>
      <x:c r="R702" t="n">
        <x:v>6</x:v>
      </x:c>
      <x:c r="S702" t="n">
        <x:v>5</x:v>
      </x:c>
      <x:c r="T702" t="str">
        <x:v>Imported from user's PriceCharting Collection.pdf, page 8. PDF row value $3.98; quantity 1; per-card allocation $3.98. Imported value is carried exactly from the PDF and has not been independently repriced. EXTERNAL REPRICE (2026-08-17): Current TCGplayer/PokeScope/PokemonWizard about $5.</x:v>
      </x:c>
      <x:c r="U702" t="n">
        <x:v>991</x:v>
      </x:c>
      <x:c r="V702" t="str">
        <x:v>Collection.pdf + current TCGplayer/cross-market research 2026-08-17</x:v>
      </x:c>
      <x:c r="W702" t="str">
        <x:v>https://www.tcgplayer.com/search/pokemon/product?q=Flareon+%2312+Plasma+Freeze</x:v>
      </x:c>
    </x:row>
    <x:row r="703">
      <x:c r="A703" t="n">
        <x:v>702</x:v>
      </x:c>
      <x:c r="B703" t="str">
        <x:v>PDF Import / Added Cards</x:v>
      </x:c>
      <x:c r="C703" t="str">
        <x:v>Gyarados</x:v>
      </x:c>
      <x:c r="D703" t="str">
        <x:v>XY109</x:v>
      </x:c>
      <x:c r="E703" t="str">
        <x:v>Promo</x:v>
      </x:c>
      <x:c r="F703"/>
      <x:c r="G703" t="str">
        <x:v>As listed in PriceCharting PDF; foil unspecified</x:v>
      </x:c>
      <x:c r="H703" t="str">
        <x:v>1 of 1</x:v>
      </x:c>
      <x:c r="I703" t="n">
        <x:v>40</x:v>
      </x:c>
      <x:c r="J703" t="n">
        <x:v>60</x:v>
      </x:c>
      <x:c r="K703" t="n">
        <x:v>50</x:v>
      </x:c>
      <x:c r="L703" t="str">
        <x:v>$20+</x:v>
      </x:c>
      <x:c r="M703" t="str">
        <x:v>Yes</x:v>
      </x:c>
      <x:c r="N703" t="str">
        <x:v>Yes</x:v>
      </x:c>
      <x:c r="O703" t="str">
        <x:v>Yes</x:v>
      </x:c>
      <x:c r="P703" t="str">
        <x:v>Condition not yet reviewed</x:v>
      </x:c>
      <x:c r="Q703" t="n">
        <x:v>40</x:v>
      </x:c>
      <x:c r="R703" t="n">
        <x:v>60</x:v>
      </x:c>
      <x:c r="S703" t="n">
        <x:v>50</x:v>
      </x:c>
      <x:c r="T703" t="str">
        <x:v>Imported from user's PriceCharting Collection.pdf, page 8. PDF row value $46.00; quantity 1; per-card allocation $46.00. Imported value is carried exactly from the PDF and has not been independently repriced. EXTERNAL REPRICE (2026-08-17): TCGplayer market roughly $53–55 and PokéPrice high-$40s; one analytics feed is much lower, so range uses primary market.</x:v>
      </x:c>
      <x:c r="U703" t="n">
        <x:v>991</x:v>
      </x:c>
      <x:c r="V703" t="str">
        <x:v>Collection.pdf + current TCGplayer/cross-market research 2026-08-17</x:v>
      </x:c>
      <x:c r="W703" t="str">
        <x:v>https://www.tcgplayer.com/search/pokemon/product?q=Gyarados+%23XY109+Promo</x:v>
      </x:c>
    </x:row>
    <x:row r="704">
      <x:c r="A704" t="n">
        <x:v>703</x:v>
      </x:c>
      <x:c r="B704" t="str">
        <x:v>PDF Import / Added Cards</x:v>
      </x:c>
      <x:c r="C704" t="str">
        <x:v>Light Machoke</x:v>
      </x:c>
      <x:c r="D704" t="str">
        <x:v>49/105</x:v>
      </x:c>
      <x:c r="E704" t="str">
        <x:v>Neo Destiny</x:v>
      </x:c>
      <x:c r="F704" t="n">
        <x:v>2002</x:v>
      </x:c>
      <x:c r="G704" t="str">
        <x:v>1st Edition</x:v>
      </x:c>
      <x:c r="H704" t="str">
        <x:v>1 of 1</x:v>
      </x:c>
      <x:c r="I704" t="n">
        <x:v>16</x:v>
      </x:c>
      <x:c r="J704" t="n">
        <x:v>22</x:v>
      </x:c>
      <x:c r="K704" t="n">
        <x:v>19</x:v>
      </x:c>
      <x:c r="L704" t="str">
        <x:v>$5–20</x:v>
      </x:c>
      <x:c r="M704" t="str">
        <x:v>Yes</x:v>
      </x:c>
      <x:c r="N704" t="str">
        <x:v>No</x:v>
      </x:c>
      <x:c r="O704" t="str">
        <x:v>Yes</x:v>
      </x:c>
      <x:c r="P704" t="str">
        <x:v>Condition not yet reviewed</x:v>
      </x:c>
      <x:c r="Q704" t="n">
        <x:v>16</x:v>
      </x:c>
      <x:c r="R704" t="n">
        <x:v>22</x:v>
      </x:c>
      <x:c r="S704" t="n">
        <x:v>19</x:v>
      </x:c>
      <x:c r="T704" t="str">
        <x:v>Imported from user's PriceCharting Collection.pdf, page 8. PDF row value $18.87; quantity 1; per-card allocation $18.87. Imported value is carried exactly from the PDF and has not been independently repriced. EXTERNAL REPRICE (2026-08-17): TCGplayer/Pallet 1st Edition NM market around $19.</x:v>
      </x:c>
      <x:c r="U704" t="n">
        <x:v>991</x:v>
      </x:c>
      <x:c r="V704" t="str">
        <x:v>Collection.pdf + current TCGplayer/cross-market research 2026-08-17</x:v>
      </x:c>
      <x:c r="W704" t="str">
        <x:v>https://www.tcgplayer.com/search/pokemon/product?q=Light+Machoke+%5B1st+Edition%5D+%2349+Neo+Destiny</x:v>
      </x:c>
    </x:row>
    <x:row r="705">
      <x:c r="A705" t="n">
        <x:v>704</x:v>
      </x:c>
      <x:c r="B705" t="str">
        <x:v>PDF Import / Added Cards</x:v>
      </x:c>
      <x:c r="C705" t="str">
        <x:v>Dratini</x:v>
      </x:c>
      <x:c r="D705" t="str">
        <x:v>53/82</x:v>
      </x:c>
      <x:c r="E705" t="str">
        <x:v>Team Rocket</x:v>
      </x:c>
      <x:c r="F705" t="n">
        <x:v>2000</x:v>
      </x:c>
      <x:c r="G705" t="str">
        <x:v>1st Edition</x:v>
      </x:c>
      <x:c r="H705" t="str">
        <x:v>1 of 1</x:v>
      </x:c>
      <x:c r="I705" t="n">
        <x:v>3.5</x:v>
      </x:c>
      <x:c r="J705" t="n">
        <x:v>5</x:v>
      </x:c>
      <x:c r="K705" t="n">
        <x:v>4.25</x:v>
      </x:c>
      <x:c r="L705" t="str">
        <x:v>$1–5</x:v>
      </x:c>
      <x:c r="M705" t="str">
        <x:v>Yes</x:v>
      </x:c>
      <x:c r="N705" t="str">
        <x:v>No</x:v>
      </x:c>
      <x:c r="O705" t="str">
        <x:v>Yes</x:v>
      </x:c>
      <x:c r="P705" t="str">
        <x:v>Condition not yet reviewed</x:v>
      </x:c>
      <x:c r="Q705" t="n">
        <x:v>3.5</x:v>
      </x:c>
      <x:c r="R705" t="n">
        <x:v>5</x:v>
      </x:c>
      <x:c r="S705" t="n">
        <x:v>4.25</x:v>
      </x:c>
      <x:c r="T705" t="str">
        <x:v>Imported from user's PriceCharting Collection.pdf, page 8. PDF row value $3.99; quantity 1; per-card allocation $3.99. Imported value is carried exactly from the PDF and has not been independently repriced. EXTERNAL REPRICE (2026-08-17): TCGplayer 1st Edition market around $4.</x:v>
      </x:c>
      <x:c r="U705" t="n">
        <x:v>991</x:v>
      </x:c>
      <x:c r="V705" t="str">
        <x:v>Collection.pdf + current TCGplayer/cross-market research 2026-08-17</x:v>
      </x:c>
      <x:c r="W705" t="str">
        <x:v>https://www.tcgplayer.com/search/pokemon/product?q=Dratini+%5B1st+Edition%5D+%2353+Team+Rocket</x:v>
      </x:c>
    </x:row>
    <x:row r="706">
      <x:c r="A706" t="n">
        <x:v>705</x:v>
      </x:c>
      <x:c r="B706" t="str">
        <x:v>PDF Import / Added Cards</x:v>
      </x:c>
      <x:c r="C706" t="str">
        <x:v>Squirtle</x:v>
      </x:c>
      <x:c r="D706" t="str">
        <x:v>68/82</x:v>
      </x:c>
      <x:c r="E706" t="str">
        <x:v>Team Rocket</x:v>
      </x:c>
      <x:c r="F706" t="n">
        <x:v>2000</x:v>
      </x:c>
      <x:c r="G706" t="str">
        <x:v>1st Edition</x:v>
      </x:c>
      <x:c r="H706" t="str">
        <x:v>1 of 1</x:v>
      </x:c>
      <x:c r="I706" t="n">
        <x:v>10</x:v>
      </x:c>
      <x:c r="J706" t="n">
        <x:v>15</x:v>
      </x:c>
      <x:c r="K706" t="n">
        <x:v>12.5</x:v>
      </x:c>
      <x:c r="L706" t="str">
        <x:v>$5–20</x:v>
      </x:c>
      <x:c r="M706" t="str">
        <x:v>Yes</x:v>
      </x:c>
      <x:c r="N706" t="str">
        <x:v>No</x:v>
      </x:c>
      <x:c r="O706" t="str">
        <x:v>Yes</x:v>
      </x:c>
      <x:c r="P706" t="str">
        <x:v>Condition not yet reviewed</x:v>
      </x:c>
      <x:c r="Q706" t="n">
        <x:v>10</x:v>
      </x:c>
      <x:c r="R706" t="n">
        <x:v>15</x:v>
      </x:c>
      <x:c r="S706" t="n">
        <x:v>12.5</x:v>
      </x:c>
      <x:c r="T706" t="str">
        <x:v>Imported from user's PriceCharting Collection.pdf, page 9. PDF row value $10.80; quantity 1; per-card allocation $10.80. Imported value is carried exactly from the PDF and has not been independently repriced. EXTERNAL REPRICE (2026-08-17): TCGplayer 1st Edition market about $13–14; other current checks roughly $11.</x:v>
      </x:c>
      <x:c r="U706" t="n">
        <x:v>991</x:v>
      </x:c>
      <x:c r="V706" t="str">
        <x:v>Collection.pdf + current TCGplayer/cross-market research 2026-08-17</x:v>
      </x:c>
      <x:c r="W706" t="str">
        <x:v>https://www.tcgplayer.com/search/pokemon/product?q=Squirtle+%5B1st+Edition%5D+%2368+Team+Rocket</x:v>
      </x:c>
    </x:row>
    <x:row r="707">
      <x:c r="A707" t="n">
        <x:v>706</x:v>
      </x:c>
      <x:c r="B707" t="str">
        <x:v>PDF Import / Added Cards</x:v>
      </x:c>
      <x:c r="C707" t="str">
        <x:v>Dark Dragonair</x:v>
      </x:c>
      <x:c r="D707" t="str">
        <x:v>33/82</x:v>
      </x:c>
      <x:c r="E707" t="str">
        <x:v>Team Rocket</x:v>
      </x:c>
      <x:c r="F707" t="n">
        <x:v>2000</x:v>
      </x:c>
      <x:c r="G707" t="str">
        <x:v>1st Edition</x:v>
      </x:c>
      <x:c r="H707" t="str">
        <x:v>1 of 1</x:v>
      </x:c>
      <x:c r="I707" t="n">
        <x:v>12</x:v>
      </x:c>
      <x:c r="J707" t="n">
        <x:v>17</x:v>
      </x:c>
      <x:c r="K707" t="n">
        <x:v>14.5</x:v>
      </x:c>
      <x:c r="L707" t="str">
        <x:v>$5–20</x:v>
      </x:c>
      <x:c r="M707" t="str">
        <x:v>Yes</x:v>
      </x:c>
      <x:c r="N707" t="str">
        <x:v>No</x:v>
      </x:c>
      <x:c r="O707" t="str">
        <x:v>Yes</x:v>
      </x:c>
      <x:c r="P707" t="str">
        <x:v>Condition not yet reviewed</x:v>
      </x:c>
      <x:c r="Q707" t="n">
        <x:v>12</x:v>
      </x:c>
      <x:c r="R707" t="n">
        <x:v>17</x:v>
      </x:c>
      <x:c r="S707" t="n">
        <x:v>14.5</x:v>
      </x:c>
      <x:c r="T707" t="str">
        <x:v>Imported from user's PriceCharting Collection.pdf, page 9. PDF row value $13.58; quantity 1; per-card allocation $13.58. Imported value is carried exactly from the PDF and has not been independently repriced. EXTERNAL REPRICE (2026-08-17): TCGplayer/current analytics around $14–15.</x:v>
      </x:c>
      <x:c r="U707" t="n">
        <x:v>991</x:v>
      </x:c>
      <x:c r="V707" t="str">
        <x:v>Collection.pdf + current TCGplayer/cross-market research 2026-08-17</x:v>
      </x:c>
      <x:c r="W707" t="str">
        <x:v>https://www.tcgplayer.com/search/pokemon/product?q=Dark+Dragonair+%5B1st+Edition%5D+%2333+Team+Rocket</x:v>
      </x:c>
    </x:row>
    <x:row r="708">
      <x:c r="A708" t="n">
        <x:v>707</x:v>
      </x:c>
      <x:c r="B708" t="str">
        <x:v>PDF Import / Added Cards</x:v>
      </x:c>
      <x:c r="C708" t="str">
        <x:v>Dark Charmeleon</x:v>
      </x:c>
      <x:c r="D708" t="str">
        <x:v>32/82</x:v>
      </x:c>
      <x:c r="E708" t="str">
        <x:v>Team Rocket</x:v>
      </x:c>
      <x:c r="F708" t="n">
        <x:v>2000</x:v>
      </x:c>
      <x:c r="G708" t="str">
        <x:v>1st Edition</x:v>
      </x:c>
      <x:c r="H708" t="str">
        <x:v>1 of 1</x:v>
      </x:c>
      <x:c r="I708" t="n">
        <x:v>20</x:v>
      </x:c>
      <x:c r="J708" t="n">
        <x:v>27</x:v>
      </x:c>
      <x:c r="K708" t="n">
        <x:v>23.5</x:v>
      </x:c>
      <x:c r="L708" t="str">
        <x:v>$20+</x:v>
      </x:c>
      <x:c r="M708" t="str">
        <x:v>Yes</x:v>
      </x:c>
      <x:c r="N708" t="str">
        <x:v>Yes</x:v>
      </x:c>
      <x:c r="O708" t="str">
        <x:v>Yes</x:v>
      </x:c>
      <x:c r="P708" t="str">
        <x:v>Condition not yet reviewed</x:v>
      </x:c>
      <x:c r="Q708" t="n">
        <x:v>20</x:v>
      </x:c>
      <x:c r="R708" t="n">
        <x:v>27</x:v>
      </x:c>
      <x:c r="S708" t="n">
        <x:v>23.5</x:v>
      </x:c>
      <x:c r="T708" t="str">
        <x:v>Imported from user's PriceCharting Collection.pdf, page 9. PDF row value $19.85; quantity 1; per-card allocation $19.85. Imported value is carried exactly from the PDF and has not been independently repriced. EXTERNAL REPRICE (2026-08-17): TCGplayer 1st Edition market about $23–24.</x:v>
      </x:c>
      <x:c r="U708" t="n">
        <x:v>991</x:v>
      </x:c>
      <x:c r="V708" t="str">
        <x:v>Collection.pdf + current TCGplayer/cross-market research 2026-08-17</x:v>
      </x:c>
      <x:c r="W708" t="str">
        <x:v>https://www.tcgplayer.com/search/pokemon/product?q=Dark+Charmeleon+%5B1st+Edition%5D+%2332+Team+Rocket</x:v>
      </x:c>
    </x:row>
    <x:row r="709">
      <x:c r="A709" t="n">
        <x:v>708</x:v>
      </x:c>
      <x:c r="B709" t="str">
        <x:v>PDF Import / Added Cards</x:v>
      </x:c>
      <x:c r="C709" t="str">
        <x:v>Charmander</x:v>
      </x:c>
      <x:c r="D709" t="str">
        <x:v>50/82</x:v>
      </x:c>
      <x:c r="E709" t="str">
        <x:v>Team Rocket</x:v>
      </x:c>
      <x:c r="F709" t="n">
        <x:v>2000</x:v>
      </x:c>
      <x:c r="G709" t="str">
        <x:v>1st Edition</x:v>
      </x:c>
      <x:c r="H709" t="str">
        <x:v>1 of 1</x:v>
      </x:c>
      <x:c r="I709" t="n">
        <x:v>8</x:v>
      </x:c>
      <x:c r="J709" t="n">
        <x:v>14</x:v>
      </x:c>
      <x:c r="K709" t="n">
        <x:v>11</x:v>
      </x:c>
      <x:c r="L709" t="str">
        <x:v>$5–20</x:v>
      </x:c>
      <x:c r="M709" t="str">
        <x:v>Yes</x:v>
      </x:c>
      <x:c r="N709" t="str">
        <x:v>No</x:v>
      </x:c>
      <x:c r="O709" t="str">
        <x:v>Yes</x:v>
      </x:c>
      <x:c r="P709" t="str">
        <x:v>Condition not yet reviewed</x:v>
      </x:c>
      <x:c r="Q709" t="n">
        <x:v>8</x:v>
      </x:c>
      <x:c r="R709" t="n">
        <x:v>14</x:v>
      </x:c>
      <x:c r="S709" t="n">
        <x:v>11</x:v>
      </x:c>
      <x:c r="T709" t="str">
        <x:v>Imported from user's PriceCharting Collection.pdf, page 9. PDF row value $10.87; quantity 1; per-card allocation $10.87. Imported value is carried exactly from the PDF and has not been independently repriced. EXTERNAL REPRICE (2026-08-17): Recent/current 1st Edition signals roughly $7–14 depending venue; range centered around low teens.</x:v>
      </x:c>
      <x:c r="U709" t="n">
        <x:v>991</x:v>
      </x:c>
      <x:c r="V709" t="str">
        <x:v>Collection.pdf + current TCGplayer/cross-market research 2026-08-17</x:v>
      </x:c>
      <x:c r="W709" t="str">
        <x:v>https://www.tcgplayer.com/search/pokemon/product?q=Charmander+%5B1st+Edition%5D+%2350+Team+Rocket</x:v>
      </x:c>
    </x:row>
    <x:row r="710">
      <x:c r="A710" t="n">
        <x:v>709</x:v>
      </x:c>
      <x:c r="B710" t="str">
        <x:v>PDF Import / Added Cards</x:v>
      </x:c>
      <x:c r="C710" t="str">
        <x:v>Darkrai-EX</x:v>
      </x:c>
      <x:c r="D710" t="str">
        <x:v>BW46</x:v>
      </x:c>
      <x:c r="E710" t="str">
        <x:v>Promo</x:v>
      </x:c>
      <x:c r="F710"/>
      <x:c r="G710" t="str">
        <x:v>Holo EX</x:v>
      </x:c>
      <x:c r="H710" t="str">
        <x:v>1 of 1</x:v>
      </x:c>
      <x:c r="I710" t="n">
        <x:v>12</x:v>
      </x:c>
      <x:c r="J710" t="n">
        <x:v>25</x:v>
      </x:c>
      <x:c r="K710" t="n">
        <x:v>18.5</x:v>
      </x:c>
      <x:c r="L710" t="str">
        <x:v>$5–20</x:v>
      </x:c>
      <x:c r="M710" t="str">
        <x:v>Yes</x:v>
      </x:c>
      <x:c r="N710" t="str">
        <x:v>No</x:v>
      </x:c>
      <x:c r="O710" t="str">
        <x:v>Yes</x:v>
      </x:c>
      <x:c r="P710" t="str">
        <x:v>Condition not yet reviewed</x:v>
      </x:c>
      <x:c r="Q710" t="n">
        <x:v>12</x:v>
      </x:c>
      <x:c r="R710" t="n">
        <x:v>25</x:v>
      </x:c>
      <x:c r="S710" t="n">
        <x:v>18.5</x:v>
      </x:c>
      <x:c r="T710" t="str">
        <x:v>Imported from user's PriceCharting Collection.pdf, page 9. PDF row value $12.00; quantity 1; per-card allocation $12.00. Imported value is carried exactly from the PDF and has not been independently repriced. EXTERNAL REPRICE (2026-08-17): Market is split: TCGplayer headline around $29, cross-market/recent raw signals around $10–18; range widened.</x:v>
      </x:c>
      <x:c r="U710" t="n">
        <x:v>991</x:v>
      </x:c>
      <x:c r="V710" t="str">
        <x:v>Collection.pdf + current TCGplayer/cross-market research 2026-08-17</x:v>
      </x:c>
      <x:c r="W710" t="str">
        <x:v>https://www.tcgplayer.com/search/pokemon/product?q=Darkrai+EX+%23BW46+Promo</x:v>
      </x:c>
    </x:row>
    <x:row r="711">
      <x:c r="A711" t="n">
        <x:v>710</x:v>
      </x:c>
      <x:c r="B711" t="str">
        <x:v>PDF Import / Added Cards</x:v>
      </x:c>
      <x:c r="C711" t="str">
        <x:v>Dialga-EX</x:v>
      </x:c>
      <x:c r="D711" t="str">
        <x:v>65/101</x:v>
      </x:c>
      <x:c r="E711" t="str">
        <x:v>Plasma Blast</x:v>
      </x:c>
      <x:c r="F711" t="n">
        <x:v>2013</x:v>
      </x:c>
      <x:c r="G711" t="str">
        <x:v>Holo EX</x:v>
      </x:c>
      <x:c r="H711" t="str">
        <x:v>1 of 1</x:v>
      </x:c>
      <x:c r="I711" t="n">
        <x:v>24</x:v>
      </x:c>
      <x:c r="J711" t="n">
        <x:v>32</x:v>
      </x:c>
      <x:c r="K711" t="n">
        <x:v>28</x:v>
      </x:c>
      <x:c r="L711" t="str">
        <x:v>$20+</x:v>
      </x:c>
      <x:c r="M711" t="str">
        <x:v>Yes</x:v>
      </x:c>
      <x:c r="N711" t="str">
        <x:v>Yes</x:v>
      </x:c>
      <x:c r="O711" t="str">
        <x:v>Yes</x:v>
      </x:c>
      <x:c r="P711" t="str">
        <x:v>Condition not yet reviewed</x:v>
      </x:c>
      <x:c r="Q711" t="n">
        <x:v>24</x:v>
      </x:c>
      <x:c r="R711" t="n">
        <x:v>32</x:v>
      </x:c>
      <x:c r="S711" t="n">
        <x:v>28</x:v>
      </x:c>
      <x:c r="T711" t="str">
        <x:v>Imported from user's PriceCharting Collection.pdf, page 9. PDF row value $18.49; quantity 1; per-card allocation $18.49. Imported value is carried exactly from the PDF and has not been independently repriced. EXTERNAL REPRICE (2026-08-17): Current TCGplayer/PokemonWizard around $28–30.</x:v>
      </x:c>
      <x:c r="U711" t="n">
        <x:v>991</x:v>
      </x:c>
      <x:c r="V711" t="str">
        <x:v>Collection.pdf + current TCGplayer/cross-market research 2026-08-17</x:v>
      </x:c>
      <x:c r="W711" t="str">
        <x:v>https://www.tcgplayer.com/search/pokemon/product?q=Dialga+EX+%2365+Plasma+Blast</x:v>
      </x:c>
    </x:row>
    <x:row r="712">
      <x:c r="A712" t="n">
        <x:v>711</x:v>
      </x:c>
      <x:c r="B712" t="str">
        <x:v>PDF Import / Added Cards</x:v>
      </x:c>
      <x:c r="C712" t="str">
        <x:v>Lugia-EX</x:v>
      </x:c>
      <x:c r="D712" t="str">
        <x:v>BW83</x:v>
      </x:c>
      <x:c r="E712" t="str">
        <x:v>Promo</x:v>
      </x:c>
      <x:c r="F712"/>
      <x:c r="G712" t="str">
        <x:v>Holo EX</x:v>
      </x:c>
      <x:c r="H712" t="str">
        <x:v>1 of 1</x:v>
      </x:c>
      <x:c r="I712" t="n">
        <x:v>30</x:v>
      </x:c>
      <x:c r="J712" t="n">
        <x:v>40</x:v>
      </x:c>
      <x:c r="K712" t="n">
        <x:v>35</x:v>
      </x:c>
      <x:c r="L712" t="str">
        <x:v>$20+</x:v>
      </x:c>
      <x:c r="M712" t="str">
        <x:v>Yes</x:v>
      </x:c>
      <x:c r="N712" t="str">
        <x:v>Yes</x:v>
      </x:c>
      <x:c r="O712" t="str">
        <x:v>Yes</x:v>
      </x:c>
      <x:c r="P712" t="str">
        <x:v>Condition not yet reviewed</x:v>
      </x:c>
      <x:c r="Q712" t="n">
        <x:v>30</x:v>
      </x:c>
      <x:c r="R712" t="n">
        <x:v>40</x:v>
      </x:c>
      <x:c r="S712" t="n">
        <x:v>35</x:v>
      </x:c>
      <x:c r="T712" t="str">
        <x:v>Imported from user's PriceCharting Collection.pdf, page 9. PDF row value $29.95; quantity 1; per-card allocation $29.95. Imported value is carried exactly from the PDF and has not been independently repriced. EXTERNAL REPRICE (2026-08-17): Current TCGplayer/PokeScope roughly low/mid-$30s to high-$30s.</x:v>
      </x:c>
      <x:c r="U712" t="n">
        <x:v>991</x:v>
      </x:c>
      <x:c r="V712" t="str">
        <x:v>Collection.pdf + current TCGplayer/cross-market research 2026-08-17</x:v>
      </x:c>
      <x:c r="W712" t="str">
        <x:v>https://www.tcgplayer.com/search/pokemon/product?q=Lugia+EX+%23BW83+Promo</x:v>
      </x:c>
    </x:row>
    <x:row r="713">
      <x:c r="A713" t="n">
        <x:v>712</x:v>
      </x:c>
      <x:c r="B713" t="str">
        <x:v>PDF Import / Added Cards</x:v>
      </x:c>
      <x:c r="C713" t="str">
        <x:v>Charizard-EX</x:v>
      </x:c>
      <x:c r="D713" t="str">
        <x:v>XY17</x:v>
      </x:c>
      <x:c r="E713" t="str">
        <x:v>Promo</x:v>
      </x:c>
      <x:c r="F713"/>
      <x:c r="G713" t="str">
        <x:v>Holo EX</x:v>
      </x:c>
      <x:c r="H713" t="str">
        <x:v>1 of 1</x:v>
      </x:c>
      <x:c r="I713" t="n">
        <x:v>30</x:v>
      </x:c>
      <x:c r="J713" t="n">
        <x:v>40</x:v>
      </x:c>
      <x:c r="K713" t="n">
        <x:v>35</x:v>
      </x:c>
      <x:c r="L713" t="str">
        <x:v>$20+</x:v>
      </x:c>
      <x:c r="M713" t="str">
        <x:v>Yes</x:v>
      </x:c>
      <x:c r="N713" t="str">
        <x:v>Yes</x:v>
      </x:c>
      <x:c r="O713" t="str">
        <x:v>Yes</x:v>
      </x:c>
      <x:c r="P713" t="str">
        <x:v>Condition not yet reviewed</x:v>
      </x:c>
      <x:c r="Q713" t="n">
        <x:v>30</x:v>
      </x:c>
      <x:c r="R713" t="n">
        <x:v>40</x:v>
      </x:c>
      <x:c r="S713" t="n">
        <x:v>35</x:v>
      </x:c>
      <x:c r="T713" t="str">
        <x:v>Imported from user's PriceCharting Collection.pdf, page 10. PDF row value $15.19; quantity 1; per-card allocation $15.19. Imported value is carried exactly from the PDF and has not been independently repriced. EXTERNAL REPRICE (2026-08-17): Current standard-size TCGplayer promo market around $35.</x:v>
      </x:c>
      <x:c r="U713" t="n">
        <x:v>991</x:v>
      </x:c>
      <x:c r="V713" t="str">
        <x:v>Collection.pdf + current TCGplayer/cross-market research 2026-08-17</x:v>
      </x:c>
      <x:c r="W713" t="str">
        <x:v>https://www.tcgplayer.com/search/pokemon/product?q=Charizard+EX+%23XY17+Promo</x:v>
      </x:c>
    </x:row>
    <x:row r="714">
      <x:c r="A714" t="n">
        <x:v>713</x:v>
      </x:c>
      <x:c r="B714" t="str">
        <x:v>PDF Import / Added Cards</x:v>
      </x:c>
      <x:c r="C714" t="str">
        <x:v>Victini-EX</x:v>
      </x:c>
      <x:c r="D714" t="str">
        <x:v>18/135</x:v>
      </x:c>
      <x:c r="E714" t="str">
        <x:v>Plasma Storm</x:v>
      </x:c>
      <x:c r="F714" t="n">
        <x:v>2013</x:v>
      </x:c>
      <x:c r="G714" t="str">
        <x:v>Holo EX</x:v>
      </x:c>
      <x:c r="H714" t="str">
        <x:v>1 of 1</x:v>
      </x:c>
      <x:c r="I714" t="n">
        <x:v>10</x:v>
      </x:c>
      <x:c r="J714" t="n">
        <x:v>14</x:v>
      </x:c>
      <x:c r="K714" t="n">
        <x:v>12</x:v>
      </x:c>
      <x:c r="L714" t="str">
        <x:v>$5–20</x:v>
      </x:c>
      <x:c r="M714" t="str">
        <x:v>Yes</x:v>
      </x:c>
      <x:c r="N714" t="str">
        <x:v>No</x:v>
      </x:c>
      <x:c r="O714" t="str">
        <x:v>Yes</x:v>
      </x:c>
      <x:c r="P714" t="str">
        <x:v>Condition not yet reviewed</x:v>
      </x:c>
      <x:c r="Q714" t="n">
        <x:v>10</x:v>
      </x:c>
      <x:c r="R714" t="n">
        <x:v>14</x:v>
      </x:c>
      <x:c r="S714" t="n">
        <x:v>12</x:v>
      </x:c>
      <x:c r="T714" t="str">
        <x:v>Imported from user's PriceCharting Collection.pdf, page 10. PDF row value $11.62; quantity 1; per-card allocation $11.62. Imported value is carried exactly from the PDF and has not been independently repriced. EXTERNAL REPRICE (2026-08-17): Current TCGplayer/PokeScope/PokemonWizard around $12.5.</x:v>
      </x:c>
      <x:c r="U714" t="n">
        <x:v>991</x:v>
      </x:c>
      <x:c r="V714" t="str">
        <x:v>Collection.pdf + current TCGplayer/cross-market research 2026-08-17</x:v>
      </x:c>
      <x:c r="W714" t="str">
        <x:v>https://www.tcgplayer.com/search/pokemon/product?q=Victini+EX+%2318+Plasma+Storm</x:v>
      </x:c>
    </x:row>
    <x:row r="715">
      <x:c r="A715" t="n">
        <x:v>714</x:v>
      </x:c>
      <x:c r="B715" t="str">
        <x:v>PDF Import / Added Cards</x:v>
      </x:c>
      <x:c r="C715" t="str">
        <x:v>Meloetta-EX</x:v>
      </x:c>
      <x:c r="D715" t="str">
        <x:v>RC11/RC25</x:v>
      </x:c>
      <x:c r="E715" t="str">
        <x:v>Legendary Treasures</x:v>
      </x:c>
      <x:c r="F715" t="n">
        <x:v>2013</x:v>
      </x:c>
      <x:c r="G715" t="str">
        <x:v>Holo EX</x:v>
      </x:c>
      <x:c r="H715" t="str">
        <x:v>1 of 1</x:v>
      </x:c>
      <x:c r="I715" t="n">
        <x:v>12</x:v>
      </x:c>
      <x:c r="J715" t="n">
        <x:v>16</x:v>
      </x:c>
      <x:c r="K715" t="n">
        <x:v>14</x:v>
      </x:c>
      <x:c r="L715" t="str">
        <x:v>$5–20</x:v>
      </x:c>
      <x:c r="M715" t="str">
        <x:v>Yes</x:v>
      </x:c>
      <x:c r="N715" t="str">
        <x:v>No</x:v>
      </x:c>
      <x:c r="O715" t="str">
        <x:v>Yes</x:v>
      </x:c>
      <x:c r="P715" t="str">
        <x:v>Condition not yet reviewed</x:v>
      </x:c>
      <x:c r="Q715" t="n">
        <x:v>12</x:v>
      </x:c>
      <x:c r="R715" t="n">
        <x:v>16</x:v>
      </x:c>
      <x:c r="S715" t="n">
        <x:v>14</x:v>
      </x:c>
      <x:c r="T715" t="str">
        <x:v>Imported from user's PriceCharting Collection.pdf, page 10. PDF row value $12.29; quantity 1; per-card allocation $12.29. Imported value is carried exactly from the PDF and has not been independently repriced. EXTERNAL REPRICE (2026-08-17): Current TCGplayer/PokemonWizard around $14.</x:v>
      </x:c>
      <x:c r="U715" t="n">
        <x:v>991</x:v>
      </x:c>
      <x:c r="V715" t="str">
        <x:v>Collection.pdf + current TCGplayer/cross-market research 2026-08-17</x:v>
      </x:c>
      <x:c r="W715" t="str">
        <x:v>https://www.tcgplayer.com/search/pokemon/product?q=Meloetta+EX+%23RC11+Legendary+Treasures</x:v>
      </x:c>
    </x:row>
    <x:row r="716">
      <x:c r="A716" t="n">
        <x:v>715</x:v>
      </x:c>
      <x:c r="B716" t="str">
        <x:v>PDF Import / Added Cards</x:v>
      </x:c>
      <x:c r="C716" t="str">
        <x:v>Latias-EX</x:v>
      </x:c>
      <x:c r="D716" t="str">
        <x:v>85/116</x:v>
      </x:c>
      <x:c r="E716" t="str">
        <x:v>Plasma Freeze</x:v>
      </x:c>
      <x:c r="F716" t="n">
        <x:v>2013</x:v>
      </x:c>
      <x:c r="G716" t="str">
        <x:v>Holo EX</x:v>
      </x:c>
      <x:c r="H716" t="str">
        <x:v>1 of 1</x:v>
      </x:c>
      <x:c r="I716" t="n">
        <x:v>18</x:v>
      </x:c>
      <x:c r="J716" t="n">
        <x:v>35</x:v>
      </x:c>
      <x:c r="K716" t="n">
        <x:v>26.5</x:v>
      </x:c>
      <x:c r="L716" t="str">
        <x:v>$20+</x:v>
      </x:c>
      <x:c r="M716" t="str">
        <x:v>Yes</x:v>
      </x:c>
      <x:c r="N716" t="str">
        <x:v>Yes</x:v>
      </x:c>
      <x:c r="O716" t="str">
        <x:v>Yes</x:v>
      </x:c>
      <x:c r="P716" t="str">
        <x:v>Condition not yet reviewed</x:v>
      </x:c>
      <x:c r="Q716" t="n">
        <x:v>18</x:v>
      </x:c>
      <x:c r="R716" t="n">
        <x:v>35</x:v>
      </x:c>
      <x:c r="S716" t="n">
        <x:v>26.5</x:v>
      </x:c>
      <x:c r="T716" t="str">
        <x:v>Imported from user's PriceCharting Collection.pdf, page 10. PDF row value $15.00; quantity 1; per-card allocation $15.00. Imported value is carried exactly from the PDF and has not been independently repriced. EXTERNAL REPRICE (2026-08-17): Market is volatile/split: TCGplayer headline about $50, recent NM sold comps around $15–20; conservative cross-market range.</x:v>
      </x:c>
      <x:c r="U716" t="n">
        <x:v>991</x:v>
      </x:c>
      <x:c r="V716" t="str">
        <x:v>Collection.pdf + current TCGplayer/cross-market research 2026-08-17</x:v>
      </x:c>
      <x:c r="W716" t="str">
        <x:v>https://www.tcgplayer.com/search/pokemon/product?q=Latias+EX+%2385+Plasma+Freeze</x:v>
      </x:c>
    </x:row>
    <x:row r="717">
      <x:c r="A717" t="n">
        <x:v>716</x:v>
      </x:c>
      <x:c r="B717" t="str">
        <x:v>PDF Import / Added Cards</x:v>
      </x:c>
      <x:c r="C717" t="str">
        <x:v>M Sceptile-EX</x:v>
      </x:c>
      <x:c r="D717" t="str">
        <x:v>8/98</x:v>
      </x:c>
      <x:c r="E717" t="str">
        <x:v>Ancient Origins</x:v>
      </x:c>
      <x:c r="F717" t="n">
        <x:v>2015</x:v>
      </x:c>
      <x:c r="G717" t="str">
        <x:v>Holo EX</x:v>
      </x:c>
      <x:c r="H717" t="str">
        <x:v>1 of 1</x:v>
      </x:c>
      <x:c r="I717" t="n">
        <x:v>16</x:v>
      </x:c>
      <x:c r="J717" t="n">
        <x:v>22</x:v>
      </x:c>
      <x:c r="K717" t="n">
        <x:v>19</x:v>
      </x:c>
      <x:c r="L717" t="str">
        <x:v>$5–20</x:v>
      </x:c>
      <x:c r="M717" t="str">
        <x:v>Yes</x:v>
      </x:c>
      <x:c r="N717" t="str">
        <x:v>No</x:v>
      </x:c>
      <x:c r="O717" t="str">
        <x:v>Yes</x:v>
      </x:c>
      <x:c r="P717" t="str">
        <x:v>Condition not yet reviewed</x:v>
      </x:c>
      <x:c r="Q717" t="n">
        <x:v>16</x:v>
      </x:c>
      <x:c r="R717" t="n">
        <x:v>22</x:v>
      </x:c>
      <x:c r="S717" t="n">
        <x:v>19</x:v>
      </x:c>
      <x:c r="T717" t="str">
        <x:v>Imported from user's PriceCharting Collection.pdf, page 10. PDF row value $18.20; quantity 1; per-card allocation $18.20. Imported value is carried exactly from the PDF and has not been independently repriced. EXTERNAL REPRICE (2026-08-17): Current TCGplayer/PokemonWizard around $19–20.</x:v>
      </x:c>
      <x:c r="U717" t="n">
        <x:v>991</x:v>
      </x:c>
      <x:c r="V717" t="str">
        <x:v>Collection.pdf + current TCGplayer/cross-market research 2026-08-17</x:v>
      </x:c>
      <x:c r="W717" t="str">
        <x:v>https://www.tcgplayer.com/search/pokemon/product?q=M+Sceptile+EX+%238+Ancient+Origins</x:v>
      </x:c>
    </x:row>
    <x:row r="718">
      <x:c r="A718" t="n">
        <x:v>717</x:v>
      </x:c>
      <x:c r="B718" t="str">
        <x:v>PDF Import / Added Cards</x:v>
      </x:c>
      <x:c r="C718" t="str">
        <x:v>Mew</x:v>
      </x:c>
      <x:c r="D718" t="str">
        <x:v>8</x:v>
      </x:c>
      <x:c r="E718" t="str">
        <x:v>Promo</x:v>
      </x:c>
      <x:c r="F718"/>
      <x:c r="G718" t="str">
        <x:v>As listed in PriceCharting PDF; foil unspecified</x:v>
      </x:c>
      <x:c r="H718" t="str">
        <x:v>1 of 1</x:v>
      </x:c>
      <x:c r="I718" t="n">
        <x:v>8</x:v>
      </x:c>
      <x:c r="J718" t="n">
        <x:v>12</x:v>
      </x:c>
      <x:c r="K718" t="n">
        <x:v>10</x:v>
      </x:c>
      <x:c r="L718" t="str">
        <x:v>$5–20</x:v>
      </x:c>
      <x:c r="M718" t="str">
        <x:v>Yes</x:v>
      </x:c>
      <x:c r="N718" t="str">
        <x:v>No</x:v>
      </x:c>
      <x:c r="O718" t="str">
        <x:v>Yes</x:v>
      </x:c>
      <x:c r="P718" t="str">
        <x:v>Condition not yet reviewed</x:v>
      </x:c>
      <x:c r="Q718" t="n">
        <x:v>8</x:v>
      </x:c>
      <x:c r="R718" t="n">
        <x:v>12</x:v>
      </x:c>
      <x:c r="S718" t="n">
        <x:v>10</x:v>
      </x:c>
      <x:c r="T718" t="str">
        <x:v>Imported from user's PriceCharting Collection.pdf, page 10. PDF row value $8.45; quantity 1; per-card allocation $8.45. Imported value is carried exactly from the PDF and has not been independently repriced. EXTERNAL REPRICE (2026-08-17): Assumes the standard non-glossy WotC promo matching the PDF value; TCGplayer market about $10. Glossy-finish variant is separate and much higher.</x:v>
      </x:c>
      <x:c r="U718" t="n">
        <x:v>991</x:v>
      </x:c>
      <x:c r="V718" t="str">
        <x:v>Collection.pdf + current TCGplayer/cross-market research 2026-08-17</x:v>
      </x:c>
      <x:c r="W718" t="str">
        <x:v>https://www.tcgplayer.com/search/pokemon/product?q=Mew+%238+Promo</x:v>
      </x:c>
    </x:row>
    <x:row r="719">
      <x:c r="A719" t="n">
        <x:v>718</x:v>
      </x:c>
      <x:c r="B719" t="str">
        <x:v>PDF Import / Added Cards</x:v>
      </x:c>
      <x:c r="C719" t="str">
        <x:v>Dragonite</x:v>
      </x:c>
      <x:c r="D719" t="str">
        <x:v>5/20</x:v>
      </x:c>
      <x:c r="E719" t="str">
        <x:v>Dragon Vault</x:v>
      </x:c>
      <x:c r="F719" t="n">
        <x:v>2012</x:v>
      </x:c>
      <x:c r="G719" t="str">
        <x:v>As listed in PriceCharting PDF; foil unspecified</x:v>
      </x:c>
      <x:c r="H719" t="str">
        <x:v>3 of 3</x:v>
      </x:c>
      <x:c r="I719" t="n">
        <x:v>25</x:v>
      </x:c>
      <x:c r="J719" t="n">
        <x:v>35</x:v>
      </x:c>
      <x:c r="K719" t="n">
        <x:v>30</x:v>
      </x:c>
      <x:c r="L719" t="str">
        <x:v>$20+</x:v>
      </x:c>
      <x:c r="M719" t="str">
        <x:v>Yes</x:v>
      </x:c>
      <x:c r="N719" t="str">
        <x:v>Yes</x:v>
      </x:c>
      <x:c r="O719" t="str">
        <x:v>Yes</x:v>
      </x:c>
      <x:c r="P719" t="str">
        <x:v>Condition not yet reviewed</x:v>
      </x:c>
      <x:c r="Q719" t="n">
        <x:v>25</x:v>
      </x:c>
      <x:c r="R719" t="n">
        <x:v>35</x:v>
      </x:c>
      <x:c r="S719" t="n">
        <x:v>30</x:v>
      </x:c>
      <x:c r="T719" t="str">
        <x:v>Imported from user's PriceCharting Collection.pdf, page 10. PDF row value $19.99; quantity 1; per-card allocation $19.99. Imported value is carried exactly from the PDF and has not been independently repriced. EXTERNAL REPRICE (2026-08-17): Current Dragon Vault holo TCGplayer market about $30–31.</x:v>
      </x:c>
      <x:c r="U719" t="n">
        <x:v>991</x:v>
      </x:c>
      <x:c r="V719" t="str">
        <x:v>Collection.pdf + current TCGplayer/cross-market research 2026-08-17</x:v>
      </x:c>
      <x:c r="W719" t="str">
        <x:v>https://www.tcgplayer.com/search/pokemon/product?q=Dragonite+%235+Dragon+Vault</x:v>
      </x:c>
    </x:row>
    <x:row r="720">
      <x:c r="A720" t="n">
        <x:v>719</x:v>
      </x:c>
      <x:c r="B720" t="str">
        <x:v>PDF Import / Added Cards</x:v>
      </x:c>
      <x:c r="C720" t="str">
        <x:v>Steelix</x:v>
      </x:c>
      <x:c r="D720" t="str">
        <x:v>87/95</x:v>
      </x:c>
      <x:c r="E720" t="str">
        <x:v>Unleashed</x:v>
      </x:c>
      <x:c r="F720" t="n">
        <x:v>2010</x:v>
      </x:c>
      <x:c r="G720" t="str">
        <x:v>Prime Holo</x:v>
      </x:c>
      <x:c r="H720" t="str">
        <x:v>1 of 1</x:v>
      </x:c>
      <x:c r="I720" t="n">
        <x:v>80</x:v>
      </x:c>
      <x:c r="J720" t="n">
        <x:v>120</x:v>
      </x:c>
      <x:c r="K720" t="n">
        <x:v>100</x:v>
      </x:c>
      <x:c r="L720" t="str">
        <x:v>$20+</x:v>
      </x:c>
      <x:c r="M720" t="str">
        <x:v>Yes</x:v>
      </x:c>
      <x:c r="N720" t="str">
        <x:v>Yes</x:v>
      </x:c>
      <x:c r="O720" t="str">
        <x:v>Yes</x:v>
      </x:c>
      <x:c r="P720" t="str">
        <x:v>Condition not yet reviewed</x:v>
      </x:c>
      <x:c r="Q720" t="n">
        <x:v>80</x:v>
      </x:c>
      <x:c r="R720" t="n">
        <x:v>120</x:v>
      </x:c>
      <x:c r="S720" t="n">
        <x:v>100</x:v>
      </x:c>
      <x:c r="T720" t="str">
        <x:v>Imported from user's PriceCharting Collection.pdf, page 11. PDF row value $79.66; quantity 1; per-card allocation $79.66. Imported value is carried exactly from the PDF and has not been independently repriced. EXTERNAL REPRICE (2026-08-17): Current Steelix Prime TCGplayer/PokeScope market about $112–113; range allows for sale dispersion.</x:v>
      </x:c>
      <x:c r="U720" t="n">
        <x:v>991</x:v>
      </x:c>
      <x:c r="V720" t="str">
        <x:v>Collection.pdf + current TCGplayer/cross-market research 2026-08-17</x:v>
      </x:c>
      <x:c r="W720" t="str">
        <x:v>https://www.tcgplayer.com/search/pokemon/product?q=Steelix+%2387+Unleashed</x:v>
      </x:c>
    </x:row>
    <x:row r="721">
      <x:c r="A721" t="n">
        <x:v>720</x:v>
      </x:c>
      <x:c r="B721" t="str">
        <x:v>PDF Import / Added Cards</x:v>
      </x:c>
      <x:c r="C721" t="str">
        <x:v>M Mewtwo-EX</x:v>
      </x:c>
      <x:c r="D721" t="str">
        <x:v>63/162</x:v>
      </x:c>
      <x:c r="E721" t="str">
        <x:v>BREAKthrough</x:v>
      </x:c>
      <x:c r="F721" t="n">
        <x:v>2015</x:v>
      </x:c>
      <x:c r="G721" t="str">
        <x:v>Holo EX</x:v>
      </x:c>
      <x:c r="H721" t="str">
        <x:v>1 of 1</x:v>
      </x:c>
      <x:c r="I721" t="n">
        <x:v>35</x:v>
      </x:c>
      <x:c r="J721" t="n">
        <x:v>55</x:v>
      </x:c>
      <x:c r="K721" t="n">
        <x:v>45</x:v>
      </x:c>
      <x:c r="L721" t="str">
        <x:v>$20+</x:v>
      </x:c>
      <x:c r="M721" t="str">
        <x:v>Yes</x:v>
      </x:c>
      <x:c r="N721" t="str">
        <x:v>Yes</x:v>
      </x:c>
      <x:c r="O721" t="str">
        <x:v>Yes</x:v>
      </x:c>
      <x:c r="P721" t="str">
        <x:v>Condition not yet reviewed</x:v>
      </x:c>
      <x:c r="Q721" t="n">
        <x:v>35</x:v>
      </x:c>
      <x:c r="R721" t="n">
        <x:v>55</x:v>
      </x:c>
      <x:c r="S721" t="n">
        <x:v>45</x:v>
      </x:c>
      <x:c r="T721" t="str">
        <x:v>Imported from user's PriceCharting Collection.pdf, page 11. PDF row value $27.87; quantity 1; per-card allocation $27.87. Imported value is carried exactly from the PDF and has not been independently repriced. EXTERNAL REPRICE (2026-08-17): Current TCGplayer/PokemonWizard market about $52–53; recent raw eBay comps can be lower.</x:v>
      </x:c>
      <x:c r="U721" t="n">
        <x:v>991</x:v>
      </x:c>
      <x:c r="V721" t="str">
        <x:v>Collection.pdf + current TCGplayer/cross-market research 2026-08-17</x:v>
      </x:c>
      <x:c r="W721" t="str">
        <x:v>https://www.tcgplayer.com/search/pokemon/product?q=M+Mewtwo+EX+%2363+BREAKthrough</x:v>
      </x:c>
    </x:row>
    <x:row r="722">
      <x:c r="A722" t="n">
        <x:v>721</x:v>
      </x:c>
      <x:c r="B722" t="str">
        <x:v>PDF Import / Added Cards</x:v>
      </x:c>
      <x:c r="C722" t="str">
        <x:v>Rayquaza</x:v>
      </x:c>
      <x:c r="D722" t="str">
        <x:v>11/20</x:v>
      </x:c>
      <x:c r="E722" t="str">
        <x:v>Dragon Vault</x:v>
      </x:c>
      <x:c r="F722" t="n">
        <x:v>2012</x:v>
      </x:c>
      <x:c r="G722" t="str">
        <x:v>Dragon Vault stamped blister promo</x:v>
      </x:c>
      <x:c r="H722" t="str">
        <x:v>2 of 2</x:v>
      </x:c>
      <x:c r="I722" t="n">
        <x:v>75</x:v>
      </x:c>
      <x:c r="J722" t="n">
        <x:v>95</x:v>
      </x:c>
      <x:c r="K722" t="n">
        <x:v>85</x:v>
      </x:c>
      <x:c r="L722" t="str">
        <x:v>$20+</x:v>
      </x:c>
      <x:c r="M722" t="str">
        <x:v>Yes</x:v>
      </x:c>
      <x:c r="N722" t="str">
        <x:v>Yes</x:v>
      </x:c>
      <x:c r="O722" t="str">
        <x:v>Yes</x:v>
      </x:c>
      <x:c r="P722" t="str">
        <x:v>Photo pre-grade PSA 8 most likely; reverse edge chipping/nicks; no moisture swelling</x:v>
      </x:c>
      <x:c r="Q722" t="n">
        <x:v>75</x:v>
      </x:c>
      <x:c r="R722" t="n">
        <x:v>95</x:v>
      </x:c>
      <x:c r="S722" t="n">
        <x:v>85</x:v>
      </x:c>
      <x:c r="T722" t="str">
        <x:v>Rayquaza 11/20 stamped copy #2 of 2. Current photo grade: PSA 8 most likely (PSA 7 ~8%, PSA 8 ~62%, PSA 9 ~29%, PSA 10 ~1%). Centering 10 at 53.8/46.2 L-R and 50.3/49.7 T-B; corners 8–9; edges 8 due multiple reverse right-edge chips/nicks and smaller bottom-edge touches; surface 9 with faint mark above 40 treated as minor scuff/print line unless later proven to be a groove.</x:v>
      </x:c>
      <x:c r="U722" t="n">
        <x:v>991</x:v>
      </x:c>
      <x:c r="V722" t="str">
        <x:v>Collection.pdf + current TCGplayer/cross-market research 2026-08-17</x:v>
      </x:c>
      <x:c r="W722" t="str">
        <x:v>https://www.tcgplayer.com/search/pokemon/product?q=Rayquaza+%5BStamped%5D+%2311+Dragon+Vault</x:v>
      </x:c>
    </x:row>
    <x:row r="723">
      <x:c r="A723" t="n">
        <x:v>722</x:v>
      </x:c>
      <x:c r="B723" t="str">
        <x:v>PDF Import / Added Cards</x:v>
      </x:c>
      <x:c r="C723" t="str">
        <x:v>Dialga LV.X</x:v>
      </x:c>
      <x:c r="D723" t="str">
        <x:v>105/106</x:v>
      </x:c>
      <x:c r="E723" t="str">
        <x:v>Great Encounters</x:v>
      </x:c>
      <x:c r="F723" t="n">
        <x:v>2008</x:v>
      </x:c>
      <x:c r="G723" t="str">
        <x:v>Holofoil LV.X</x:v>
      </x:c>
      <x:c r="H723" t="str">
        <x:v>1 of 1</x:v>
      </x:c>
      <x:c r="I723" t="n">
        <x:v>100</x:v>
      </x:c>
      <x:c r="J723" t="n">
        <x:v>200</x:v>
      </x:c>
      <x:c r="K723" t="n">
        <x:v>150</x:v>
      </x:c>
      <x:c r="L723" t="str">
        <x:v>$20+</x:v>
      </x:c>
      <x:c r="M723" t="str">
        <x:v>Yes</x:v>
      </x:c>
      <x:c r="N723" t="str">
        <x:v>Yes</x:v>
      </x:c>
      <x:c r="O723" t="str">
        <x:v>Yes</x:v>
      </x:c>
      <x:c r="P723" t="str">
        <x:v>Condition not yet reviewed</x:v>
      </x:c>
      <x:c r="Q723" t="n">
        <x:v>100</x:v>
      </x:c>
      <x:c r="R723" t="n">
        <x:v>200</x:v>
      </x:c>
      <x:c r="S723" t="n">
        <x:v>150</x:v>
      </x:c>
      <x:c r="T723" t="str">
        <x:v>Imported from user's PriceCharting Collection.pdf, page 11. PDF row value $85.89; quantity 1; per-card allocation $85.89. Imported value is carried exactly from the PDF and has not been independently repriced. EXTERNAL REPRICE (2026-08-17): Very illiquid/split: TCGplayer headline ~$250, cross-market data roughly $43–173 and recent MP around $60; clean/NM range kept broad/conservative.</x:v>
      </x:c>
      <x:c r="U723" t="n">
        <x:v>991</x:v>
      </x:c>
      <x:c r="V723" t="str">
        <x:v>Collection.pdf + current TCGplayer/cross-market research 2026-08-17</x:v>
      </x:c>
      <x:c r="W723" t="str">
        <x:v>https://www.tcgplayer.com/search/pokemon/product?q=Dialga+LV.+X+%23105+Great+Encounters</x:v>
      </x:c>
    </x:row>
    <x:row r="724">
      <x:c r="A724" t="n">
        <x:v>723</x:v>
      </x:c>
      <x:c r="B724" t="str">
        <x:v>PDF Import / Added Cards</x:v>
      </x:c>
      <x:c r="C724" t="str">
        <x:v>Arceus LV.X</x:v>
      </x:c>
      <x:c r="D724" t="str">
        <x:v>94/99</x:v>
      </x:c>
      <x:c r="E724" t="str">
        <x:v>Arceus</x:v>
      </x:c>
      <x:c r="F724" t="n">
        <x:v>2009</x:v>
      </x:c>
      <x:c r="G724" t="str">
        <x:v>Holofoil LV.X</x:v>
      </x:c>
      <x:c r="H724" t="str">
        <x:v>1 of 1</x:v>
      </x:c>
      <x:c r="I724" t="n">
        <x:v>40</x:v>
      </x:c>
      <x:c r="J724" t="n">
        <x:v>55</x:v>
      </x:c>
      <x:c r="K724" t="n">
        <x:v>47.5</x:v>
      </x:c>
      <x:c r="L724" t="str">
        <x:v>$20+</x:v>
      </x:c>
      <x:c r="M724" t="str">
        <x:v>Yes</x:v>
      </x:c>
      <x:c r="N724" t="str">
        <x:v>Yes</x:v>
      </x:c>
      <x:c r="O724" t="str">
        <x:v>Yes</x:v>
      </x:c>
      <x:c r="P724" t="str">
        <x:v>Condition not yet reviewed</x:v>
      </x:c>
      <x:c r="Q724" t="n">
        <x:v>40</x:v>
      </x:c>
      <x:c r="R724" t="n">
        <x:v>55</x:v>
      </x:c>
      <x:c r="S724" t="n">
        <x:v>47.5</x:v>
      </x:c>
      <x:c r="T724" t="str">
        <x:v>Imported from user's PriceCharting Collection.pdf, page 11. PDF row value $51.25; quantity 1; per-card allocation $51.25. Imported value is carried exactly from the PDF and has not been independently repriced. EXTERNAL REPRICE (2026-08-17): Current TCGplayer market about $48; recent NM TCGplayer sale around mid-$40s.</x:v>
      </x:c>
      <x:c r="U724" t="n">
        <x:v>991</x:v>
      </x:c>
      <x:c r="V724" t="str">
        <x:v>Collection.pdf + current TCGplayer/cross-market research 2026-08-17</x:v>
      </x:c>
      <x:c r="W724" t="str">
        <x:v>https://www.tcgplayer.com/search/pokemon/product?q=Arceus+LV.+X+%2394+Arceus</x:v>
      </x:c>
    </x:row>
    <x:row r="725">
      <x:c r="A725" t="n">
        <x:v>724</x:v>
      </x:c>
      <x:c r="B725" t="str">
        <x:v>PDF Import / Added Cards</x:v>
      </x:c>
      <x:c r="C725" t="str">
        <x:v>Mewtwo-EX</x:v>
      </x:c>
      <x:c r="D725" t="str">
        <x:v>BW45</x:v>
      </x:c>
      <x:c r="E725" t="str">
        <x:v>Promo</x:v>
      </x:c>
      <x:c r="F725"/>
      <x:c r="G725" t="str">
        <x:v>Holo EX</x:v>
      </x:c>
      <x:c r="H725" t="str">
        <x:v>1 of 1</x:v>
      </x:c>
      <x:c r="I725" t="n">
        <x:v>17</x:v>
      </x:c>
      <x:c r="J725" t="n">
        <x:v>25</x:v>
      </x:c>
      <x:c r="K725" t="n">
        <x:v>21</x:v>
      </x:c>
      <x:c r="L725" t="str">
        <x:v>$20+</x:v>
      </x:c>
      <x:c r="M725" t="str">
        <x:v>Yes</x:v>
      </x:c>
      <x:c r="N725" t="str">
        <x:v>Yes</x:v>
      </x:c>
      <x:c r="O725" t="str">
        <x:v>Yes</x:v>
      </x:c>
      <x:c r="P725" t="str">
        <x:v>Condition not yet reviewed</x:v>
      </x:c>
      <x:c r="Q725" t="n">
        <x:v>17</x:v>
      </x:c>
      <x:c r="R725" t="n">
        <x:v>25</x:v>
      </x:c>
      <x:c r="S725" t="n">
        <x:v>21</x:v>
      </x:c>
      <x:c r="T725" t="str">
        <x:v>Imported from user's PriceCharting Collection.pdf, page 11. PDF row value $12.39; quantity 1; per-card allocation $12.39. Imported value is carried exactly from the PDF and has not been independently repriced. EXTERNAL REPRICE (2026-08-17): Current TCGplayer/Guardian roughly high teens to low-$20s.</x:v>
      </x:c>
      <x:c r="U725" t="n">
        <x:v>991</x:v>
      </x:c>
      <x:c r="V725" t="str">
        <x:v>Collection.pdf + current TCGplayer/cross-market research 2026-08-17</x:v>
      </x:c>
      <x:c r="W725" t="str">
        <x:v>https://www.tcgplayer.com/search/pokemon/product?q=Mewtwo+EX+%23BW45+Promo</x:v>
      </x:c>
    </x:row>
    <x:row r="726">
      <x:c r="A726" t="n">
        <x:v>725</x:v>
      </x:c>
      <x:c r="B726" t="str">
        <x:v>PDF Import / Added Cards</x:v>
      </x:c>
      <x:c r="C726" t="str">
        <x:v>Arceus</x:v>
      </x:c>
      <x:c r="D726" t="str">
        <x:v>DP50</x:v>
      </x:c>
      <x:c r="E726" t="str">
        <x:v>Promo</x:v>
      </x:c>
      <x:c r="F726"/>
      <x:c r="G726" t="str">
        <x:v>As listed in PriceCharting PDF; foil unspecified</x:v>
      </x:c>
      <x:c r="H726" t="str">
        <x:v>1 of 1</x:v>
      </x:c>
      <x:c r="I726" t="n">
        <x:v>28</x:v>
      </x:c>
      <x:c r="J726" t="n">
        <x:v>38</x:v>
      </x:c>
      <x:c r="K726" t="n">
        <x:v>33</x:v>
      </x:c>
      <x:c r="L726" t="str">
        <x:v>$20+</x:v>
      </x:c>
      <x:c r="M726" t="str">
        <x:v>Yes</x:v>
      </x:c>
      <x:c r="N726" t="str">
        <x:v>Yes</x:v>
      </x:c>
      <x:c r="O726" t="str">
        <x:v>Yes</x:v>
      </x:c>
      <x:c r="P726" t="str">
        <x:v>Condition not yet reviewed</x:v>
      </x:c>
      <x:c r="Q726" t="n">
        <x:v>28</x:v>
      </x:c>
      <x:c r="R726" t="n">
        <x:v>38</x:v>
      </x:c>
      <x:c r="S726" t="n">
        <x:v>33</x:v>
      </x:c>
      <x:c r="T726" t="str">
        <x:v>Imported from user's PriceCharting Collection.pdf, page 11. PDF row value $18.76; quantity 1; per-card allocation $18.76. Imported value is carried exactly from the PDF and has not been independently repriced. EXTERNAL REPRICE (2026-08-17): Current TCGplayer/EvoTerminal about $35.</x:v>
      </x:c>
      <x:c r="U726" t="n">
        <x:v>991</x:v>
      </x:c>
      <x:c r="V726" t="str">
        <x:v>Collection.pdf + current TCGplayer/cross-market research 2026-08-17</x:v>
      </x:c>
      <x:c r="W726" t="str">
        <x:v>https://www.tcgplayer.com/search/pokemon/product?q=Arceus+%23DP50+Promo</x:v>
      </x:c>
    </x:row>
    <x:row r="727">
      <x:c r="A727" t="n">
        <x:v>726</x:v>
      </x:c>
      <x:c r="B727" t="str">
        <x:v>PDF Import / Added Cards</x:v>
      </x:c>
      <x:c r="C727" t="str">
        <x:v>Emboar</x:v>
      </x:c>
      <x:c r="D727" t="str">
        <x:v>26/149</x:v>
      </x:c>
      <x:c r="E727" t="str">
        <x:v>Boundaries Crossed</x:v>
      </x:c>
      <x:c r="F727" t="n">
        <x:v>2012</x:v>
      </x:c>
      <x:c r="G727" t="str">
        <x:v>As listed in PriceCharting PDF; foil unspecified</x:v>
      </x:c>
      <x:c r="H727" t="str">
        <x:v>1 of 1</x:v>
      </x:c>
      <x:c r="I727" t="n">
        <x:v>3.5</x:v>
      </x:c>
      <x:c r="J727" t="n">
        <x:v>5.5</x:v>
      </x:c>
      <x:c r="K727" t="n">
        <x:v>4.5</x:v>
      </x:c>
      <x:c r="L727" t="str">
        <x:v>$1–5</x:v>
      </x:c>
      <x:c r="M727" t="str">
        <x:v>Yes</x:v>
      </x:c>
      <x:c r="N727" t="str">
        <x:v>No</x:v>
      </x:c>
      <x:c r="O727" t="str">
        <x:v>Yes</x:v>
      </x:c>
      <x:c r="P727" t="str">
        <x:v>Condition not yet reviewed</x:v>
      </x:c>
      <x:c r="Q727" t="n">
        <x:v>3.5</x:v>
      </x:c>
      <x:c r="R727" t="n">
        <x:v>5.5</x:v>
      </x:c>
      <x:c r="S727" t="n">
        <x:v>4.5</x:v>
      </x:c>
      <x:c r="T727" t="str">
        <x:v>Imported from user's PriceCharting Collection.pdf, page 12. PDF row value $4.07; quantity 1; per-card allocation $4.07. Imported value is carried exactly from the PDF and has not been independently repriced. EXTERNAL REPRICE (2026-08-17): Current TCGplayer market about $4.3–4.4.</x:v>
      </x:c>
      <x:c r="U727" t="n">
        <x:v>991</x:v>
      </x:c>
      <x:c r="V727" t="str">
        <x:v>Collection.pdf + current TCGplayer/cross-market research 2026-08-17</x:v>
      </x:c>
      <x:c r="W727" t="str">
        <x:v>https://www.tcgplayer.com/search/pokemon/product?q=Emboar+%2326+Boundaries+Crossed</x:v>
      </x:c>
    </x:row>
    <x:row r="728">
      <x:c r="A728" t="n">
        <x:v>727</x:v>
      </x:c>
      <x:c r="B728" t="str">
        <x:v>PDF Import / Added Cards</x:v>
      </x:c>
      <x:c r="C728" t="str">
        <x:v>Beartic</x:v>
      </x:c>
      <x:c r="D728" t="str">
        <x:v>37/99</x:v>
      </x:c>
      <x:c r="E728" t="str">
        <x:v>Next Destinies</x:v>
      </x:c>
      <x:c r="F728" t="n">
        <x:v>2012</x:v>
      </x:c>
      <x:c r="G728" t="str">
        <x:v>Reverse Holo</x:v>
      </x:c>
      <x:c r="H728" t="str">
        <x:v>2 of 2</x:v>
      </x:c>
      <x:c r="I728" t="n">
        <x:v>1.75</x:v>
      </x:c>
      <x:c r="J728" t="n">
        <x:v>2.75</x:v>
      </x:c>
      <x:c r="K728" t="n">
        <x:v>2.25</x:v>
      </x:c>
      <x:c r="L728" t="str">
        <x:v>$1–5</x:v>
      </x:c>
      <x:c r="M728" t="str">
        <x:v>Yes</x:v>
      </x:c>
      <x:c r="N728" t="str">
        <x:v>No</x:v>
      </x:c>
      <x:c r="O728" t="str">
        <x:v>Yes</x:v>
      </x:c>
      <x:c r="P728" t="str">
        <x:v>Condition not yet reviewed</x:v>
      </x:c>
      <x:c r="Q728" t="n">
        <x:v>1.75</x:v>
      </x:c>
      <x:c r="R728" t="n">
        <x:v>2.75</x:v>
      </x:c>
      <x:c r="S728" t="n">
        <x:v>2.25</x:v>
      </x:c>
      <x:c r="T728" t="str">
        <x:v>Imported from user's PriceCharting Collection.pdf, page 12. PDF row value $2.16; quantity 1; per-card allocation $2.16. Imported value is carried exactly from the PDF and has not been independently repriced. EXTERNAL REPRICE (2026-08-17): Current TCGplayer reverse-holo guide about $2.25.</x:v>
      </x:c>
      <x:c r="U728" t="n">
        <x:v>991</x:v>
      </x:c>
      <x:c r="V728" t="str">
        <x:v>Collection.pdf + current TCGplayer/cross-market research 2026-08-17</x:v>
      </x:c>
      <x:c r="W728" t="str">
        <x:v>https://www.tcgplayer.com/search/pokemon/product?q=Beartic+%5BReverse+Holo%5D+%2337+Next+Destinies</x:v>
      </x:c>
    </x:row>
    <x:row r="729">
      <x:c r="A729" t="n">
        <x:v>728</x:v>
      </x:c>
      <x:c r="B729" t="str">
        <x:v>PDF Import / Added Cards</x:v>
      </x:c>
      <x:c r="C729" t="str">
        <x:v>Thundurus</x:v>
      </x:c>
      <x:c r="D729" t="str">
        <x:v>50/113</x:v>
      </x:c>
      <x:c r="E729" t="str">
        <x:v>Legendary Treasures</x:v>
      </x:c>
      <x:c r="F729" t="n">
        <x:v>2013</x:v>
      </x:c>
      <x:c r="G729" t="str">
        <x:v>As listed in PriceCharting PDF; foil unspecified</x:v>
      </x:c>
      <x:c r="H729" t="str">
        <x:v>1 of 1</x:v>
      </x:c>
      <x:c r="I729" t="n">
        <x:v>1.5</x:v>
      </x:c>
      <x:c r="J729" t="n">
        <x:v>2.75</x:v>
      </x:c>
      <x:c r="K729" t="n">
        <x:v>2.125</x:v>
      </x:c>
      <x:c r="L729" t="str">
        <x:v>$1–5</x:v>
      </x:c>
      <x:c r="M729" t="str">
        <x:v>Yes</x:v>
      </x:c>
      <x:c r="N729" t="str">
        <x:v>No</x:v>
      </x:c>
      <x:c r="O729" t="str">
        <x:v>Yes</x:v>
      </x:c>
      <x:c r="P729" t="str">
        <x:v>Condition not yet reviewed</x:v>
      </x:c>
      <x:c r="Q729" t="n">
        <x:v>1.5</x:v>
      </x:c>
      <x:c r="R729" t="n">
        <x:v>2.75</x:v>
      </x:c>
      <x:c r="S729" t="n">
        <x:v>2.125</x:v>
      </x:c>
      <x:c r="T729" t="str">
        <x:v>Imported from user's PriceCharting Collection.pdf, page 12. PDF row value $2.29; quantity 1; per-card allocation $2.29. Imported value is carried exactly from the PDF and has not been independently repriced. EXTERNAL REPRICE (2026-08-17): Treated as Legendary Treasures holo set printing; TCGplayer holo market about $1.9. Deck-exclusive normal is lower.</x:v>
      </x:c>
      <x:c r="U729" t="n">
        <x:v>991</x:v>
      </x:c>
      <x:c r="V729" t="str">
        <x:v>Collection.pdf + current TCGplayer/cross-market research 2026-08-17</x:v>
      </x:c>
      <x:c r="W729" t="str">
        <x:v>https://www.tcgplayer.com/search/pokemon/product?q=Thundurus+%2350+Legendary+Treasures</x:v>
      </x:c>
    </x:row>
    <x:row r="730">
      <x:c r="A730" t="n">
        <x:v>729</x:v>
      </x:c>
      <x:c r="B730" t="str">
        <x:v>PDF Import / Added Cards</x:v>
      </x:c>
      <x:c r="C730" t="str">
        <x:v>Druddigon</x:v>
      </x:c>
      <x:c r="D730" t="str">
        <x:v>70/106</x:v>
      </x:c>
      <x:c r="E730" t="str">
        <x:v>Flashfire</x:v>
      </x:c>
      <x:c r="F730" t="n">
        <x:v>2014</x:v>
      </x:c>
      <x:c r="G730" t="str">
        <x:v>Reverse Holo</x:v>
      </x:c>
      <x:c r="H730" t="str">
        <x:v>1 of 1</x:v>
      </x:c>
      <x:c r="I730" t="n">
        <x:v>0.8</x:v>
      </x:c>
      <x:c r="J730" t="n">
        <x:v>1.3</x:v>
      </x:c>
      <x:c r="K730" t="n">
        <x:v>1.05</x:v>
      </x:c>
      <x:c r="L730" t="str">
        <x:v>$1–5</x:v>
      </x:c>
      <x:c r="M730" t="str">
        <x:v>Yes</x:v>
      </x:c>
      <x:c r="N730" t="str">
        <x:v>No</x:v>
      </x:c>
      <x:c r="O730" t="str">
        <x:v>Yes</x:v>
      </x:c>
      <x:c r="P730" t="str">
        <x:v>Condition not yet reviewed</x:v>
      </x:c>
      <x:c r="Q730" t="n">
        <x:v>0.8</x:v>
      </x:c>
      <x:c r="R730" t="n">
        <x:v>1.3</x:v>
      </x:c>
      <x:c r="S730" t="n">
        <x:v>1.05</x:v>
      </x:c>
      <x:c r="T730" t="str">
        <x:v>Imported from user's PriceCharting Collection.pdf, page 12. PDF row value $0.99; quantity 1; per-card allocation $0.99. Imported value is carried exactly from the PDF and has not been independently repriced. EXTERNAL REPRICE (2026-08-17): Current TCGplayer reverse-holo guide about $1.05.</x:v>
      </x:c>
      <x:c r="U730" t="n">
        <x:v>991</x:v>
      </x:c>
      <x:c r="V730" t="str">
        <x:v>Collection.pdf + current TCGplayer/cross-market research 2026-08-17</x:v>
      </x:c>
      <x:c r="W730" t="str">
        <x:v>https://www.tcgplayer.com/search/pokemon/product?q=Druddigon+%5BReverse+Holo%5D+%2370+Flashfire</x:v>
      </x:c>
    </x:row>
    <x:row r="731">
      <x:c r="A731" t="n">
        <x:v>730</x:v>
      </x:c>
      <x:c r="B731" t="str">
        <x:v>PDF Import / Added Cards</x:v>
      </x:c>
      <x:c r="C731" t="str">
        <x:v>Yanmega</x:v>
      </x:c>
      <x:c r="D731" t="str">
        <x:v>98/102</x:v>
      </x:c>
      <x:c r="E731" t="str">
        <x:v>Triumphant</x:v>
      </x:c>
      <x:c r="F731" t="n">
        <x:v>2010</x:v>
      </x:c>
      <x:c r="G731" t="str">
        <x:v>As listed in PriceCharting PDF; foil unspecified</x:v>
      </x:c>
      <x:c r="H731" t="str">
        <x:v>1 of 1</x:v>
      </x:c>
      <x:c r="I731" t="n">
        <x:v>22</x:v>
      </x:c>
      <x:c r="J731" t="n">
        <x:v>30</x:v>
      </x:c>
      <x:c r="K731" t="n">
        <x:v>26</x:v>
      </x:c>
      <x:c r="L731" t="str">
        <x:v>$20+</x:v>
      </x:c>
      <x:c r="M731" t="str">
        <x:v>Yes</x:v>
      </x:c>
      <x:c r="N731" t="str">
        <x:v>Yes</x:v>
      </x:c>
      <x:c r="O731" t="str">
        <x:v>Yes</x:v>
      </x:c>
      <x:c r="P731" t="str">
        <x:v>Condition not yet reviewed</x:v>
      </x:c>
      <x:c r="Q731" t="n">
        <x:v>22</x:v>
      </x:c>
      <x:c r="R731" t="n">
        <x:v>30</x:v>
      </x:c>
      <x:c r="S731" t="n">
        <x:v>26</x:v>
      </x:c>
      <x:c r="T731" t="str">
        <x:v>Imported from user's PriceCharting Collection.pdf, page 12. PDF row value $21.78; quantity 1; per-card allocation $21.78. Imported value is carried exactly from the PDF and has not been independently repriced. EXTERNAL REPRICE (2026-08-17): Current Yanmega Prime TCGplayer/PokemonWizard around $26–28.</x:v>
      </x:c>
      <x:c r="U731" t="n">
        <x:v>991</x:v>
      </x:c>
      <x:c r="V731" t="str">
        <x:v>Collection.pdf + current TCGplayer/cross-market research 2026-08-17</x:v>
      </x:c>
      <x:c r="W731" t="str">
        <x:v>https://www.tcgplayer.com/search/pokemon/product?q=Yanmega+%2398+Triumphant</x:v>
      </x:c>
    </x:row>
    <x:row r="732">
      <x:c r="A732" t="n">
        <x:v>731</x:v>
      </x:c>
      <x:c r="B732" t="str">
        <x:v>PDF Import / Added Cards</x:v>
      </x:c>
      <x:c r="C732" t="str">
        <x:v>Salamence</x:v>
      </x:c>
      <x:c r="D732" t="str">
        <x:v>64/101</x:v>
      </x:c>
      <x:c r="E732" t="str">
        <x:v>Plasma Blast</x:v>
      </x:c>
      <x:c r="F732" t="n">
        <x:v>2013</x:v>
      </x:c>
      <x:c r="G732" t="str">
        <x:v>As listed in PriceCharting PDF; foil unspecified</x:v>
      </x:c>
      <x:c r="H732" t="str">
        <x:v>1 of 1</x:v>
      </x:c>
      <x:c r="I732" t="n">
        <x:v>5.5</x:v>
      </x:c>
      <x:c r="J732" t="n">
        <x:v>8</x:v>
      </x:c>
      <x:c r="K732" t="n">
        <x:v>6.75</x:v>
      </x:c>
      <x:c r="L732" t="str">
        <x:v>$5–20</x:v>
      </x:c>
      <x:c r="M732" t="str">
        <x:v>Yes</x:v>
      </x:c>
      <x:c r="N732" t="str">
        <x:v>No</x:v>
      </x:c>
      <x:c r="O732" t="str">
        <x:v>Yes</x:v>
      </x:c>
      <x:c r="P732" t="str">
        <x:v>Condition not yet reviewed</x:v>
      </x:c>
      <x:c r="Q732" t="n">
        <x:v>5.5</x:v>
      </x:c>
      <x:c r="R732" t="n">
        <x:v>8</x:v>
      </x:c>
      <x:c r="S732" t="n">
        <x:v>6.75</x:v>
      </x:c>
      <x:c r="T732" t="str">
        <x:v>Imported from user's PriceCharting Collection.pdf, page 12. PDF row value $4.59; quantity 1; per-card allocation $4.59. Imported value is carried exactly from the PDF and has not been independently repriced. EXTERNAL REPRICE (2026-08-17): Current Plasma Blast holo TCGplayer market about $6.9.</x:v>
      </x:c>
      <x:c r="U732" t="n">
        <x:v>991</x:v>
      </x:c>
      <x:c r="V732" t="str">
        <x:v>Collection.pdf + current TCGplayer/cross-market research 2026-08-17</x:v>
      </x:c>
      <x:c r="W732" t="str">
        <x:v>https://www.tcgplayer.com/search/pokemon/product?q=Salamence+%2364+Plasma+Blast</x:v>
      </x:c>
    </x:row>
    <x:row r="733">
      <x:c r="A733" t="n">
        <x:v>732</x:v>
      </x:c>
      <x:c r="B733" t="str">
        <x:v>Post-Dragon / Mixed Pokémon</x:v>
      </x:c>
      <x:c r="C733" t="str">
        <x:v>Unown (X)</x:v>
      </x:c>
      <x:c r="D733" t="str">
        <x:v>X/28</x:v>
      </x:c>
      <x:c r="E733" t="str">
        <x:v>EX Unseen Forces</x:v>
      </x:c>
      <x:c r="F733" t="n">
        <x:v>2005</x:v>
      </x:c>
      <x:c r="G733" t="str">
        <x:v>Holo Rare</x:v>
      </x:c>
      <x:c r="H733" t="str">
        <x:v>1 of 1</x:v>
      </x:c>
      <x:c r="I733" t="n">
        <x:v>35</x:v>
      </x:c>
      <x:c r="J733" t="n">
        <x:v>50</x:v>
      </x:c>
      <x:c r="K733" t="n">
        <x:v>42.5</x:v>
      </x:c>
      <x:c r="L733" t="str">
        <x:v>$20+</x:v>
      </x:c>
      <x:c r="M733" t="str">
        <x:v>Yes</x:v>
      </x:c>
      <x:c r="N733" t="str">
        <x:v>Yes</x:v>
      </x:c>
      <x:c r="O733" t="str">
        <x:v>Yes</x:v>
      </x:c>
      <x:c r="P733" t="str">
        <x:v>Clean/NM benchmark unless noted</x:v>
      </x:c>
      <x:c r="Q733" t="n">
        <x:v>35</x:v>
      </x:c>
      <x:c r="R733" t="n">
        <x:v>50</x:v>
      </x:c>
      <x:c r="S733" t="n">
        <x:v>42.5</x:v>
      </x:c>
      <x:c r="T733" t="str">
        <x:v>EX Unseen Forces Unown (X) X/28 holo rare. TCGplayer current NM market is about $44.13. Working clean/NM range $35–50 to allow for limited listings and condition sensitivity.</x:v>
      </x:c>
      <x:c r="U733" t="n">
        <x:v>992</x:v>
      </x:c>
      <x:c r="V733" t="str">
        <x:v>Current chat continuation / researched 2026-08-16</x:v>
      </x:c>
      <x:c r="W733" t="str">
        <x:v>https://www.tcgplayer.com/search/all/product?q=Unown+X</x:v>
      </x:c>
    </x:row>
    <x:row r="734">
      <x:c r="A734" t="n">
        <x:v>733</x:v>
      </x:c>
      <x:c r="B734" t="str">
        <x:v>Dragon / Dragon Vault</x:v>
      </x:c>
      <x:c r="C734" t="str">
        <x:v>Latios</x:v>
      </x:c>
      <x:c r="D734" t="str">
        <x:v>10/20</x:v>
      </x:c>
      <x:c r="E734" t="str">
        <x:v>Dragon Vault</x:v>
      </x:c>
      <x:c r="F734" t="n">
        <x:v>2012</x:v>
      </x:c>
      <x:c r="G734" t="str">
        <x:v>Holo — Dragon Vault D.V. Stamp</x:v>
      </x:c>
      <x:c r="H734" t="str">
        <x:v>1 of 1</x:v>
      </x:c>
      <x:c r="I734" t="n">
        <x:v>6.15</x:v>
      </x:c>
      <x:c r="J734" t="n">
        <x:v>16.25</x:v>
      </x:c>
      <x:c r="K734" t="n">
        <x:v>11.2</x:v>
      </x:c>
      <x:c r="L734" t="str">
        <x:v>$5–20</x:v>
      </x:c>
      <x:c r="M734" t="str">
        <x:v>Yes</x:v>
      </x:c>
      <x:c r="N734" t="str">
        <x:v>No</x:v>
      </x:c>
      <x:c r="O734" t="str">
        <x:v>Yes</x:v>
      </x:c>
      <x:c r="P734" t="str">
        <x:v>Manual pre-grade: PSA 9 most likely</x:v>
      </x:c>
      <x:c r="Q734" t="n">
        <x:v>6.15</x:v>
      </x:c>
      <x:c r="R734" t="n">
        <x:v>16.25</x:v>
      </x:c>
      <x:c r="S734" t="n">
        <x:v>11.2</x:v>
      </x:c>
      <x:c r="T734" t="str">
        <x:v>Dragon Vault Latios 10/20 D.V. Stamp confirmed from the physical card image. Manual grading session 2026-08-17: centering PSA 10 (app: 55/45 L-R, 51.6/48.4 T-B); corners PSA 9; edges PSA 9; surface PSA 9–10. Overall PSA 9 most likely. Strict odds: PSA 7 ~2%, PSA 8 ~39%, PSA 9 ~58%, PSA 10 ~1%. Exact PSA 9 comp cert 74766129; PSA currently shows 27 at PSA 9 and 0 higher.</x:v>
      </x:c>
      <x:c r="U734" t="n">
        <x:v>992</x:v>
      </x:c>
      <x:c r="V734" t="str">
        <x:v>TCGplayer + PriceCharting + PSA/Collectors, researched 2026-08-17</x:v>
      </x:c>
      <x:c r="W734" t="str">
        <x:v>https://www.pricecharting.com/game/pokemon-dragon-vault/latios-stamped-10</x:v>
      </x:c>
    </x:row>
    <x:row r="735">
      <x:c r="A735" t="n">
        <x:v>734</x:v>
      </x:c>
      <x:c r="B735" t="str">
        <x:v>PDF Import / Added Cards</x:v>
      </x:c>
      <x:c r="C735" t="str">
        <x:v>Gyarados G</x:v>
      </x:c>
      <x:c r="D735" t="str">
        <x:v>30/127</x:v>
      </x:c>
      <x:c r="E735" t="str">
        <x:v>Platinum</x:v>
      </x:c>
      <x:c r="F735" t="n">
        <x:v>2009</x:v>
      </x:c>
      <x:c r="G735" t="str">
        <x:v>Regular</x:v>
      </x:c>
      <x:c r="H735" t="str">
        <x:v>1 of 1</x:v>
      </x:c>
      <x:c r="I735" t="n">
        <x:v>8.39</x:v>
      </x:c>
      <x:c r="J735" t="n">
        <x:v>12.82</x:v>
      </x:c>
      <x:c r="K735" t="n">
        <x:v>10.605</x:v>
      </x:c>
      <x:c r="L735" t="str">
        <x:v>$5–20</x:v>
      </x:c>
      <x:c r="M735" t="str">
        <x:v>Yes</x:v>
      </x:c>
      <x:c r="N735" t="str">
        <x:v>No</x:v>
      </x:c>
      <x:c r="O735" t="str">
        <x:v>Yes</x:v>
      </x:c>
      <x:c r="P735" t="str">
        <x:v>Condition not yet reviewed</x:v>
      </x:c>
      <x:c r="Q735" t="n">
        <x:v>8.39</x:v>
      </x:c>
      <x:c r="R735" t="n">
        <x:v>12.82</x:v>
      </x:c>
      <x:c r="S735" t="n">
        <x:v>10.605</x:v>
      </x:c>
      <x:c r="T735" t="str">
        <x:v>TWO-SOURCE REPRICE (2026-08-17): PriceCharting ungraded from the uploaded PDF = $8.39 per card; TCGplayer exact-printing Near Mint market/price-guide value = $12.82. Working raw comp range is the span of those two approved sources ($8.39–$12.82); midpoint $10.61. No eBay or other marketplace data used.</x:v>
      </x:c>
      <x:c r="U735" t="n">
        <x:v>993</x:v>
      </x:c>
      <x:c r="V735" t="str">
        <x:v>TCGplayer + PriceCharting (uploaded PDF), researched 2026-08-17</x:v>
      </x:c>
      <x:c r="W735" t="str">
        <x:v>https://www.tcgplayer.com/product/86005/pokemon-platinum-gyarados-g</x:v>
      </x:c>
    </x:row>
    <x:row r="736">
      <x:c r="A736" t="n">
        <x:v>735</x:v>
      </x:c>
      <x:c r="B736" t="str">
        <x:v>PDF Import / Added Cards</x:v>
      </x:c>
      <x:c r="C736" t="str">
        <x:v>Milotic C</x:v>
      </x:c>
      <x:c r="D736" t="str">
        <x:v>35/147</x:v>
      </x:c>
      <x:c r="E736" t="str">
        <x:v>Supreme Victors</x:v>
      </x:c>
      <x:c r="F736" t="n">
        <x:v>2009</x:v>
      </x:c>
      <x:c r="G736" t="str">
        <x:v>Regular</x:v>
      </x:c>
      <x:c r="H736" t="str">
        <x:v>1 of 1</x:v>
      </x:c>
      <x:c r="I736" t="n">
        <x:v>6</x:v>
      </x:c>
      <x:c r="J736" t="n">
        <x:v>8.94</x:v>
      </x:c>
      <x:c r="K736" t="n">
        <x:v>7.47</x:v>
      </x:c>
      <x:c r="L736" t="str">
        <x:v>$5–20</x:v>
      </x:c>
      <x:c r="M736" t="str">
        <x:v>Yes</x:v>
      </x:c>
      <x:c r="N736" t="str">
        <x:v>No</x:v>
      </x:c>
      <x:c r="O736" t="str">
        <x:v>Yes</x:v>
      </x:c>
      <x:c r="P736" t="str">
        <x:v>Condition not yet reviewed</x:v>
      </x:c>
      <x:c r="Q736" t="n">
        <x:v>6</x:v>
      </x:c>
      <x:c r="R736" t="n">
        <x:v>8.94</x:v>
      </x:c>
      <x:c r="S736" t="n">
        <x:v>7.47</x:v>
      </x:c>
      <x:c r="T736" t="str">
        <x:v>TWO-SOURCE REPRICE (2026-08-17): PriceCharting ungraded from the uploaded PDF = $6.00 per card; TCGplayer exact-printing Near Mint market/price-guide value = $8.94. Working raw comp range is the span of those two approved sources ($6.00–$8.94); midpoint $7.47. No eBay or other marketplace data used.</x:v>
      </x:c>
      <x:c r="U736" t="n">
        <x:v>993</x:v>
      </x:c>
      <x:c r="V736" t="str">
        <x:v>TCGplayer + PriceCharting (uploaded PDF), researched 2026-08-17</x:v>
      </x:c>
      <x:c r="W736" t="str">
        <x:v>https://www.tcgplayer.com/search/pokemon/product?q=Milotic+C+35%2F147+Supreme+Victors</x:v>
      </x:c>
    </x:row>
    <x:row r="737">
      <x:c r="A737" t="n">
        <x:v>736</x:v>
      </x:c>
      <x:c r="B737" t="str">
        <x:v>PDF Import / Added Cards</x:v>
      </x:c>
      <x:c r="C737" t="str">
        <x:v>Blastoise</x:v>
      </x:c>
      <x:c r="D737" t="str">
        <x:v>13/95</x:v>
      </x:c>
      <x:c r="E737" t="str">
        <x:v>Unleashed</x:v>
      </x:c>
      <x:c r="F737" t="n">
        <x:v>2010</x:v>
      </x:c>
      <x:c r="G737" t="str">
        <x:v>Regular</x:v>
      </x:c>
      <x:c r="H737" t="str">
        <x:v>1 of 1</x:v>
      </x:c>
      <x:c r="I737" t="n">
        <x:v>9.22</x:v>
      </x:c>
      <x:c r="J737" t="n">
        <x:v>10.66</x:v>
      </x:c>
      <x:c r="K737" t="n">
        <x:v>9.940000000000001</x:v>
      </x:c>
      <x:c r="L737" t="str">
        <x:v>$5–20</x:v>
      </x:c>
      <x:c r="M737" t="str">
        <x:v>Yes</x:v>
      </x:c>
      <x:c r="N737" t="str">
        <x:v>No</x:v>
      </x:c>
      <x:c r="O737" t="str">
        <x:v>Yes</x:v>
      </x:c>
      <x:c r="P737" t="str">
        <x:v>Condition not yet reviewed</x:v>
      </x:c>
      <x:c r="Q737" t="n">
        <x:v>9.22</x:v>
      </x:c>
      <x:c r="R737" t="n">
        <x:v>10.66</x:v>
      </x:c>
      <x:c r="S737" t="n">
        <x:v>9.940000000000001</x:v>
      </x:c>
      <x:c r="T737" t="str">
        <x:v>TWO-SOURCE REPRICE (2026-08-17): PriceCharting ungraded from the uploaded PDF = $10.66 per card; TCGplayer exact-printing Near Mint market/price-guide value = $9.22. Working raw comp range is the span of those two approved sources ($9.22–$10.66); midpoint $9.94. No eBay or other marketplace data used.</x:v>
      </x:c>
      <x:c r="U737" t="n">
        <x:v>993</x:v>
      </x:c>
      <x:c r="V737" t="str">
        <x:v>TCGplayer + PriceCharting (uploaded PDF), researched 2026-08-17</x:v>
      </x:c>
      <x:c r="W737" t="str">
        <x:v>https://www.tcgplayer.com/product/83895/pokemon-unleashed-blastoise</x:v>
      </x:c>
    </x:row>
    <x:row r="738">
      <x:c r="A738" t="n">
        <x:v>737</x:v>
      </x:c>
      <x:c r="B738" t="str">
        <x:v>PDF Import / Added Cards</x:v>
      </x:c>
      <x:c r="C738" t="str">
        <x:v>Samurott</x:v>
      </x:c>
      <x:c r="D738" t="str">
        <x:v>BW22</x:v>
      </x:c>
      <x:c r="E738" t="str">
        <x:v>Black &amp; White Promos</x:v>
      </x:c>
      <x:c r="F738" t="n">
        <x:v>2011</x:v>
      </x:c>
      <x:c r="G738" t="str">
        <x:v>Holofoil Promo</x:v>
      </x:c>
      <x:c r="H738" t="str">
        <x:v>1 of 1</x:v>
      </x:c>
      <x:c r="I738" t="n">
        <x:v>0.68</x:v>
      </x:c>
      <x:c r="J738" t="n">
        <x:v>3.91</x:v>
      </x:c>
      <x:c r="K738" t="n">
        <x:v>2.295</x:v>
      </x:c>
      <x:c r="L738" t="str">
        <x:v>$1–5</x:v>
      </x:c>
      <x:c r="M738" t="str">
        <x:v>Yes</x:v>
      </x:c>
      <x:c r="N738" t="str">
        <x:v>No</x:v>
      </x:c>
      <x:c r="O738" t="str">
        <x:v>Yes</x:v>
      </x:c>
      <x:c r="P738" t="str">
        <x:v>Condition not yet reviewed</x:v>
      </x:c>
      <x:c r="Q738" t="n">
        <x:v>0.68</x:v>
      </x:c>
      <x:c r="R738" t="n">
        <x:v>3.91</x:v>
      </x:c>
      <x:c r="S738" t="n">
        <x:v>2.295</x:v>
      </x:c>
      <x:c r="T738" t="str">
        <x:v>TWO-SOURCE REPRICE (2026-08-17): PriceCharting ungraded from the uploaded PDF = $3.91 per card; TCGplayer exact-printing Near Mint market/price-guide value = $0.68. Working raw comp range is the span of those two approved sources ($0.68–$3.91); midpoint $2.29. No eBay or other marketplace data used.</x:v>
      </x:c>
      <x:c r="U738" t="n">
        <x:v>993</x:v>
      </x:c>
      <x:c r="V738" t="str">
        <x:v>TCGplayer + PriceCharting (uploaded PDF), researched 2026-08-17</x:v>
      </x:c>
      <x:c r="W738" t="str">
        <x:v>https://www.tcgplayer.com/product/88909/pokemon-black-and-white-promos-samurott-bw22</x:v>
      </x:c>
    </x:row>
    <x:row r="739">
      <x:c r="A739" t="n">
        <x:v>738</x:v>
      </x:c>
      <x:c r="B739" t="str">
        <x:v>PDF Import / Added Cards</x:v>
      </x:c>
      <x:c r="C739" t="str">
        <x:v>Vaporeon</x:v>
      </x:c>
      <x:c r="D739" t="str">
        <x:v>25/108</x:v>
      </x:c>
      <x:c r="E739" t="str">
        <x:v>Dark Explorers</x:v>
      </x:c>
      <x:c r="F739" t="n">
        <x:v>2012</x:v>
      </x:c>
      <x:c r="G739" t="str">
        <x:v>Regular</x:v>
      </x:c>
      <x:c r="H739" t="str">
        <x:v>1 of 1</x:v>
      </x:c>
      <x:c r="I739" t="n">
        <x:v>6.95</x:v>
      </x:c>
      <x:c r="J739" t="n">
        <x:v>7.53</x:v>
      </x:c>
      <x:c r="K739" t="n">
        <x:v>7.24</x:v>
      </x:c>
      <x:c r="L739" t="str">
        <x:v>$5–20</x:v>
      </x:c>
      <x:c r="M739" t="str">
        <x:v>Yes</x:v>
      </x:c>
      <x:c r="N739" t="str">
        <x:v>No</x:v>
      </x:c>
      <x:c r="O739" t="str">
        <x:v>Yes</x:v>
      </x:c>
      <x:c r="P739" t="str">
        <x:v>Condition not yet reviewed</x:v>
      </x:c>
      <x:c r="Q739" t="n">
        <x:v>6.95</x:v>
      </x:c>
      <x:c r="R739" t="n">
        <x:v>7.53</x:v>
      </x:c>
      <x:c r="S739" t="n">
        <x:v>7.24</x:v>
      </x:c>
      <x:c r="T739" t="str">
        <x:v>TWO-SOURCE REPRICE (2026-08-17): PriceCharting ungraded from the uploaded PDF = $6.95 per card; TCGplayer exact-printing Near Mint market/price-guide value = $7.53. Working raw comp range is the span of those two approved sources ($6.95–$7.53); midpoint $7.24. No eBay or other marketplace data used.</x:v>
      </x:c>
      <x:c r="U739" t="n">
        <x:v>993</x:v>
      </x:c>
      <x:c r="V739" t="str">
        <x:v>TCGplayer + PriceCharting (uploaded PDF), researched 2026-08-17</x:v>
      </x:c>
      <x:c r="W739" t="str">
        <x:v>https://www.tcgplayer.com/search/pokemon/product?q=Vaporeon+25%2F108+Dark+Explorers</x:v>
      </x:c>
    </x:row>
    <x:row r="740">
      <x:c r="A740" t="n">
        <x:v>739</x:v>
      </x:c>
      <x:c r="B740" t="str">
        <x:v>PDF Import / Added Cards</x:v>
      </x:c>
      <x:c r="C740" t="str">
        <x:v>Dewott</x:v>
      </x:c>
      <x:c r="D740" t="str">
        <x:v>29/114</x:v>
      </x:c>
      <x:c r="E740" t="str">
        <x:v>Black &amp; White</x:v>
      </x:c>
      <x:c r="F740" t="n">
        <x:v>2011</x:v>
      </x:c>
      <x:c r="G740" t="str">
        <x:v>Reverse Holo</x:v>
      </x:c>
      <x:c r="H740" t="str">
        <x:v>1 of 1</x:v>
      </x:c>
      <x:c r="I740" t="n">
        <x:v>2.12</x:v>
      </x:c>
      <x:c r="J740" t="n">
        <x:v>2.24</x:v>
      </x:c>
      <x:c r="K740" t="n">
        <x:v>2.18</x:v>
      </x:c>
      <x:c r="L740" t="str">
        <x:v>$1–5</x:v>
      </x:c>
      <x:c r="M740" t="str">
        <x:v>Yes</x:v>
      </x:c>
      <x:c r="N740" t="str">
        <x:v>No</x:v>
      </x:c>
      <x:c r="O740" t="str">
        <x:v>Yes</x:v>
      </x:c>
      <x:c r="P740" t="str">
        <x:v>Condition not yet reviewed</x:v>
      </x:c>
      <x:c r="Q740" t="n">
        <x:v>2.12</x:v>
      </x:c>
      <x:c r="R740" t="n">
        <x:v>2.24</x:v>
      </x:c>
      <x:c r="S740" t="n">
        <x:v>2.18</x:v>
      </x:c>
      <x:c r="T740" t="str">
        <x:v>TWO-SOURCE REPRICE (2026-08-17): PriceCharting ungraded from the uploaded PDF = $2.12 per card; TCGplayer exact-printing Near Mint market/price-guide value = $2.24. Working raw comp range is the span of those two approved sources ($2.12–$2.24); midpoint $2.18. No eBay or other marketplace data used.</x:v>
      </x:c>
      <x:c r="U740" t="n">
        <x:v>993</x:v>
      </x:c>
      <x:c r="V740" t="str">
        <x:v>TCGplayer + PriceCharting (uploaded PDF), researched 2026-08-17</x:v>
      </x:c>
      <x:c r="W740" t="str">
        <x:v>https://www.tcgplayer.com/categories/trading-and-collectible-card-games/pokemon/price-guides/black-and-white</x:v>
      </x:c>
    </x:row>
    <x:row r="741">
      <x:c r="A741" t="n">
        <x:v>740</x:v>
      </x:c>
      <x:c r="B741" t="str">
        <x:v>PDF Import / Added Cards</x:v>
      </x:c>
      <x:c r="C741" t="str">
        <x:v>Piplup</x:v>
      </x:c>
      <x:c r="D741" t="str">
        <x:v>RC6/RC25</x:v>
      </x:c>
      <x:c r="E741" t="str">
        <x:v>Legendary Treasures: Radiant Collection</x:v>
      </x:c>
      <x:c r="F741" t="n">
        <x:v>2013</x:v>
      </x:c>
      <x:c r="G741" t="str">
        <x:v>Holofoil / Radiant Collection</x:v>
      </x:c>
      <x:c r="H741" t="str">
        <x:v>1 of 2</x:v>
      </x:c>
      <x:c r="I741" t="n">
        <x:v>11.1</x:v>
      </x:c>
      <x:c r="J741" t="n">
        <x:v>14.21</x:v>
      </x:c>
      <x:c r="K741" t="n">
        <x:v>12.655000000000001</x:v>
      </x:c>
      <x:c r="L741" t="str">
        <x:v>$5–20</x:v>
      </x:c>
      <x:c r="M741" t="str">
        <x:v>Yes</x:v>
      </x:c>
      <x:c r="N741" t="str">
        <x:v>No</x:v>
      </x:c>
      <x:c r="O741" t="str">
        <x:v>Yes</x:v>
      </x:c>
      <x:c r="P741" t="str">
        <x:v>Condition not yet reviewed</x:v>
      </x:c>
      <x:c r="Q741" t="n">
        <x:v>11.1</x:v>
      </x:c>
      <x:c r="R741" t="n">
        <x:v>14.21</x:v>
      </x:c>
      <x:c r="S741" t="n">
        <x:v>12.655000000000001</x:v>
      </x:c>
      <x:c r="T741"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741" t="n">
        <x:v>993</x:v>
      </x:c>
      <x:c r="V741" t="str">
        <x:v>TCGplayer + PriceCharting (uploaded PDF), researched 2026-08-17</x:v>
      </x:c>
      <x:c r="W741" t="str">
        <x:v>https://www.tcgplayer.com/product/88154/pokemon-legendary-treasures-radiant-collection-piplup</x:v>
      </x:c>
    </x:row>
    <x:row r="742">
      <x:c r="A742" t="n">
        <x:v>741</x:v>
      </x:c>
      <x:c r="B742" t="str">
        <x:v>PDF Import / Added Cards</x:v>
      </x:c>
      <x:c r="C742" t="str">
        <x:v>Piplup</x:v>
      </x:c>
      <x:c r="D742" t="str">
        <x:v>RC6/RC25</x:v>
      </x:c>
      <x:c r="E742" t="str">
        <x:v>Legendary Treasures: Radiant Collection</x:v>
      </x:c>
      <x:c r="F742" t="n">
        <x:v>2013</x:v>
      </x:c>
      <x:c r="G742" t="str">
        <x:v>Holofoil / Radiant Collection</x:v>
      </x:c>
      <x:c r="H742" t="str">
        <x:v>2 of 2</x:v>
      </x:c>
      <x:c r="I742" t="n">
        <x:v>11.1</x:v>
      </x:c>
      <x:c r="J742" t="n">
        <x:v>14.21</x:v>
      </x:c>
      <x:c r="K742" t="n">
        <x:v>12.655000000000001</x:v>
      </x:c>
      <x:c r="L742" t="str">
        <x:v>$5–20</x:v>
      </x:c>
      <x:c r="M742" t="str">
        <x:v>Yes</x:v>
      </x:c>
      <x:c r="N742" t="str">
        <x:v>No</x:v>
      </x:c>
      <x:c r="O742" t="str">
        <x:v>Yes</x:v>
      </x:c>
      <x:c r="P742" t="str">
        <x:v>Condition not yet reviewed</x:v>
      </x:c>
      <x:c r="Q742" t="n">
        <x:v>11.1</x:v>
      </x:c>
      <x:c r="R742" t="n">
        <x:v>14.21</x:v>
      </x:c>
      <x:c r="S742" t="n">
        <x:v>12.655000000000001</x:v>
      </x:c>
      <x:c r="T742"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742" t="n">
        <x:v>993</x:v>
      </x:c>
      <x:c r="V742" t="str">
        <x:v>TCGplayer + PriceCharting (uploaded PDF), researched 2026-08-17</x:v>
      </x:c>
      <x:c r="W742" t="str">
        <x:v>https://www.tcgplayer.com/product/88154/pokemon-legendary-treasures-radiant-collection-piplup</x:v>
      </x:c>
    </x:row>
    <x:row r="743">
      <x:c r="A743" t="n">
        <x:v>742</x:v>
      </x:c>
      <x:c r="B743" t="str">
        <x:v>PDF Import / Added Cards</x:v>
      </x:c>
      <x:c r="C743" t="str">
        <x:v>Vaporeon</x:v>
      </x:c>
      <x:c r="D743" t="str">
        <x:v>20/116</x:v>
      </x:c>
      <x:c r="E743" t="str">
        <x:v>Plasma Freeze</x:v>
      </x:c>
      <x:c r="F743" t="n">
        <x:v>2013</x:v>
      </x:c>
      <x:c r="G743" t="str">
        <x:v>Regular</x:v>
      </x:c>
      <x:c r="H743" t="str">
        <x:v>1 of 1</x:v>
      </x:c>
      <x:c r="I743" t="n">
        <x:v>2.99</x:v>
      </x:c>
      <x:c r="J743" t="n">
        <x:v>4.24</x:v>
      </x:c>
      <x:c r="K743" t="n">
        <x:v>3.615</x:v>
      </x:c>
      <x:c r="L743" t="str">
        <x:v>$1–5</x:v>
      </x:c>
      <x:c r="M743" t="str">
        <x:v>Yes</x:v>
      </x:c>
      <x:c r="N743" t="str">
        <x:v>No</x:v>
      </x:c>
      <x:c r="O743" t="str">
        <x:v>Yes</x:v>
      </x:c>
      <x:c r="P743" t="str">
        <x:v>Condition not yet reviewed</x:v>
      </x:c>
      <x:c r="Q743" t="n">
        <x:v>2.99</x:v>
      </x:c>
      <x:c r="R743" t="n">
        <x:v>4.24</x:v>
      </x:c>
      <x:c r="S743" t="n">
        <x:v>3.615</x:v>
      </x:c>
      <x:c r="T743" t="str">
        <x:v>TWO-SOURCE REPRICE (2026-08-17): PriceCharting ungraded from the uploaded PDF = $2.99 per card; TCGplayer exact-printing Near Mint market/price-guide value = $4.24. Working raw comp range is the span of those two approved sources ($2.99–$4.24); midpoint $3.62. No eBay or other marketplace data used.</x:v>
      </x:c>
      <x:c r="U743" t="n">
        <x:v>993</x:v>
      </x:c>
      <x:c r="V743" t="str">
        <x:v>TCGplayer + PriceCharting (uploaded PDF), researched 2026-08-17</x:v>
      </x:c>
      <x:c r="W743" t="str">
        <x:v>https://www.tcgplayer.com/product/90291/pokemon-plasma-freeze-vaporeon-team-plasma</x:v>
      </x:c>
    </x:row>
    <x:row r="744">
      <x:c r="A744" t="n">
        <x:v>743</x:v>
      </x:c>
      <x:c r="B744" t="str">
        <x:v>PDF Import / Added Cards</x:v>
      </x:c>
      <x:c r="C744" t="str">
        <x:v>Dewott</x:v>
      </x:c>
      <x:c r="D744" t="str">
        <x:v>40/149</x:v>
      </x:c>
      <x:c r="E744" t="str">
        <x:v>Boundaries Crossed</x:v>
      </x:c>
      <x:c r="F744" t="n">
        <x:v>2012</x:v>
      </x:c>
      <x:c r="G744" t="str">
        <x:v>Reverse Holo</x:v>
      </x:c>
      <x:c r="H744" t="str">
        <x:v>1 of 1</x:v>
      </x:c>
      <x:c r="I744" t="n">
        <x:v>0.67</x:v>
      </x:c>
      <x:c r="J744" t="n">
        <x:v>1.58</x:v>
      </x:c>
      <x:c r="K744" t="n">
        <x:v>1.125</x:v>
      </x:c>
      <x:c r="L744" t="str">
        <x:v>$1–5</x:v>
      </x:c>
      <x:c r="M744" t="str">
        <x:v>Yes</x:v>
      </x:c>
      <x:c r="N744" t="str">
        <x:v>No</x:v>
      </x:c>
      <x:c r="O744" t="str">
        <x:v>Yes</x:v>
      </x:c>
      <x:c r="P744" t="str">
        <x:v>Condition not yet reviewed</x:v>
      </x:c>
      <x:c r="Q744" t="n">
        <x:v>0.67</x:v>
      </x:c>
      <x:c r="R744" t="n">
        <x:v>1.58</x:v>
      </x:c>
      <x:c r="S744" t="n">
        <x:v>1.125</x:v>
      </x:c>
      <x:c r="T744" t="str">
        <x:v>TWO-SOURCE REPRICE (2026-08-17): PriceCharting ungraded from the uploaded PDF = $1.58 per card; TCGplayer exact-printing Near Mint market/price-guide value = $0.67. Working raw comp range is the span of those two approved sources ($0.67–$1.58); midpoint $1.12. No eBay or other marketplace data used.</x:v>
      </x:c>
      <x:c r="U744" t="n">
        <x:v>993</x:v>
      </x:c>
      <x:c r="V744" t="str">
        <x:v>TCGplayer + PriceCharting (uploaded PDF), researched 2026-08-17</x:v>
      </x:c>
      <x:c r="W744" t="str">
        <x:v>https://www.tcgplayer.com/categories/trading-and-collectible-card-games/pokemon/price-guides/boundaries-crossed</x:v>
      </x:c>
    </x:row>
    <x:row r="745">
      <x:c r="A745" t="n">
        <x:v>744</x:v>
      </x:c>
      <x:c r="B745" t="str">
        <x:v>PDF Import / Added Cards</x:v>
      </x:c>
      <x:c r="C745" t="str">
        <x:v>Vaporeon</x:v>
      </x:c>
      <x:c r="D745" t="str">
        <x:v>52/95</x:v>
      </x:c>
      <x:c r="E745" t="str">
        <x:v>Call of Legends</x:v>
      </x:c>
      <x:c r="F745" t="n">
        <x:v>2011</x:v>
      </x:c>
      <x:c r="G745" t="str">
        <x:v>Regular</x:v>
      </x:c>
      <x:c r="H745" t="str">
        <x:v>1 of 1</x:v>
      </x:c>
      <x:c r="I745" t="n">
        <x:v>4.99</x:v>
      </x:c>
      <x:c r="J745" t="n">
        <x:v>7.31</x:v>
      </x:c>
      <x:c r="K745" t="n">
        <x:v>6.15</x:v>
      </x:c>
      <x:c r="L745" t="str">
        <x:v>$5–20</x:v>
      </x:c>
      <x:c r="M745" t="str">
        <x:v>Yes</x:v>
      </x:c>
      <x:c r="N745" t="str">
        <x:v>No</x:v>
      </x:c>
      <x:c r="O745" t="str">
        <x:v>Yes</x:v>
      </x:c>
      <x:c r="P745" t="str">
        <x:v>Condition not yet reviewed</x:v>
      </x:c>
      <x:c r="Q745" t="n">
        <x:v>4.99</x:v>
      </x:c>
      <x:c r="R745" t="n">
        <x:v>7.31</x:v>
      </x:c>
      <x:c r="S745" t="n">
        <x:v>6.15</x:v>
      </x:c>
      <x:c r="T745" t="str">
        <x:v>TWO-SOURCE REPRICE (2026-08-17): PriceCharting ungraded from the uploaded PDF = $4.99 per card; TCGplayer exact-printing Near Mint market/price-guide value = $7.31. Working raw comp range is the span of those two approved sources ($4.99–$7.31); midpoint $6.15. No eBay or other marketplace data used.</x:v>
      </x:c>
      <x:c r="U745" t="n">
        <x:v>993</x:v>
      </x:c>
      <x:c r="V745" t="str">
        <x:v>TCGplayer + PriceCharting (uploaded PDF), researched 2026-08-17</x:v>
      </x:c>
      <x:c r="W745" t="str">
        <x:v>https://www.tcgplayer.com/search/pokemon/call-of-legends?productLineName=pokemon&amp;setName=call-of-legends</x:v>
      </x:c>
    </x:row>
    <x:row r="746">
      <x:c r="A746" t="n">
        <x:v>745</x:v>
      </x:c>
      <x:c r="B746" t="str">
        <x:v>PDF Import / Added Cards</x:v>
      </x:c>
      <x:c r="C746" t="str">
        <x:v>Magikarp</x:v>
      </x:c>
      <x:c r="D746" t="str">
        <x:v>61/95</x:v>
      </x:c>
      <x:c r="E746" t="str">
        <x:v>Call of Legends</x:v>
      </x:c>
      <x:c r="F746" t="n">
        <x:v>2011</x:v>
      </x:c>
      <x:c r="G746" t="str">
        <x:v>Regular</x:v>
      </x:c>
      <x:c r="H746" t="str">
        <x:v>1 of 1</x:v>
      </x:c>
      <x:c r="I746" t="n">
        <x:v>2.19</x:v>
      </x:c>
      <x:c r="J746" t="n">
        <x:v>2.23</x:v>
      </x:c>
      <x:c r="K746" t="n">
        <x:v>2.21</x:v>
      </x:c>
      <x:c r="L746" t="str">
        <x:v>$1–5</x:v>
      </x:c>
      <x:c r="M746" t="str">
        <x:v>Yes</x:v>
      </x:c>
      <x:c r="N746" t="str">
        <x:v>No</x:v>
      </x:c>
      <x:c r="O746" t="str">
        <x:v>Yes</x:v>
      </x:c>
      <x:c r="P746" t="str">
        <x:v>Condition not yet reviewed</x:v>
      </x:c>
      <x:c r="Q746" t="n">
        <x:v>2.19</x:v>
      </x:c>
      <x:c r="R746" t="n">
        <x:v>2.23</x:v>
      </x:c>
      <x:c r="S746" t="n">
        <x:v>2.21</x:v>
      </x:c>
      <x:c r="T746" t="str">
        <x:v>TWO-SOURCE REPRICE (2026-08-17): PriceCharting ungraded from the uploaded PDF = $2.19 per card; TCGplayer exact-printing Near Mint market/price-guide value = $2.23. Working raw comp range is the span of those two approved sources ($2.19–$2.23); midpoint $2.21. No eBay or other marketplace data used.</x:v>
      </x:c>
      <x:c r="U746" t="n">
        <x:v>993</x:v>
      </x:c>
      <x:c r="V746" t="str">
        <x:v>TCGplayer + PriceCharting (uploaded PDF), researched 2026-08-17</x:v>
      </x:c>
      <x:c r="W746" t="str">
        <x:v>https://www.tcgplayer.com/search/pokemon/product?q=Magikarp+61%2F95+Call+of+Legends</x:v>
      </x:c>
    </x:row>
    <x:row r="747">
      <x:c r="A747" t="n">
        <x:v>746</x:v>
      </x:c>
      <x:c r="B747" t="str">
        <x:v>PDF Import / Added Cards</x:v>
      </x:c>
      <x:c r="C747" t="str">
        <x:v>Shellos West Sea</x:v>
      </x:c>
      <x:c r="D747" t="str">
        <x:v>107/132</x:v>
      </x:c>
      <x:c r="E747" t="str">
        <x:v>Secret Wonders</x:v>
      </x:c>
      <x:c r="F747" t="n">
        <x:v>2007</x:v>
      </x:c>
      <x:c r="G747" t="str">
        <x:v>Reverse Holo</x:v>
      </x:c>
      <x:c r="H747" t="str">
        <x:v>1 of 1</x:v>
      </x:c>
      <x:c r="I747" t="n">
        <x:v>4.22</x:v>
      </x:c>
      <x:c r="J747" t="n">
        <x:v>5.27</x:v>
      </x:c>
      <x:c r="K747" t="n">
        <x:v>4.744999999999999</x:v>
      </x:c>
      <x:c r="L747" t="str">
        <x:v>$1–5</x:v>
      </x:c>
      <x:c r="M747" t="str">
        <x:v>Yes</x:v>
      </x:c>
      <x:c r="N747" t="str">
        <x:v>No</x:v>
      </x:c>
      <x:c r="O747" t="str">
        <x:v>Yes</x:v>
      </x:c>
      <x:c r="P747" t="str">
        <x:v>Condition not yet reviewed</x:v>
      </x:c>
      <x:c r="Q747" t="n">
        <x:v>4.22</x:v>
      </x:c>
      <x:c r="R747" t="n">
        <x:v>5.27</x:v>
      </x:c>
      <x:c r="S747" t="n">
        <x:v>4.744999999999999</x:v>
      </x:c>
      <x:c r="T747" t="str">
        <x:v>TWO-SOURCE REPRICE (2026-08-17): PriceCharting ungraded from the uploaded PDF = $4.22 per card; TCGplayer exact-printing Near Mint market/price-guide value = $5.27. Working raw comp range is the span of those two approved sources ($4.22–$5.27); midpoint $4.74. No eBay or other marketplace data used.</x:v>
      </x:c>
      <x:c r="U747" t="n">
        <x:v>993</x:v>
      </x:c>
      <x:c r="V747" t="str">
        <x:v>TCGplayer + PriceCharting (uploaded PDF), researched 2026-08-17</x:v>
      </x:c>
      <x:c r="W747" t="str">
        <x:v>https://www.tcgplayer.com/categories/trading-and-collectible-card-games/pokemon/price-guides/secret-wonders</x:v>
      </x:c>
    </x:row>
    <x:row r="748">
      <x:c r="A748" t="n">
        <x:v>747</x:v>
      </x:c>
      <x:c r="B748" t="str">
        <x:v>PDF Import / Added Cards</x:v>
      </x:c>
      <x:c r="C748" t="str">
        <x:v>Piplup</x:v>
      </x:c>
      <x:c r="D748" t="str">
        <x:v>33/113</x:v>
      </x:c>
      <x:c r="E748" t="str">
        <x:v>Legendary Treasures</x:v>
      </x:c>
      <x:c r="F748" t="n">
        <x:v>2013</x:v>
      </x:c>
      <x:c r="G748" t="str">
        <x:v>Reverse Holo</x:v>
      </x:c>
      <x:c r="H748" t="str">
        <x:v>1 of 1</x:v>
      </x:c>
      <x:c r="I748" t="n">
        <x:v>14</x:v>
      </x:c>
      <x:c r="J748" t="n">
        <x:v>33.14</x:v>
      </x:c>
      <x:c r="K748" t="n">
        <x:v>23.57</x:v>
      </x:c>
      <x:c r="L748" t="str">
        <x:v>$20+</x:v>
      </x:c>
      <x:c r="M748" t="str">
        <x:v>Yes</x:v>
      </x:c>
      <x:c r="N748" t="str">
        <x:v>Yes</x:v>
      </x:c>
      <x:c r="O748" t="str">
        <x:v>Yes</x:v>
      </x:c>
      <x:c r="P748" t="str">
        <x:v>Condition not yet reviewed</x:v>
      </x:c>
      <x:c r="Q748" t="n">
        <x:v>14</x:v>
      </x:c>
      <x:c r="R748" t="n">
        <x:v>33.14</x:v>
      </x:c>
      <x:c r="S748" t="n">
        <x:v>23.57</x:v>
      </x:c>
      <x:c r="T748" t="str">
        <x:v>TWO-SOURCE REPRICE (2026-08-17): PriceCharting ungraded from the uploaded PDF = $14.00 per card; TCGplayer exact-printing Near Mint market/price-guide value = $33.14. Working raw comp range is the span of those two approved sources ($14.00–$33.14); midpoint $23.57. No eBay or other marketplace data used.</x:v>
      </x:c>
      <x:c r="U748" t="n">
        <x:v>993</x:v>
      </x:c>
      <x:c r="V748" t="str">
        <x:v>TCGplayer + PriceCharting (uploaded PDF), researched 2026-08-17</x:v>
      </x:c>
      <x:c r="W748" t="str">
        <x:v>https://www.tcgplayer.com/categories/trading-and-collectible-card-games/pokemon/price-guides/legendary-treasures</x:v>
      </x:c>
    </x:row>
    <x:row r="749">
      <x:c r="A749" t="n">
        <x:v>748</x:v>
      </x:c>
      <x:c r="B749" t="str">
        <x:v>PDF Import / Added Cards</x:v>
      </x:c>
      <x:c r="C749" t="str">
        <x:v>Magikarp</x:v>
      </x:c>
      <x:c r="D749" t="str">
        <x:v>30/113</x:v>
      </x:c>
      <x:c r="E749" t="str">
        <x:v>Legendary Treasures</x:v>
      </x:c>
      <x:c r="F749" t="n">
        <x:v>2013</x:v>
      </x:c>
      <x:c r="G749" t="str">
        <x:v>Reverse Holo</x:v>
      </x:c>
      <x:c r="H749" t="str">
        <x:v>1 of 1</x:v>
      </x:c>
      <x:c r="I749" t="n">
        <x:v>19.6</x:v>
      </x:c>
      <x:c r="J749" t="n">
        <x:v>28.49</x:v>
      </x:c>
      <x:c r="K749" t="n">
        <x:v>24.045</x:v>
      </x:c>
      <x:c r="L749" t="str">
        <x:v>$20+</x:v>
      </x:c>
      <x:c r="M749" t="str">
        <x:v>Yes</x:v>
      </x:c>
      <x:c r="N749" t="str">
        <x:v>Yes</x:v>
      </x:c>
      <x:c r="O749" t="str">
        <x:v>Yes</x:v>
      </x:c>
      <x:c r="P749" t="str">
        <x:v>Condition not yet reviewed</x:v>
      </x:c>
      <x:c r="Q749" t="n">
        <x:v>19.6</x:v>
      </x:c>
      <x:c r="R749" t="n">
        <x:v>28.49</x:v>
      </x:c>
      <x:c r="S749" t="n">
        <x:v>24.045</x:v>
      </x:c>
      <x:c r="T749" t="str">
        <x:v>TWO-SOURCE REPRICE (2026-08-17): PriceCharting ungraded from the uploaded PDF = $19.60 per card; TCGplayer exact-printing Near Mint market/price-guide value = $28.49. Working raw comp range is the span of those two approved sources ($19.60–$28.49); midpoint $24.05. No eBay or other marketplace data used.</x:v>
      </x:c>
      <x:c r="U749" t="n">
        <x:v>993</x:v>
      </x:c>
      <x:c r="V749" t="str">
        <x:v>TCGplayer + PriceCharting (uploaded PDF), researched 2026-08-17</x:v>
      </x:c>
      <x:c r="W749" t="str">
        <x:v>https://www.tcgplayer.com/categories/trading-and-collectible-card-games/pokemon/price-guides/legendary-treasures</x:v>
      </x:c>
    </x:row>
    <x:row r="750">
      <x:c r="A750" t="n">
        <x:v>749</x:v>
      </x:c>
      <x:c r="B750" t="str">
        <x:v>PDF Import / Added Cards</x:v>
      </x:c>
      <x:c r="C750" t="str">
        <x:v>Lapras</x:v>
      </x:c>
      <x:c r="D750" t="str">
        <x:v>12/18</x:v>
      </x:c>
      <x:c r="E750" t="str">
        <x:v>Southern Islands</x:v>
      </x:c>
      <x:c r="F750" t="n">
        <x:v>2001</x:v>
      </x:c>
      <x:c r="G750" t="str">
        <x:v>Regular</x:v>
      </x:c>
      <x:c r="H750" t="str">
        <x:v>1 of 1</x:v>
      </x:c>
      <x:c r="I750" t="n">
        <x:v>47.64</x:v>
      </x:c>
      <x:c r="J750" t="n">
        <x:v>63.89</x:v>
      </x:c>
      <x:c r="K750" t="n">
        <x:v>55.765</x:v>
      </x:c>
      <x:c r="L750" t="str">
        <x:v>$20+</x:v>
      </x:c>
      <x:c r="M750" t="str">
        <x:v>Yes</x:v>
      </x:c>
      <x:c r="N750" t="str">
        <x:v>Yes</x:v>
      </x:c>
      <x:c r="O750" t="str">
        <x:v>Yes</x:v>
      </x:c>
      <x:c r="P750" t="str">
        <x:v>Condition not yet reviewed</x:v>
      </x:c>
      <x:c r="Q750" t="n">
        <x:v>47.64</x:v>
      </x:c>
      <x:c r="R750" t="n">
        <x:v>63.89</x:v>
      </x:c>
      <x:c r="S750" t="n">
        <x:v>55.765</x:v>
      </x:c>
      <x:c r="T750" t="str">
        <x:v>TWO-SOURCE REPRICE (2026-08-17): PriceCharting ungraded from the uploaded PDF = $47.64 per card; TCGplayer exact-printing Near Mint market/price-guide value = $63.89. Working raw comp range is the span of those two approved sources ($47.64–$63.89); midpoint $55.77. No eBay or other marketplace data used.</x:v>
      </x:c>
      <x:c r="U750" t="n">
        <x:v>993</x:v>
      </x:c>
      <x:c r="V750" t="str">
        <x:v>TCGplayer + PriceCharting (uploaded PDF), researched 2026-08-17</x:v>
      </x:c>
      <x:c r="W750" t="str">
        <x:v>https://www.tcgplayer.com/categories/trading-and-collectible-card-games/pokemon/price-guides/southern-islands</x:v>
      </x:c>
    </x:row>
    <x:row r="751">
      <x:c r="A751" t="n">
        <x:v>750</x:v>
      </x:c>
      <x:c r="B751" t="str">
        <x:v>PDF Import / Added Cards</x:v>
      </x:c>
      <x:c r="C751" t="str">
        <x:v>Magikarp</x:v>
      </x:c>
      <x:c r="D751" t="str">
        <x:v>23/124</x:v>
      </x:c>
      <x:c r="E751" t="str">
        <x:v>Dragons Exalted</x:v>
      </x:c>
      <x:c r="F751" t="n">
        <x:v>2012</x:v>
      </x:c>
      <x:c r="G751" t="str">
        <x:v>Reverse Holo</x:v>
      </x:c>
      <x:c r="H751" t="str">
        <x:v>1 of 2</x:v>
      </x:c>
      <x:c r="I751" t="n">
        <x:v>11.96</x:v>
      </x:c>
      <x:c r="J751" t="n">
        <x:v>14.19</x:v>
      </x:c>
      <x:c r="K751" t="n">
        <x:v>13.075</x:v>
      </x:c>
      <x:c r="L751" t="str">
        <x:v>$5–20</x:v>
      </x:c>
      <x:c r="M751" t="str">
        <x:v>Yes</x:v>
      </x:c>
      <x:c r="N751" t="str">
        <x:v>No</x:v>
      </x:c>
      <x:c r="O751" t="str">
        <x:v>Yes</x:v>
      </x:c>
      <x:c r="P751" t="str">
        <x:v>Condition not yet reviewed</x:v>
      </x:c>
      <x:c r="Q751" t="n">
        <x:v>11.96</x:v>
      </x:c>
      <x:c r="R751" t="n">
        <x:v>14.19</x:v>
      </x:c>
      <x:c r="S751" t="n">
        <x:v>13.075</x:v>
      </x:c>
      <x:c r="T751"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751" t="n">
        <x:v>993</x:v>
      </x:c>
      <x:c r="V751" t="str">
        <x:v>TCGplayer + PriceCharting (uploaded PDF), researched 2026-08-17</x:v>
      </x:c>
      <x:c r="W751" t="str">
        <x:v>https://www.tcgplayer.com/categories/trading-and-collectible-card-games/pokemon/price-guides/dragons-exalted</x:v>
      </x:c>
    </x:row>
    <x:row r="752">
      <x:c r="A752" t="n">
        <x:v>751</x:v>
      </x:c>
      <x:c r="B752" t="str">
        <x:v>PDF Import / Added Cards</x:v>
      </x:c>
      <x:c r="C752" t="str">
        <x:v>Magikarp</x:v>
      </x:c>
      <x:c r="D752" t="str">
        <x:v>23/124</x:v>
      </x:c>
      <x:c r="E752" t="str">
        <x:v>Dragons Exalted</x:v>
      </x:c>
      <x:c r="F752" t="n">
        <x:v>2012</x:v>
      </x:c>
      <x:c r="G752" t="str">
        <x:v>Reverse Holo</x:v>
      </x:c>
      <x:c r="H752" t="str">
        <x:v>2 of 2</x:v>
      </x:c>
      <x:c r="I752" t="n">
        <x:v>11.96</x:v>
      </x:c>
      <x:c r="J752" t="n">
        <x:v>14.19</x:v>
      </x:c>
      <x:c r="K752" t="n">
        <x:v>13.075</x:v>
      </x:c>
      <x:c r="L752" t="str">
        <x:v>$5–20</x:v>
      </x:c>
      <x:c r="M752" t="str">
        <x:v>Yes</x:v>
      </x:c>
      <x:c r="N752" t="str">
        <x:v>No</x:v>
      </x:c>
      <x:c r="O752" t="str">
        <x:v>Yes</x:v>
      </x:c>
      <x:c r="P752" t="str">
        <x:v>Condition not yet reviewed</x:v>
      </x:c>
      <x:c r="Q752" t="n">
        <x:v>11.96</x:v>
      </x:c>
      <x:c r="R752" t="n">
        <x:v>14.19</x:v>
      </x:c>
      <x:c r="S752" t="n">
        <x:v>13.075</x:v>
      </x:c>
      <x:c r="T752"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752" t="n">
        <x:v>993</x:v>
      </x:c>
      <x:c r="V752" t="str">
        <x:v>TCGplayer + PriceCharting (uploaded PDF), researched 2026-08-17</x:v>
      </x:c>
      <x:c r="W752" t="str">
        <x:v>https://www.tcgplayer.com/categories/trading-and-collectible-card-games/pokemon/price-guides/dragons-exalted</x:v>
      </x:c>
    </x:row>
    <x:row r="753">
      <x:c r="A753" t="n">
        <x:v>752</x:v>
      </x:c>
      <x:c r="B753" t="str">
        <x:v>PDF Import / Added Cards</x:v>
      </x:c>
      <x:c r="C753" t="str">
        <x:v>Lickilicky</x:v>
      </x:c>
      <x:c r="D753" t="str">
        <x:v>33/127</x:v>
      </x:c>
      <x:c r="E753" t="str">
        <x:v>Platinum</x:v>
      </x:c>
      <x:c r="F753" t="n">
        <x:v>2009</x:v>
      </x:c>
      <x:c r="G753" t="str">
        <x:v>Reverse Holo</x:v>
      </x:c>
      <x:c r="H753" t="str">
        <x:v>1 of 1</x:v>
      </x:c>
      <x:c r="I753" t="n">
        <x:v>5.41</x:v>
      </x:c>
      <x:c r="J753" t="n">
        <x:v>6.1</x:v>
      </x:c>
      <x:c r="K753" t="n">
        <x:v>5.755</x:v>
      </x:c>
      <x:c r="L753" t="str">
        <x:v>$5–20</x:v>
      </x:c>
      <x:c r="M753" t="str">
        <x:v>Yes</x:v>
      </x:c>
      <x:c r="N753" t="str">
        <x:v>No</x:v>
      </x:c>
      <x:c r="O753" t="str">
        <x:v>Yes</x:v>
      </x:c>
      <x:c r="P753" t="str">
        <x:v>Condition not yet reviewed</x:v>
      </x:c>
      <x:c r="Q753" t="n">
        <x:v>5.41</x:v>
      </x:c>
      <x:c r="R753" t="n">
        <x:v>6.1</x:v>
      </x:c>
      <x:c r="S753" t="n">
        <x:v>5.755</x:v>
      </x:c>
      <x:c r="T753" t="str">
        <x:v>TWO-SOURCE REPRICE (2026-08-17): PriceCharting ungraded from the uploaded PDF = $5.41 per card; TCGplayer exact-printing Near Mint market/price-guide value = $6.10. Working raw comp range is the span of those two approved sources ($5.41–$6.10); midpoint $5.75. No eBay or other marketplace data used.</x:v>
      </x:c>
      <x:c r="U753" t="n">
        <x:v>993</x:v>
      </x:c>
      <x:c r="V753" t="str">
        <x:v>TCGplayer + PriceCharting (uploaded PDF), researched 2026-08-17</x:v>
      </x:c>
      <x:c r="W753" t="str">
        <x:v>https://www.tcgplayer.com/categories/trading-and-collectible-card-games/pokemon/price-guides/platinum</x:v>
      </x:c>
    </x:row>
    <x:row r="754">
      <x:c r="A754" t="n">
        <x:v>753</x:v>
      </x:c>
      <x:c r="B754" t="str">
        <x:v>PDF Import / Added Cards</x:v>
      </x:c>
      <x:c r="C754" t="str">
        <x:v>Unfezant</x:v>
      </x:c>
      <x:c r="D754" t="str">
        <x:v>125/149</x:v>
      </x:c>
      <x:c r="E754" t="str">
        <x:v>Boundaries Crossed</x:v>
      </x:c>
      <x:c r="F754" t="n">
        <x:v>2012</x:v>
      </x:c>
      <x:c r="G754" t="str">
        <x:v>Reverse Holo</x:v>
      </x:c>
      <x:c r="H754" t="str">
        <x:v>1 of 1</x:v>
      </x:c>
      <x:c r="I754" t="n">
        <x:v>1.08</x:v>
      </x:c>
      <x:c r="J754" t="n">
        <x:v>1.75</x:v>
      </x:c>
      <x:c r="K754" t="n">
        <x:v>1.415</x:v>
      </x:c>
      <x:c r="L754" t="str">
        <x:v>$1–5</x:v>
      </x:c>
      <x:c r="M754" t="str">
        <x:v>Yes</x:v>
      </x:c>
      <x:c r="N754" t="str">
        <x:v>No</x:v>
      </x:c>
      <x:c r="O754" t="str">
        <x:v>Yes</x:v>
      </x:c>
      <x:c r="P754" t="str">
        <x:v>Condition not yet reviewed</x:v>
      </x:c>
      <x:c r="Q754" t="n">
        <x:v>1.08</x:v>
      </x:c>
      <x:c r="R754" t="n">
        <x:v>1.75</x:v>
      </x:c>
      <x:c r="S754" t="n">
        <x:v>1.415</x:v>
      </x:c>
      <x:c r="T754" t="str">
        <x:v>TWO-SOURCE REPRICE (2026-08-17): PriceCharting ungraded from the uploaded PDF = $1.75 per card; TCGplayer exact-printing Near Mint market/price-guide value = $1.08. Working raw comp range is the span of those two approved sources ($1.08–$1.75); midpoint $1.42. No eBay or other marketplace data used.</x:v>
      </x:c>
      <x:c r="U754" t="n">
        <x:v>993</x:v>
      </x:c>
      <x:c r="V754" t="str">
        <x:v>TCGplayer + PriceCharting (uploaded PDF), researched 2026-08-17</x:v>
      </x:c>
      <x:c r="W754" t="str">
        <x:v>https://www.tcgplayer.com/categories/trading-and-collectible-card-games/pokemon/price-guides/boundaries-crossed</x:v>
      </x:c>
    </x:row>
    <x:row r="755">
      <x:c r="A755" t="n">
        <x:v>754</x:v>
      </x:c>
      <x:c r="B755" t="str">
        <x:v>PDF Import / Added Cards</x:v>
      </x:c>
      <x:c r="C755" t="str">
        <x:v>Cleffa</x:v>
      </x:c>
      <x:c r="D755" t="str">
        <x:v>20/111</x:v>
      </x:c>
      <x:c r="E755" t="str">
        <x:v>Neo Genesis</x:v>
      </x:c>
      <x:c r="F755" t="n">
        <x:v>2000</x:v>
      </x:c>
      <x:c r="G755" t="str">
        <x:v>Regular / Unlimited</x:v>
      </x:c>
      <x:c r="H755" t="str">
        <x:v>1 of 2</x:v>
      </x:c>
      <x:c r="I755" t="n">
        <x:v>8.99</x:v>
      </x:c>
      <x:c r="J755" t="n">
        <x:v>22.3</x:v>
      </x:c>
      <x:c r="K755" t="n">
        <x:v>15.645</x:v>
      </x:c>
      <x:c r="L755" t="str">
        <x:v>$5–20</x:v>
      </x:c>
      <x:c r="M755" t="str">
        <x:v>Yes</x:v>
      </x:c>
      <x:c r="N755" t="str">
        <x:v>No</x:v>
      </x:c>
      <x:c r="O755" t="str">
        <x:v>Yes</x:v>
      </x:c>
      <x:c r="P755" t="str">
        <x:v>Condition not yet reviewed</x:v>
      </x:c>
      <x:c r="Q755" t="n">
        <x:v>8.99</x:v>
      </x:c>
      <x:c r="R755" t="n">
        <x:v>22.3</x:v>
      </x:c>
      <x:c r="S755" t="n">
        <x:v>15.645</x:v>
      </x:c>
      <x:c r="T755"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755" t="n">
        <x:v>993</x:v>
      </x:c>
      <x:c r="V755" t="str">
        <x:v>TCGplayer + PriceCharting (uploaded PDF), researched 2026-08-17</x:v>
      </x:c>
      <x:c r="W755" t="str">
        <x:v>https://www.tcgplayer.com/search/pokemon/product?q=Cleffa+20%2F111+Neo+Genesis</x:v>
      </x:c>
    </x:row>
    <x:row r="756">
      <x:c r="A756" t="n">
        <x:v>755</x:v>
      </x:c>
      <x:c r="B756" t="str">
        <x:v>PDF Import / Added Cards</x:v>
      </x:c>
      <x:c r="C756" t="str">
        <x:v>Cleffa</x:v>
      </x:c>
      <x:c r="D756" t="str">
        <x:v>20/111</x:v>
      </x:c>
      <x:c r="E756" t="str">
        <x:v>Neo Genesis</x:v>
      </x:c>
      <x:c r="F756" t="n">
        <x:v>2000</x:v>
      </x:c>
      <x:c r="G756" t="str">
        <x:v>Regular / Unlimited</x:v>
      </x:c>
      <x:c r="H756" t="str">
        <x:v>2 of 2</x:v>
      </x:c>
      <x:c r="I756" t="n">
        <x:v>8.99</x:v>
      </x:c>
      <x:c r="J756" t="n">
        <x:v>22.3</x:v>
      </x:c>
      <x:c r="K756" t="n">
        <x:v>15.645</x:v>
      </x:c>
      <x:c r="L756" t="str">
        <x:v>$5–20</x:v>
      </x:c>
      <x:c r="M756" t="str">
        <x:v>Yes</x:v>
      </x:c>
      <x:c r="N756" t="str">
        <x:v>No</x:v>
      </x:c>
      <x:c r="O756" t="str">
        <x:v>Yes</x:v>
      </x:c>
      <x:c r="P756" t="str">
        <x:v>Condition not yet reviewed</x:v>
      </x:c>
      <x:c r="Q756" t="n">
        <x:v>8.99</x:v>
      </x:c>
      <x:c r="R756" t="n">
        <x:v>22.3</x:v>
      </x:c>
      <x:c r="S756" t="n">
        <x:v>15.645</x:v>
      </x:c>
      <x:c r="T756"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756" t="n">
        <x:v>993</x:v>
      </x:c>
      <x:c r="V756" t="str">
        <x:v>TCGplayer + PriceCharting (uploaded PDF), researched 2026-08-17</x:v>
      </x:c>
      <x:c r="W756" t="str">
        <x:v>https://www.tcgplayer.com/search/pokemon/product?q=Cleffa+20%2F111+Neo+Genesis</x:v>
      </x:c>
    </x:row>
    <x:row r="757">
      <x:c r="A757" t="n">
        <x:v>756</x:v>
      </x:c>
      <x:c r="B757" t="str">
        <x:v>PDF Import / Added Cards</x:v>
      </x:c>
      <x:c r="C757" t="str">
        <x:v>Pidgeotto</x:v>
      </x:c>
      <x:c r="D757" t="str">
        <x:v>48/95</x:v>
      </x:c>
      <x:c r="E757" t="str">
        <x:v>Call of Legends</x:v>
      </x:c>
      <x:c r="F757" t="n">
        <x:v>2011</x:v>
      </x:c>
      <x:c r="G757" t="str">
        <x:v>Reverse Holo</x:v>
      </x:c>
      <x:c r="H757" t="str">
        <x:v>1 of 1</x:v>
      </x:c>
      <x:c r="I757" t="n">
        <x:v>5.25</x:v>
      </x:c>
      <x:c r="J757" t="n">
        <x:v>8.81</x:v>
      </x:c>
      <x:c r="K757" t="n">
        <x:v>7.03</x:v>
      </x:c>
      <x:c r="L757" t="str">
        <x:v>$5–20</x:v>
      </x:c>
      <x:c r="M757" t="str">
        <x:v>Yes</x:v>
      </x:c>
      <x:c r="N757" t="str">
        <x:v>No</x:v>
      </x:c>
      <x:c r="O757" t="str">
        <x:v>Yes</x:v>
      </x:c>
      <x:c r="P757" t="str">
        <x:v>Condition not yet reviewed</x:v>
      </x:c>
      <x:c r="Q757" t="n">
        <x:v>5.25</x:v>
      </x:c>
      <x:c r="R757" t="n">
        <x:v>8.81</x:v>
      </x:c>
      <x:c r="S757" t="n">
        <x:v>7.03</x:v>
      </x:c>
      <x:c r="T757" t="str">
        <x:v>TWO-SOURCE REPRICE (2026-08-17): PriceCharting ungraded from the uploaded PDF = $5.25 per card; TCGplayer exact-printing Near Mint market/price-guide value = $8.81. Working raw comp range is the span of those two approved sources ($5.25–$8.81); midpoint $7.03. No eBay or other marketplace data used.</x:v>
      </x:c>
      <x:c r="U757" t="n">
        <x:v>993</x:v>
      </x:c>
      <x:c r="V757" t="str">
        <x:v>TCGplayer + PriceCharting (uploaded PDF), researched 2026-08-17</x:v>
      </x:c>
      <x:c r="W757" t="str">
        <x:v>https://www.tcgplayer.com/categories/trading-and-collectible-card-games/pokemon/price-guides/call-of-legends</x:v>
      </x:c>
    </x:row>
    <x:row r="758">
      <x:c r="A758" t="n">
        <x:v>757</x:v>
      </x:c>
      <x:c r="B758" t="str">
        <x:v>PDF Import / Added Cards</x:v>
      </x:c>
      <x:c r="C758" t="str">
        <x:v>Dark Dragonair</x:v>
      </x:c>
      <x:c r="D758" t="str">
        <x:v>33/82</x:v>
      </x:c>
      <x:c r="E758" t="str">
        <x:v>Team Rocket</x:v>
      </x:c>
      <x:c r="F758" t="n">
        <x:v>2000</x:v>
      </x:c>
      <x:c r="G758" t="str">
        <x:v>Regular / Unlimited</x:v>
      </x:c>
      <x:c r="H758" t="str">
        <x:v>1 of 1</x:v>
      </x:c>
      <x:c r="I758" t="n">
        <x:v>5.16</x:v>
      </x:c>
      <x:c r="J758" t="n">
        <x:v>14.49</x:v>
      </x:c>
      <x:c r="K758" t="n">
        <x:v>9.825</x:v>
      </x:c>
      <x:c r="L758" t="str">
        <x:v>$5–20</x:v>
      </x:c>
      <x:c r="M758" t="str">
        <x:v>Yes</x:v>
      </x:c>
      <x:c r="N758" t="str">
        <x:v>No</x:v>
      </x:c>
      <x:c r="O758" t="str">
        <x:v>Yes</x:v>
      </x:c>
      <x:c r="P758" t="str">
        <x:v>Condition not yet reviewed</x:v>
      </x:c>
      <x:c r="Q758" t="n">
        <x:v>5.16</x:v>
      </x:c>
      <x:c r="R758" t="n">
        <x:v>14.49</x:v>
      </x:c>
      <x:c r="S758" t="n">
        <x:v>9.825</x:v>
      </x:c>
      <x:c r="T758" t="str">
        <x:v>TWO-SOURCE REPRICE (2026-08-17): PriceCharting ungraded from the uploaded PDF = $5.16 per card; TCGplayer exact-printing Near Mint market/price-guide value = $14.49. Working raw comp range is the span of those two approved sources ($5.16–$14.49); midpoint $9.82. No eBay or other marketplace data used.</x:v>
      </x:c>
      <x:c r="U758" t="n">
        <x:v>993</x:v>
      </x:c>
      <x:c r="V758" t="str">
        <x:v>TCGplayer + PriceCharting (uploaded PDF), researched 2026-08-17</x:v>
      </x:c>
      <x:c r="W758" t="str">
        <x:v>https://www.tcgplayer.com/search/pokemon/product?q=Dark+Dragonair+33%2F82+Team+Rocket</x:v>
      </x:c>
    </x:row>
    <x:row r="759">
      <x:c r="A759" t="n">
        <x:v>758</x:v>
      </x:c>
      <x:c r="B759" t="str">
        <x:v>PDF Import / Added Cards</x:v>
      </x:c>
      <x:c r="C759" t="str">
        <x:v>Raticate G</x:v>
      </x:c>
      <x:c r="D759" t="str">
        <x:v>78/147</x:v>
      </x:c>
      <x:c r="E759" t="str">
        <x:v>Supreme Victors</x:v>
      </x:c>
      <x:c r="F759" t="n">
        <x:v>2009</x:v>
      </x:c>
      <x:c r="G759" t="str">
        <x:v>Reverse Holo</x:v>
      </x:c>
      <x:c r="H759" t="str">
        <x:v>1 of 1</x:v>
      </x:c>
      <x:c r="I759" t="n">
        <x:v>3.49</x:v>
      </x:c>
      <x:c r="J759" t="n">
        <x:v>4.31</x:v>
      </x:c>
      <x:c r="K759" t="n">
        <x:v>3.9</x:v>
      </x:c>
      <x:c r="L759" t="str">
        <x:v>$1–5</x:v>
      </x:c>
      <x:c r="M759" t="str">
        <x:v>Yes</x:v>
      </x:c>
      <x:c r="N759" t="str">
        <x:v>No</x:v>
      </x:c>
      <x:c r="O759" t="str">
        <x:v>Yes</x:v>
      </x:c>
      <x:c r="P759" t="str">
        <x:v>Condition not yet reviewed</x:v>
      </x:c>
      <x:c r="Q759" t="n">
        <x:v>3.49</x:v>
      </x:c>
      <x:c r="R759" t="n">
        <x:v>4.31</x:v>
      </x:c>
      <x:c r="S759" t="n">
        <x:v>3.9</x:v>
      </x:c>
      <x:c r="T759" t="str">
        <x:v>TWO-SOURCE REPRICE (2026-08-17): PriceCharting ungraded from the uploaded PDF = $3.49 per card; TCGplayer exact-printing Near Mint market/price-guide value = $4.31. Working raw comp range is the span of those two approved sources ($3.49–$4.31); midpoint $3.90. No eBay or other marketplace data used.</x:v>
      </x:c>
      <x:c r="U759" t="n">
        <x:v>993</x:v>
      </x:c>
      <x:c r="V759" t="str">
        <x:v>TCGplayer + PriceCharting (uploaded PDF), researched 2026-08-17</x:v>
      </x:c>
      <x:c r="W759" t="str">
        <x:v>https://www.tcgplayer.com/categories/trading-and-collectible-card-games/pokemon/price-guides/supreme-victors</x:v>
      </x:c>
    </x:row>
    <x:row r="760">
      <x:c r="A760" t="n">
        <x:v>759</x:v>
      </x:c>
      <x:c r="B760" t="str">
        <x:v>PDF Import / Added Cards</x:v>
      </x:c>
      <x:c r="C760" t="str">
        <x:v>Porygon2</x:v>
      </x:c>
      <x:c r="D760" t="str">
        <x:v>49/106</x:v>
      </x:c>
      <x:c r="E760" t="str">
        <x:v>Great Encounters</x:v>
      </x:c>
      <x:c r="F760" t="n">
        <x:v>2008</x:v>
      </x:c>
      <x:c r="G760" t="str">
        <x:v>Reverse Holo</x:v>
      </x:c>
      <x:c r="H760" t="str">
        <x:v>1 of 1</x:v>
      </x:c>
      <x:c r="I760" t="n">
        <x:v>8.8</x:v>
      </x:c>
      <x:c r="J760" t="n">
        <x:v>9.99</x:v>
      </x:c>
      <x:c r="K760" t="n">
        <x:v>9.395</x:v>
      </x:c>
      <x:c r="L760" t="str">
        <x:v>$5–20</x:v>
      </x:c>
      <x:c r="M760" t="str">
        <x:v>Yes</x:v>
      </x:c>
      <x:c r="N760" t="str">
        <x:v>No</x:v>
      </x:c>
      <x:c r="O760" t="str">
        <x:v>Yes</x:v>
      </x:c>
      <x:c r="P760" t="str">
        <x:v>Condition not yet reviewed</x:v>
      </x:c>
      <x:c r="Q760" t="n">
        <x:v>8.8</x:v>
      </x:c>
      <x:c r="R760" t="n">
        <x:v>9.99</x:v>
      </x:c>
      <x:c r="S760" t="n">
        <x:v>9.395</x:v>
      </x:c>
      <x:c r="T760" t="str">
        <x:v>TWO-SOURCE REPRICE (2026-08-17): PriceCharting ungraded from the uploaded PDF = $9.99 per card; TCGplayer exact-printing Near Mint market/price-guide value = $8.80. Working raw comp range is the span of those two approved sources ($8.80–$9.99); midpoint $9.39. No eBay or other marketplace data used.</x:v>
      </x:c>
      <x:c r="U760" t="n">
        <x:v>993</x:v>
      </x:c>
      <x:c r="V760" t="str">
        <x:v>TCGplayer + PriceCharting (uploaded PDF), researched 2026-08-17</x:v>
      </x:c>
      <x:c r="W760" t="str">
        <x:v>https://www.tcgplayer.com/product/88326/pokemon-great-encounters-porygon2</x:v>
      </x:c>
    </x:row>
    <x:row r="761">
      <x:c r="A761" t="n">
        <x:v>760</x:v>
      </x:c>
      <x:c r="B761" t="str">
        <x:v>PDF Import / Added Cards</x:v>
      </x:c>
      <x:c r="C761" t="str">
        <x:v>Dratini</x:v>
      </x:c>
      <x:c r="D761" t="str">
        <x:v>38/130</x:v>
      </x:c>
      <x:c r="E761" t="str">
        <x:v>Base Set 2</x:v>
      </x:c>
      <x:c r="F761" t="n">
        <x:v>2000</x:v>
      </x:c>
      <x:c r="G761" t="str">
        <x:v>Regular</x:v>
      </x:c>
      <x:c r="H761" t="str">
        <x:v>1 of 1</x:v>
      </x:c>
      <x:c r="I761" t="n">
        <x:v>1.26</x:v>
      </x:c>
      <x:c r="J761" t="n">
        <x:v>1.3</x:v>
      </x:c>
      <x:c r="K761" t="n">
        <x:v>1.28</x:v>
      </x:c>
      <x:c r="L761" t="str">
        <x:v>$1–5</x:v>
      </x:c>
      <x:c r="M761" t="str">
        <x:v>Yes</x:v>
      </x:c>
      <x:c r="N761" t="str">
        <x:v>No</x:v>
      </x:c>
      <x:c r="O761" t="str">
        <x:v>Yes</x:v>
      </x:c>
      <x:c r="P761" t="str">
        <x:v>Condition not yet reviewed</x:v>
      </x:c>
      <x:c r="Q761" t="n">
        <x:v>1.26</x:v>
      </x:c>
      <x:c r="R761" t="n">
        <x:v>1.3</x:v>
      </x:c>
      <x:c r="S761" t="n">
        <x:v>1.28</x:v>
      </x:c>
      <x:c r="T761" t="str">
        <x:v>TWO-SOURCE REPRICE (2026-08-17): PriceCharting ungraded from the uploaded PDF = $1.30 per card; TCGplayer exact-printing Near Mint market/price-guide value = $1.26. Working raw comp range is the span of those two approved sources ($1.26–$1.30); midpoint $1.28. No eBay or other marketplace data used.</x:v>
      </x:c>
      <x:c r="U761" t="n">
        <x:v>993</x:v>
      </x:c>
      <x:c r="V761" t="str">
        <x:v>TCGplayer + PriceCharting (uploaded PDF), researched 2026-08-17</x:v>
      </x:c>
      <x:c r="W761" t="str">
        <x:v>https://www.tcgplayer.com/search/pokemon/product?q=Dratini+38%2F130+Base+Set+2</x:v>
      </x:c>
    </x:row>
    <x:row r="762">
      <x:c r="A762" t="n">
        <x:v>761</x:v>
      </x:c>
      <x:c r="B762" t="str">
        <x:v>PDF Import / Added Cards</x:v>
      </x:c>
      <x:c r="C762" t="str">
        <x:v>Ditto</x:v>
      </x:c>
      <x:c r="D762" t="str">
        <x:v>35/113</x:v>
      </x:c>
      <x:c r="E762" t="str">
        <x:v>EX Delta Species</x:v>
      </x:c>
      <x:c r="F762" t="n">
        <x:v>2005</x:v>
      </x:c>
      <x:c r="G762" t="str">
        <x:v>Regular</x:v>
      </x:c>
      <x:c r="H762" t="str">
        <x:v>1 of 1</x:v>
      </x:c>
      <x:c r="I762" t="n">
        <x:v>42.73</x:v>
      </x:c>
      <x:c r="J762" t="n">
        <x:v>69.85</x:v>
      </x:c>
      <x:c r="K762" t="n">
        <x:v>56.28999999999999</x:v>
      </x:c>
      <x:c r="L762" t="str">
        <x:v>$20+</x:v>
      </x:c>
      <x:c r="M762" t="str">
        <x:v>Yes</x:v>
      </x:c>
      <x:c r="N762" t="str">
        <x:v>Yes</x:v>
      </x:c>
      <x:c r="O762" t="str">
        <x:v>Yes</x:v>
      </x:c>
      <x:c r="P762" t="str">
        <x:v>Condition not yet reviewed</x:v>
      </x:c>
      <x:c r="Q762" t="n">
        <x:v>42.73</x:v>
      </x:c>
      <x:c r="R762" t="n">
        <x:v>69.85</x:v>
      </x:c>
      <x:c r="S762" t="n">
        <x:v>56.28999999999999</x:v>
      </x:c>
      <x:c r="T762" t="str">
        <x:v>TWO-SOURCE REPRICE (2026-08-17): PriceCharting ungraded from the uploaded PDF = $42.73 per card; TCGplayer exact-printing Near Mint market/price-guide value = $69.85. Working raw comp range is the span of those two approved sources ($42.73–$69.85); midpoint $56.29. No eBay or other marketplace data used.</x:v>
      </x:c>
      <x:c r="U762" t="n">
        <x:v>993</x:v>
      </x:c>
      <x:c r="V762" t="str">
        <x:v>TCGplayer + PriceCharting (uploaded PDF), researched 2026-08-17</x:v>
      </x:c>
      <x:c r="W762" t="str">
        <x:v>https://www.tcgplayer.com/product/84832/pokemon-ex-delta-species-ditto</x:v>
      </x:c>
    </x:row>
    <x:row r="763">
      <x:c r="A763" t="n">
        <x:v>762</x:v>
      </x:c>
      <x:c r="B763" t="str">
        <x:v>PDF Import / Added Cards</x:v>
      </x:c>
      <x:c r="C763" t="str">
        <x:v>Snorlax</x:v>
      </x:c>
      <x:c r="D763" t="str">
        <x:v>109/149</x:v>
      </x:c>
      <x:c r="E763" t="str">
        <x:v>Boundaries Crossed</x:v>
      </x:c>
      <x:c r="F763" t="n">
        <x:v>2012</x:v>
      </x:c>
      <x:c r="G763" t="str">
        <x:v>Reverse Holo</x:v>
      </x:c>
      <x:c r="H763" t="str">
        <x:v>1 of 2</x:v>
      </x:c>
      <x:c r="I763" t="n">
        <x:v>39.62</x:v>
      </x:c>
      <x:c r="J763" t="n">
        <x:v>51.34</x:v>
      </x:c>
      <x:c r="K763" t="n">
        <x:v>45.480000000000004</x:v>
      </x:c>
      <x:c r="L763" t="str">
        <x:v>$20+</x:v>
      </x:c>
      <x:c r="M763" t="str">
        <x:v>Yes</x:v>
      </x:c>
      <x:c r="N763" t="str">
        <x:v>Yes</x:v>
      </x:c>
      <x:c r="O763" t="str">
        <x:v>Yes</x:v>
      </x:c>
      <x:c r="P763" t="str">
        <x:v>Condition not yet reviewed</x:v>
      </x:c>
      <x:c r="Q763" t="n">
        <x:v>39.62</x:v>
      </x:c>
      <x:c r="R763" t="n">
        <x:v>51.34</x:v>
      </x:c>
      <x:c r="S763" t="n">
        <x:v>45.480000000000004</x:v>
      </x:c>
      <x:c r="T763"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763" t="n">
        <x:v>993</x:v>
      </x:c>
      <x:c r="V763" t="str">
        <x:v>TCGplayer + PriceCharting (uploaded PDF), researched 2026-08-17</x:v>
      </x:c>
      <x:c r="W763" t="str">
        <x:v>https://www.tcgplayer.com/categories/trading-and-collectible-card-games/pokemon/price-guides/boundaries-crossed</x:v>
      </x:c>
    </x:row>
    <x:row r="764">
      <x:c r="A764" t="n">
        <x:v>763</x:v>
      </x:c>
      <x:c r="B764" t="str">
        <x:v>PDF Import / Added Cards</x:v>
      </x:c>
      <x:c r="C764" t="str">
        <x:v>Snorlax</x:v>
      </x:c>
      <x:c r="D764" t="str">
        <x:v>109/149</x:v>
      </x:c>
      <x:c r="E764" t="str">
        <x:v>Boundaries Crossed</x:v>
      </x:c>
      <x:c r="F764" t="n">
        <x:v>2012</x:v>
      </x:c>
      <x:c r="G764" t="str">
        <x:v>Reverse Holo</x:v>
      </x:c>
      <x:c r="H764" t="str">
        <x:v>2 of 2</x:v>
      </x:c>
      <x:c r="I764" t="n">
        <x:v>39.62</x:v>
      </x:c>
      <x:c r="J764" t="n">
        <x:v>51.34</x:v>
      </x:c>
      <x:c r="K764" t="n">
        <x:v>45.480000000000004</x:v>
      </x:c>
      <x:c r="L764" t="str">
        <x:v>$20+</x:v>
      </x:c>
      <x:c r="M764" t="str">
        <x:v>Yes</x:v>
      </x:c>
      <x:c r="N764" t="str">
        <x:v>Yes</x:v>
      </x:c>
      <x:c r="O764" t="str">
        <x:v>Yes</x:v>
      </x:c>
      <x:c r="P764" t="str">
        <x:v>Condition not yet reviewed</x:v>
      </x:c>
      <x:c r="Q764" t="n">
        <x:v>39.62</x:v>
      </x:c>
      <x:c r="R764" t="n">
        <x:v>51.34</x:v>
      </x:c>
      <x:c r="S764" t="n">
        <x:v>45.480000000000004</x:v>
      </x:c>
      <x:c r="T764"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764" t="n">
        <x:v>993</x:v>
      </x:c>
      <x:c r="V764" t="str">
        <x:v>TCGplayer + PriceCharting (uploaded PDF), researched 2026-08-17</x:v>
      </x:c>
      <x:c r="W764" t="str">
        <x:v>https://www.tcgplayer.com/categories/trading-and-collectible-card-games/pokemon/price-guides/boundaries-crossed</x:v>
      </x:c>
    </x:row>
    <x:row r="765">
      <x:c r="A765" t="n">
        <x:v>764</x:v>
      </x:c>
      <x:c r="B765" t="str">
        <x:v>PDF Import / Added Cards</x:v>
      </x:c>
      <x:c r="C765" t="str">
        <x:v>Altaria C</x:v>
      </x:c>
      <x:c r="D765" t="str">
        <x:v>49/147</x:v>
      </x:c>
      <x:c r="E765" t="str">
        <x:v>Supreme Victors</x:v>
      </x:c>
      <x:c r="F765" t="n">
        <x:v>2009</x:v>
      </x:c>
      <x:c r="G765" t="str">
        <x:v>Regular</x:v>
      </x:c>
      <x:c r="H765" t="str">
        <x:v>1 of 1</x:v>
      </x:c>
      <x:c r="I765" t="n">
        <x:v>2.83</x:v>
      </x:c>
      <x:c r="J765" t="n">
        <x:v>2.92</x:v>
      </x:c>
      <x:c r="K765" t="n">
        <x:v>2.875</x:v>
      </x:c>
      <x:c r="L765" t="str">
        <x:v>$1–5</x:v>
      </x:c>
      <x:c r="M765" t="str">
        <x:v>Yes</x:v>
      </x:c>
      <x:c r="N765" t="str">
        <x:v>No</x:v>
      </x:c>
      <x:c r="O765" t="str">
        <x:v>Yes</x:v>
      </x:c>
      <x:c r="P765" t="str">
        <x:v>Condition not yet reviewed</x:v>
      </x:c>
      <x:c r="Q765" t="n">
        <x:v>2.83</x:v>
      </x:c>
      <x:c r="R765" t="n">
        <x:v>2.92</x:v>
      </x:c>
      <x:c r="S765" t="n">
        <x:v>2.875</x:v>
      </x:c>
      <x:c r="T765" t="str">
        <x:v>TWO-SOURCE REPRICE (2026-08-17): PriceCharting ungraded from the uploaded PDF = $2.83 per card; TCGplayer exact-printing Near Mint market/price-guide value = $2.92. Working raw comp range is the span of those two approved sources ($2.83–$2.92); midpoint $2.88. No eBay or other marketplace data used.</x:v>
      </x:c>
      <x:c r="U765" t="n">
        <x:v>993</x:v>
      </x:c>
      <x:c r="V765" t="str">
        <x:v>TCGplayer + PriceCharting (uploaded PDF), researched 2026-08-17</x:v>
      </x:c>
      <x:c r="W765" t="str">
        <x:v>https://www.tcgplayer.com/search/pokemon/product?q=Altaria+C+49%2F147+Supreme+Victors</x:v>
      </x:c>
    </x:row>
    <x:row r="766">
      <x:c r="A766" t="n">
        <x:v>765</x:v>
      </x:c>
      <x:c r="B766" t="str">
        <x:v>PDF Import / Added Cards</x:v>
      </x:c>
      <x:c r="C766" t="str">
        <x:v>Braviary</x:v>
      </x:c>
      <x:c r="D766" t="str">
        <x:v>88/98</x:v>
      </x:c>
      <x:c r="E766" t="str">
        <x:v>Emerging Powers</x:v>
      </x:c>
      <x:c r="F766" t="n">
        <x:v>2011</x:v>
      </x:c>
      <x:c r="G766" t="str">
        <x:v>Reverse Holo</x:v>
      </x:c>
      <x:c r="H766" t="str">
        <x:v>1 of 1</x:v>
      </x:c>
      <x:c r="I766" t="n">
        <x:v>1.78</x:v>
      </x:c>
      <x:c r="J766" t="n">
        <x:v>2.02</x:v>
      </x:c>
      <x:c r="K766" t="n">
        <x:v>1.9</x:v>
      </x:c>
      <x:c r="L766" t="str">
        <x:v>$1–5</x:v>
      </x:c>
      <x:c r="M766" t="str">
        <x:v>Yes</x:v>
      </x:c>
      <x:c r="N766" t="str">
        <x:v>No</x:v>
      </x:c>
      <x:c r="O766" t="str">
        <x:v>Yes</x:v>
      </x:c>
      <x:c r="P766" t="str">
        <x:v>Condition not yet reviewed</x:v>
      </x:c>
      <x:c r="Q766" t="n">
        <x:v>1.78</x:v>
      </x:c>
      <x:c r="R766" t="n">
        <x:v>2.02</x:v>
      </x:c>
      <x:c r="S766" t="n">
        <x:v>1.9</x:v>
      </x:c>
      <x:c r="T766" t="str">
        <x:v>TWO-SOURCE REPRICE (2026-08-17): PriceCharting ungraded from the uploaded PDF = $1.78 per card; TCGplayer exact-printing Near Mint market/price-guide value = $2.02. Working raw comp range is the span of those two approved sources ($1.78–$2.02); midpoint $1.90. No eBay or other marketplace data used.</x:v>
      </x:c>
      <x:c r="U766" t="n">
        <x:v>993</x:v>
      </x:c>
      <x:c r="V766" t="str">
        <x:v>TCGplayer + PriceCharting (uploaded PDF), researched 2026-08-17</x:v>
      </x:c>
      <x:c r="W766" t="str">
        <x:v>https://www.tcgplayer.com/product/83950/pokemon-emerging-powers-braviary</x:v>
      </x:c>
    </x:row>
    <x:row r="767">
      <x:c r="A767" t="n">
        <x:v>766</x:v>
      </x:c>
      <x:c r="B767" t="str">
        <x:v>PDF Import / Added Cards</x:v>
      </x:c>
      <x:c r="C767" t="str">
        <x:v>Braviary</x:v>
      </x:c>
      <x:c r="D767" t="str">
        <x:v>88/98</x:v>
      </x:c>
      <x:c r="E767" t="str">
        <x:v>Emerging Powers</x:v>
      </x:c>
      <x:c r="F767" t="n">
        <x:v>2011</x:v>
      </x:c>
      <x:c r="G767" t="str">
        <x:v>Holofoil / default set printing</x:v>
      </x:c>
      <x:c r="H767" t="str">
        <x:v>1 of 3</x:v>
      </x:c>
      <x:c r="I767" t="n">
        <x:v>1.99</x:v>
      </x:c>
      <x:c r="J767" t="n">
        <x:v>2.09</x:v>
      </x:c>
      <x:c r="K767" t="n">
        <x:v>2.04</x:v>
      </x:c>
      <x:c r="L767" t="str">
        <x:v>$1–5</x:v>
      </x:c>
      <x:c r="M767" t="str">
        <x:v>Yes</x:v>
      </x:c>
      <x:c r="N767" t="str">
        <x:v>No</x:v>
      </x:c>
      <x:c r="O767" t="str">
        <x:v>Yes</x:v>
      </x:c>
      <x:c r="P767" t="str">
        <x:v>Condition not yet reviewed</x:v>
      </x:c>
      <x:c r="Q767" t="n">
        <x:v>1.99</x:v>
      </x:c>
      <x:c r="R767" t="n">
        <x:v>2.09</x:v>
      </x:c>
      <x:c r="S767" t="n">
        <x:v>2.04</x:v>
      </x:c>
      <x:c r="T767"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7" t="n">
        <x:v>993</x:v>
      </x:c>
      <x:c r="V767" t="str">
        <x:v>TCGplayer + PriceCharting (uploaded PDF), researched 2026-08-17</x:v>
      </x:c>
      <x:c r="W767" t="str">
        <x:v>https://www.tcgplayer.com/product/83950/pokemon-emerging-powers-braviary</x:v>
      </x:c>
    </x:row>
    <x:row r="768">
      <x:c r="A768" t="n">
        <x:v>767</x:v>
      </x:c>
      <x:c r="B768" t="str">
        <x:v>PDF Import / Added Cards</x:v>
      </x:c>
      <x:c r="C768" t="str">
        <x:v>Braviary</x:v>
      </x:c>
      <x:c r="D768" t="str">
        <x:v>88/98</x:v>
      </x:c>
      <x:c r="E768" t="str">
        <x:v>Emerging Powers</x:v>
      </x:c>
      <x:c r="F768" t="n">
        <x:v>2011</x:v>
      </x:c>
      <x:c r="G768" t="str">
        <x:v>Holofoil / default set printing</x:v>
      </x:c>
      <x:c r="H768" t="str">
        <x:v>2 of 3</x:v>
      </x:c>
      <x:c r="I768" t="n">
        <x:v>1.99</x:v>
      </x:c>
      <x:c r="J768" t="n">
        <x:v>2.09</x:v>
      </x:c>
      <x:c r="K768" t="n">
        <x:v>2.04</x:v>
      </x:c>
      <x:c r="L768" t="str">
        <x:v>$1–5</x:v>
      </x:c>
      <x:c r="M768" t="str">
        <x:v>Yes</x:v>
      </x:c>
      <x:c r="N768" t="str">
        <x:v>No</x:v>
      </x:c>
      <x:c r="O768" t="str">
        <x:v>Yes</x:v>
      </x:c>
      <x:c r="P768" t="str">
        <x:v>Condition not yet reviewed</x:v>
      </x:c>
      <x:c r="Q768" t="n">
        <x:v>1.99</x:v>
      </x:c>
      <x:c r="R768" t="n">
        <x:v>2.09</x:v>
      </x:c>
      <x:c r="S768" t="n">
        <x:v>2.04</x:v>
      </x:c>
      <x:c r="T768"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8" t="n">
        <x:v>993</x:v>
      </x:c>
      <x:c r="V768" t="str">
        <x:v>TCGplayer + PriceCharting (uploaded PDF), researched 2026-08-17</x:v>
      </x:c>
      <x:c r="W768" t="str">
        <x:v>https://www.tcgplayer.com/product/83950/pokemon-emerging-powers-braviary</x:v>
      </x:c>
    </x:row>
    <x:row r="769">
      <x:c r="A769" t="n">
        <x:v>768</x:v>
      </x:c>
      <x:c r="B769" t="str">
        <x:v>PDF Import / Added Cards</x:v>
      </x:c>
      <x:c r="C769" t="str">
        <x:v>Braviary</x:v>
      </x:c>
      <x:c r="D769" t="str">
        <x:v>88/98</x:v>
      </x:c>
      <x:c r="E769" t="str">
        <x:v>Emerging Powers</x:v>
      </x:c>
      <x:c r="F769" t="n">
        <x:v>2011</x:v>
      </x:c>
      <x:c r="G769" t="str">
        <x:v>Holofoil / default set printing</x:v>
      </x:c>
      <x:c r="H769" t="str">
        <x:v>3 of 3</x:v>
      </x:c>
      <x:c r="I769" t="n">
        <x:v>1.99</x:v>
      </x:c>
      <x:c r="J769" t="n">
        <x:v>2.09</x:v>
      </x:c>
      <x:c r="K769" t="n">
        <x:v>2.04</x:v>
      </x:c>
      <x:c r="L769" t="str">
        <x:v>$1–5</x:v>
      </x:c>
      <x:c r="M769" t="str">
        <x:v>Yes</x:v>
      </x:c>
      <x:c r="N769" t="str">
        <x:v>No</x:v>
      </x:c>
      <x:c r="O769" t="str">
        <x:v>Yes</x:v>
      </x:c>
      <x:c r="P769" t="str">
        <x:v>Condition not yet reviewed</x:v>
      </x:c>
      <x:c r="Q769" t="n">
        <x:v>1.99</x:v>
      </x:c>
      <x:c r="R769" t="n">
        <x:v>2.09</x:v>
      </x:c>
      <x:c r="S769" t="n">
        <x:v>2.04</x:v>
      </x:c>
      <x:c r="T769"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9" t="n">
        <x:v>993</x:v>
      </x:c>
      <x:c r="V769" t="str">
        <x:v>TCGplayer + PriceCharting (uploaded PDF), researched 2026-08-17</x:v>
      </x:c>
      <x:c r="W769" t="str">
        <x:v>https://www.tcgplayer.com/product/83950/pokemon-emerging-powers-braviary</x:v>
      </x:c>
    </x:row>
    <x:row r="770">
      <x:c r="A770" t="n">
        <x:v>769</x:v>
      </x:c>
      <x:c r="B770" t="str">
        <x:v>PDF Import / Added Cards</x:v>
      </x:c>
      <x:c r="C770" t="str">
        <x:v>Druddigon</x:v>
      </x:c>
      <x:c r="D770" t="str">
        <x:v>89/101</x:v>
      </x:c>
      <x:c r="E770" t="str">
        <x:v>Noble Victories</x:v>
      </x:c>
      <x:c r="F770" t="n">
        <x:v>2011</x:v>
      </x:c>
      <x:c r="G770" t="str">
        <x:v>Reverse Holo</x:v>
      </x:c>
      <x:c r="H770" t="str">
        <x:v>1 of 1</x:v>
      </x:c>
      <x:c r="I770" t="n">
        <x:v>0.88</x:v>
      </x:c>
      <x:c r="J770" t="n">
        <x:v>1.69</x:v>
      </x:c>
      <x:c r="K770" t="n">
        <x:v>1.285</x:v>
      </x:c>
      <x:c r="L770" t="str">
        <x:v>$1–5</x:v>
      </x:c>
      <x:c r="M770" t="str">
        <x:v>Yes</x:v>
      </x:c>
      <x:c r="N770" t="str">
        <x:v>No</x:v>
      </x:c>
      <x:c r="O770" t="str">
        <x:v>Yes</x:v>
      </x:c>
      <x:c r="P770" t="str">
        <x:v>Condition not yet reviewed</x:v>
      </x:c>
      <x:c r="Q770" t="n">
        <x:v>0.88</x:v>
      </x:c>
      <x:c r="R770" t="n">
        <x:v>1.69</x:v>
      </x:c>
      <x:c r="S770" t="n">
        <x:v>1.285</x:v>
      </x:c>
      <x:c r="T770" t="str">
        <x:v>TWO-SOURCE REPRICE (2026-08-17): PriceCharting ungraded from the uploaded PDF = $1.69 per card; TCGplayer exact-printing Near Mint market/price-guide value = $0.88. Working raw comp range is the span of those two approved sources ($0.88–$1.69); midpoint $1.28. No eBay or other marketplace data used.</x:v>
      </x:c>
      <x:c r="U770" t="n">
        <x:v>993</x:v>
      </x:c>
      <x:c r="V770" t="str">
        <x:v>TCGplayer + PriceCharting (uploaded PDF), researched 2026-08-17</x:v>
      </x:c>
      <x:c r="W770" t="str">
        <x:v>https://www.tcgplayer.com/product/84978/pokemon-noble-victories-druddigon</x:v>
      </x:c>
    </x:row>
    <x:row r="771">
      <x:c r="A771" t="n">
        <x:v>770</x:v>
      </x:c>
      <x:c r="B771" t="str">
        <x:v>Water / Rares</x:v>
      </x:c>
      <x:c r="C771" t="str">
        <x:v>Samurott</x:v>
      </x:c>
      <x:c r="D771" t="str">
        <x:v>41/149</x:v>
      </x:c>
      <x:c r="E771" t="str">
        <x:v>Boundaries Crossed</x:v>
      </x:c>
      <x:c r="F771" t="n">
        <x:v>2012</x:v>
      </x:c>
      <x:c r="G771" t="str">
        <x:v>Holo Rare (standard set printing)</x:v>
      </x:c>
      <x:c r="H771" t="str">
        <x:v>1 of 1</x:v>
      </x:c>
      <x:c r="I771" t="n">
        <x:v>1.5</x:v>
      </x:c>
      <x:c r="J771" t="n">
        <x:v>2.25</x:v>
      </x:c>
      <x:c r="K771" t="n">
        <x:v>1.875</x:v>
      </x:c>
      <x:c r="L771" t="str">
        <x:v>$1–5</x:v>
      </x:c>
      <x:c r="M771" t="str">
        <x:v>Yes</x:v>
      </x:c>
      <x:c r="N771" t="str">
        <x:v>No</x:v>
      </x:c>
      <x:c r="O771" t="str">
        <x:v>Yes</x:v>
      </x:c>
      <x:c r="P771" t="str">
        <x:v>Clean/NM benchmark unless noted</x:v>
      </x:c>
      <x:c r="Q771" t="n">
        <x:v>1.5</x:v>
      </x:c>
      <x:c r="R771" t="n">
        <x:v>2.25</x:v>
      </x:c>
      <x:c r="S771" t="n">
        <x:v>1.875</x:v>
      </x:c>
      <x:c r="T771" t="str">
        <x:v>Standard Boundaries Crossed Holo Rare. TCGplayer exact-card market is about $1.79. PriceCharting's general #41 page mixes sales of the standard holo with the separate Cold Fire theme-deck non-holo, so the working clean/NM range is anchored to the exact TCGplayer holo market rather than treating the mixed PriceCharting raw figure as an exact variant comp. User also reports owning the separate non-holo deck-exclusive copy; that copy is below the $1 logging threshold and is not counted here.</x:v>
      </x:c>
      <x:c r="U771" t="n">
        <x:v>994</x:v>
      </x:c>
      <x:c r="V771" t="str">
        <x:v>Current chat + TCGplayer exact holo research 2026-08-17; variant structure verified against Boundaries Crossed release information</x:v>
      </x:c>
      <x:c r="W771" t="str">
        <x:v>https://www.tcgplayer.com/search/pokemon/product?q=Samurott+Boundaries+Crossed+41</x:v>
      </x:c>
    </x:row>
    <x:row r="772">
      <x:c r="A772" t="n">
        <x:v>771</x:v>
      </x:c>
      <x:c r="B772" t="str">
        <x:v>Water / Rares</x:v>
      </x:c>
      <x:c r="C772" t="str">
        <x:v>Blastoise</x:v>
      </x:c>
      <x:c r="D772" t="str">
        <x:v>31/149</x:v>
      </x:c>
      <x:c r="E772" t="str">
        <x:v>Boundaries Crossed</x:v>
      </x:c>
      <x:c r="F772" t="n">
        <x:v>2012</x:v>
      </x:c>
      <x:c r="G772" t="str">
        <x:v>Holo Rare (standard set printing)</x:v>
      </x:c>
      <x:c r="H772" t="str">
        <x:v>1 of 1</x:v>
      </x:c>
      <x:c r="I772" t="n">
        <x:v>20</x:v>
      </x:c>
      <x:c r="J772" t="n">
        <x:v>23</x:v>
      </x:c>
      <x:c r="K772" t="n">
        <x:v>21.5</x:v>
      </x:c>
      <x:c r="L772" t="str">
        <x:v>$20+</x:v>
      </x:c>
      <x:c r="M772" t="str">
        <x:v>Yes</x:v>
      </x:c>
      <x:c r="N772" t="str">
        <x:v>Yes</x:v>
      </x:c>
      <x:c r="O772" t="str">
        <x:v>Yes</x:v>
      </x:c>
      <x:c r="P772" t="str">
        <x:v>Clean/NM benchmark unless noted</x:v>
      </x:c>
      <x:c r="Q772" t="n">
        <x:v>20</x:v>
      </x:c>
      <x:c r="R772" t="n">
        <x:v>23</x:v>
      </x:c>
      <x:c r="S772" t="n">
        <x:v>21.5</x:v>
      </x:c>
      <x:c r="T772" t="str">
        <x:v>Standard Boundaries Crossed Holo Rare. Official set checklist marks #31 as a Holo Rare. TCGplayer exact Holofoil market is about $22.94. PriceCharting's main #31 page conflates the non-holo deck printing with holo sales, so the clean/NM benchmark is anchored to the exact TCGplayer holo market and recent clearly identified holo sales rather than its mixed raw guide.</x:v>
      </x:c>
      <x:c r="U772" t="n">
        <x:v>995</x:v>
      </x:c>
      <x:c r="V772" t="str">
        <x:v>Current chat + official Boundaries Crossed checklist + TCGplayer exact holo research 2026-08-17</x:v>
      </x:c>
      <x:c r="W772" t="str">
        <x:v>https://www.tcgplayer.com/product/83896/pokemon-boundaries-crossed-blastoise</x:v>
      </x:c>
    </x:row>
    <x:row r="773">
      <x:c r="A773" t="n">
        <x:v>772</x:v>
      </x:c>
      <x:c r="B773" t="str">
        <x:v>Water / Rares</x:v>
      </x:c>
      <x:c r="C773" t="str">
        <x:v>Blastoise</x:v>
      </x:c>
      <x:c r="D773" t="str">
        <x:v>31/149</x:v>
      </x:c>
      <x:c r="E773" t="str">
        <x:v>Boundaries Crossed</x:v>
      </x:c>
      <x:c r="F773" t="n">
        <x:v>2012</x:v>
      </x:c>
      <x:c r="G773" t="str">
        <x:v>Non-Holo Deck Exclusive</x:v>
      </x:c>
      <x:c r="H773" t="str">
        <x:v>1 of 1</x:v>
      </x:c>
      <x:c r="I773" t="n">
        <x:v>4.47</x:v>
      </x:c>
      <x:c r="J773" t="n">
        <x:v>4.93</x:v>
      </x:c>
      <x:c r="K773" t="n">
        <x:v>4.7</x:v>
      </x:c>
      <x:c r="L773" t="str">
        <x:v>$1–5</x:v>
      </x:c>
      <x:c r="M773" t="str">
        <x:v>Yes</x:v>
      </x:c>
      <x:c r="N773" t="str">
        <x:v>No</x:v>
      </x:c>
      <x:c r="O773" t="str">
        <x:v>Yes</x:v>
      </x:c>
      <x:c r="P773" t="str">
        <x:v>Clean/NM benchmark unless noted</x:v>
      </x:c>
      <x:c r="Q773" t="n">
        <x:v>4.47</x:v>
      </x:c>
      <x:c r="R773" t="n">
        <x:v>4.93</x:v>
      </x:c>
      <x:c r="S773" t="n">
        <x:v>4.7</x:v>
      </x:c>
      <x:c r="T773" t="str">
        <x:v>Separate non-holo deck-exclusive printing of Boundaries Crossed Blastoise #31. Current PriceCharting raw guide is about $4.47 and TCGplayer normal market is about $4.93. This is not the standard set holo and not the reverse holo.</x:v>
      </x:c>
      <x:c r="U773" t="n">
        <x:v>995</x:v>
      </x:c>
      <x:c r="V773" t="str">
        <x:v>TCGplayer + PriceCharting exact non-holo deck-exclusive research 2026-08-17</x:v>
      </x:c>
      <x:c r="W773" t="str">
        <x:v>https://www.tcgplayer.com/product/123456/pokemon-deck-exclusives-blastoise-31-149-non-holo</x:v>
      </x:c>
    </x:row>
    <x:row r="774">
      <x:c r="A774" t="n">
        <x:v>774</x:v>
      </x:c>
      <x:c r="B774" t="str">
        <x:v>PDF Import / Added Cards</x:v>
      </x:c>
      <x:c r="C774" t="str">
        <x:v>Dragonair</x:v>
      </x:c>
      <x:c r="D774" t="str">
        <x:v>82/116</x:v>
      </x:c>
      <x:c r="E774" t="str">
        <x:v>Plasma Freeze</x:v>
      </x:c>
      <x:c r="F774" t="n">
        <x:v>2013</x:v>
      </x:c>
      <x:c r="G774" t="str">
        <x:v>Regular</x:v>
      </x:c>
      <x:c r="H774" t="str">
        <x:v>2 of 2</x:v>
      </x:c>
      <x:c r="I774" t="n">
        <x:v>2</x:v>
      </x:c>
      <x:c r="J774" t="n">
        <x:v>2.06</x:v>
      </x:c>
      <x:c r="K774" t="n">
        <x:v>2.0300000000000002</x:v>
      </x:c>
      <x:c r="L774" t="str">
        <x:v>$1–5</x:v>
      </x:c>
      <x:c r="M774" t="str">
        <x:v>Yes</x:v>
      </x:c>
      <x:c r="N774" t="str">
        <x:v>No</x:v>
      </x:c>
      <x:c r="O774" t="str">
        <x:v>Yes</x:v>
      </x:c>
      <x:c r="P774" t="str">
        <x:v>Condition not yet reviewed</x:v>
      </x:c>
      <x:c r="Q774" t="n">
        <x:v>2</x:v>
      </x:c>
      <x:c r="R774" t="n">
        <x:v>2.06</x:v>
      </x:c>
      <x:c r="S774" t="n">
        <x:v>2.0300000000000002</x:v>
      </x:c>
      <x:c r="T774" t="str">
        <x:v>NEW PHYSICAL COPY from Sokalsky7's Collection.pdf page 2. PriceCharting export allocation = $2.04 per card. Working clean/NM range inherited from the existing exact-printing two-source comp in the collection ($2.00–$2.06).</x:v>
      </x:c>
      <x:c r="U774" t="n">
        <x:v>996</x:v>
      </x:c>
      <x:c r="V774" t="str">
        <x:v>Existing exact-printing TCGplayer + PriceCharting research; new physical copy confirmed by updated Collection.pdf</x:v>
      </x:c>
      <x:c r="W774"/>
    </x:row>
    <x:row r="775">
      <x:c r="A775" t="n">
        <x:v>775</x:v>
      </x:c>
      <x:c r="B775" t="str">
        <x:v>PDF Import / Added Cards</x:v>
      </x:c>
      <x:c r="C775" t="str">
        <x:v>Dratini</x:v>
      </x:c>
      <x:c r="D775" t="str">
        <x:v>81/116</x:v>
      </x:c>
      <x:c r="E775" t="str">
        <x:v>Plasma Freeze</x:v>
      </x:c>
      <x:c r="F775" t="n">
        <x:v>2013</x:v>
      </x:c>
      <x:c r="G775" t="str">
        <x:v>Reverse Holo</x:v>
      </x:c>
      <x:c r="H775" t="str">
        <x:v>1 of 1</x:v>
      </x:c>
      <x:c r="I775" t="n">
        <x:v>6.05</x:v>
      </x:c>
      <x:c r="J775" t="n">
        <x:v>6.05</x:v>
      </x:c>
      <x:c r="K775" t="n">
        <x:v>6.05</x:v>
      </x:c>
      <x:c r="L775" t="str">
        <x:v>$5–20</x:v>
      </x:c>
      <x:c r="M775" t="str">
        <x:v>Yes</x:v>
      </x:c>
      <x:c r="N775" t="str">
        <x:v>No</x:v>
      </x:c>
      <x:c r="O775" t="str">
        <x:v>Yes</x:v>
      </x:c>
      <x:c r="P775" t="str">
        <x:v>Condition not yet reviewed</x:v>
      </x:c>
      <x:c r="Q775" t="n">
        <x:v>6.05</x:v>
      </x:c>
      <x:c r="R775" t="n">
        <x:v>6.05</x:v>
      </x:c>
      <x:c r="S775" t="n">
        <x:v>6.05</x:v>
      </x:c>
      <x:c r="T775" t="str">
        <x:v>NEW PHYSICAL COPY from Sokalsky7's Collection.pdf page 2. Temporary raw benchmark = PriceCharting export allocation $6.05; exact TCGplayer market was not independently resolved in this add-pass.</x:v>
      </x:c>
      <x:c r="U775" t="n">
        <x:v>996</x:v>
      </x:c>
      <x:c r="V775" t="str">
        <x:v>PriceCharting updated Collection.pdf; TCGplayer exact reprice pending</x:v>
      </x:c>
      <x:c r="W775" t="str">
        <x:v>https://www.tcgplayer.com/search/pokemon/product?q=Dratini+81+Plasma+Freeze</x:v>
      </x:c>
    </x:row>
    <x:row r="776">
      <x:c r="A776" t="n">
        <x:v>776</x:v>
      </x:c>
      <x:c r="B776" t="str">
        <x:v>PDF Import / Added Cards</x:v>
      </x:c>
      <x:c r="C776" t="str">
        <x:v>Black Kyurem EX</x:v>
      </x:c>
      <x:c r="D776" t="str">
        <x:v>101/149</x:v>
      </x:c>
      <x:c r="E776" t="str">
        <x:v>Boundaries Crossed</x:v>
      </x:c>
      <x:c r="F776" t="n">
        <x:v>2012</x:v>
      </x:c>
      <x:c r="G776" t="str">
        <x:v>Holo EX / default printing</x:v>
      </x:c>
      <x:c r="H776" t="str">
        <x:v>1 of 1</x:v>
      </x:c>
      <x:c r="I776" t="n">
        <x:v>3.75</x:v>
      </x:c>
      <x:c r="J776" t="n">
        <x:v>3.86</x:v>
      </x:c>
      <x:c r="K776" t="n">
        <x:v>3.8049999999999997</x:v>
      </x:c>
      <x:c r="L776" t="str">
        <x:v>$1–5</x:v>
      </x:c>
      <x:c r="M776" t="str">
        <x:v>Yes</x:v>
      </x:c>
      <x:c r="N776" t="str">
        <x:v>No</x:v>
      </x:c>
      <x:c r="O776" t="str">
        <x:v>Yes</x:v>
      </x:c>
      <x:c r="P776" t="str">
        <x:v>Condition not yet reviewed</x:v>
      </x:c>
      <x:c r="Q776" t="n">
        <x:v>3.75</x:v>
      </x:c>
      <x:c r="R776" t="n">
        <x:v>3.86</x:v>
      </x:c>
      <x:c r="S776" t="n">
        <x:v>3.8049999999999997</x:v>
      </x:c>
      <x:c r="T776" t="str">
        <x:v>NEW PHYSICAL COPY from Sokalsky7's Collection.pdf page 2. PriceCharting export = $3.75 per card; current TCGplayer market checked at about $3.86. Working range spans those two approved sources.</x:v>
      </x:c>
      <x:c r="U776" t="n">
        <x:v>996</x:v>
      </x:c>
      <x:c r="V776" t="str">
        <x:v>TCGplayer + PriceCharting (updated Collection.pdf), researched 2026-08-17</x:v>
      </x:c>
      <x:c r="W776" t="str">
        <x:v>https://www.tcgplayer.com/search/pokemon/product?q=Black+Kyurem+EX+101+Boundaries+Crossed</x:v>
      </x:c>
    </x:row>
    <x:row r="777">
      <x:c r="A777" t="n">
        <x:v>777</x:v>
      </x:c>
      <x:c r="B777" t="str">
        <x:v>PDF Import / Added Cards</x:v>
      </x:c>
      <x:c r="C777" t="str">
        <x:v>Serperior</x:v>
      </x:c>
      <x:c r="D777" t="str">
        <x:v>5/114</x:v>
      </x:c>
      <x:c r="E777" t="str">
        <x:v>Black &amp; White</x:v>
      </x:c>
      <x:c r="F777" t="n">
        <x:v>2011</x:v>
      </x:c>
      <x:c r="G777" t="str">
        <x:v>Cracked Ice Holo</x:v>
      </x:c>
      <x:c r="H777" t="str">
        <x:v>1 of 1</x:v>
      </x:c>
      <x:c r="I777" t="n">
        <x:v>2.79</x:v>
      </x:c>
      <x:c r="J777" t="n">
        <x:v>3.03</x:v>
      </x:c>
      <x:c r="K777" t="n">
        <x:v>2.91</x:v>
      </x:c>
      <x:c r="L777" t="str">
        <x:v>$1–5</x:v>
      </x:c>
      <x:c r="M777" t="str">
        <x:v>Yes</x:v>
      </x:c>
      <x:c r="N777" t="str">
        <x:v>No</x:v>
      </x:c>
      <x:c r="O777" t="str">
        <x:v>Yes</x:v>
      </x:c>
      <x:c r="P777" t="str">
        <x:v>Condition not yet reviewed</x:v>
      </x:c>
      <x:c r="Q777" t="n">
        <x:v>2.79</x:v>
      </x:c>
      <x:c r="R777" t="n">
        <x:v>3.03</x:v>
      </x:c>
      <x:c r="S777" t="n">
        <x:v>2.91</x:v>
      </x:c>
      <x:c r="T777" t="str">
        <x:v>NEW PHYSICAL COPY from Sokalsky7's Collection.pdf page 2. PriceCharting export = $2.79 per card; current TCGplayer market checked at about $3.03. Working range spans those two approved sources.</x:v>
      </x:c>
      <x:c r="U777" t="n">
        <x:v>996</x:v>
      </x:c>
      <x:c r="V777" t="str">
        <x:v>TCGplayer + PriceCharting (updated Collection.pdf), researched 2026-08-17</x:v>
      </x:c>
      <x:c r="W777" t="str">
        <x:v>https://www.tcgplayer.com/search/pokemon/product?q=Serperior+5+Black+White</x:v>
      </x:c>
    </x:row>
    <x:row r="778">
      <x:c r="A778" t="n">
        <x:v>778</x:v>
      </x:c>
      <x:c r="B778" t="str">
        <x:v>PDF Import / Added Cards</x:v>
      </x:c>
      <x:c r="C778" t="str">
        <x:v>Ivysaur</x:v>
      </x:c>
      <x:c r="D778" t="str">
        <x:v>62/147</x:v>
      </x:c>
      <x:c r="E778" t="str">
        <x:v>Supreme Victors</x:v>
      </x:c>
      <x:c r="F778" t="n">
        <x:v>2009</x:v>
      </x:c>
      <x:c r="G778" t="str">
        <x:v>Regular / default set printing</x:v>
      </x:c>
      <x:c r="H778" t="str">
        <x:v>1 of 1</x:v>
      </x:c>
      <x:c r="I778" t="n">
        <x:v>3.61</x:v>
      </x:c>
      <x:c r="J778" t="n">
        <x:v>4.14</x:v>
      </x:c>
      <x:c r="K778" t="n">
        <x:v>3.875</x:v>
      </x:c>
      <x:c r="L778" t="str">
        <x:v>$1–5</x:v>
      </x:c>
      <x:c r="M778" t="str">
        <x:v>Yes</x:v>
      </x:c>
      <x:c r="N778" t="str">
        <x:v>No</x:v>
      </x:c>
      <x:c r="O778" t="str">
        <x:v>Yes</x:v>
      </x:c>
      <x:c r="P778" t="str">
        <x:v>Condition not yet reviewed</x:v>
      </x:c>
      <x:c r="Q778" t="n">
        <x:v>3.61</x:v>
      </x:c>
      <x:c r="R778" t="n">
        <x:v>4.14</x:v>
      </x:c>
      <x:c r="S778" t="n">
        <x:v>3.875</x:v>
      </x:c>
      <x:c r="T778" t="str">
        <x:v>NEW PHYSICAL COPY from Sokalsky7's Collection.pdf page 2. PriceCharting export = $3.61 per card; current TCGplayer market checked at about $4.14. Working range spans those two approved sources.</x:v>
      </x:c>
      <x:c r="U778" t="n">
        <x:v>996</x:v>
      </x:c>
      <x:c r="V778" t="str">
        <x:v>TCGplayer + PriceCharting (updated Collection.pdf), researched 2026-08-17</x:v>
      </x:c>
      <x:c r="W778" t="str">
        <x:v>https://www.tcgplayer.com/search/pokemon/product?q=Ivysaur+62+Supreme+Victors</x:v>
      </x:c>
    </x:row>
    <x:row r="779">
      <x:c r="A779" t="n">
        <x:v>779</x:v>
      </x:c>
      <x:c r="B779" t="str">
        <x:v>PDF Import / Added Cards</x:v>
      </x:c>
      <x:c r="C779" t="str">
        <x:v>Empoleon</x:v>
      </x:c>
      <x:c r="D779" t="str">
        <x:v>BW56</x:v>
      </x:c>
      <x:c r="E779" t="str">
        <x:v>Black &amp; White Promos</x:v>
      </x:c>
      <x:c r="F779"/>
      <x:c r="G779" t="str">
        <x:v>Holo Promo</x:v>
      </x:c>
      <x:c r="H779" t="str">
        <x:v>1 of 1</x:v>
      </x:c>
      <x:c r="I779" t="n">
        <x:v>6.85</x:v>
      </x:c>
      <x:c r="J779" t="n">
        <x:v>6.85</x:v>
      </x:c>
      <x:c r="K779" t="n">
        <x:v>6.85</x:v>
      </x:c>
      <x:c r="L779" t="str">
        <x:v>$5–20</x:v>
      </x:c>
      <x:c r="M779" t="str">
        <x:v>Yes</x:v>
      </x:c>
      <x:c r="N779" t="str">
        <x:v>No</x:v>
      </x:c>
      <x:c r="O779" t="str">
        <x:v>Yes</x:v>
      </x:c>
      <x:c r="P779" t="str">
        <x:v>Condition not yet reviewed</x:v>
      </x:c>
      <x:c r="Q779" t="n">
        <x:v>6.85</x:v>
      </x:c>
      <x:c r="R779" t="n">
        <x:v>6.85</x:v>
      </x:c>
      <x:c r="S779" t="n">
        <x:v>6.85</x:v>
      </x:c>
      <x:c r="T779" t="str">
        <x:v>NEW PHYSICAL COPY from Sokalsky7's Collection.pdf page 2. Temporary raw benchmark = PriceCharting export allocation $6.85; exact TCGplayer market was not independently resolved in this add-pass.</x:v>
      </x:c>
      <x:c r="U779" t="n">
        <x:v>996</x:v>
      </x:c>
      <x:c r="V779" t="str">
        <x:v>PriceCharting updated Collection.pdf; TCGplayer exact reprice pending</x:v>
      </x:c>
      <x:c r="W779" t="str">
        <x:v>https://www.tcgplayer.com/search/pokemon/product?q=Empoleon+BW56+Promo</x:v>
      </x:c>
    </x:row>
    <x:row r="780">
      <x:c r="A780" t="n">
        <x:v>780</x:v>
      </x:c>
      <x:c r="B780" t="str">
        <x:v>PDF Import / Added Cards</x:v>
      </x:c>
      <x:c r="C780" t="str">
        <x:v>Latias</x:v>
      </x:c>
      <x:c r="D780" t="str">
        <x:v>9/20</x:v>
      </x:c>
      <x:c r="E780" t="str">
        <x:v>Dragon Vault</x:v>
      </x:c>
      <x:c r="F780" t="n">
        <x:v>2012</x:v>
      </x:c>
      <x:c r="G780" t="str">
        <x:v>Holo</x:v>
      </x:c>
      <x:c r="H780" t="str">
        <x:v>3 of 3</x:v>
      </x:c>
      <x:c r="I780" t="n">
        <x:v>13</x:v>
      </x:c>
      <x:c r="J780" t="n">
        <x:v>19</x:v>
      </x:c>
      <x:c r="K780" t="n">
        <x:v>16</x:v>
      </x:c>
      <x:c r="L780" t="str">
        <x:v>$5–20</x:v>
      </x:c>
      <x:c r="M780" t="str">
        <x:v>Yes</x:v>
      </x:c>
      <x:c r="N780" t="str">
        <x:v>No</x:v>
      </x:c>
      <x:c r="O780" t="str">
        <x:v>Yes</x:v>
      </x:c>
      <x:c r="P780" t="str">
        <x:v>Very clean / mock graded from photos</x:v>
      </x:c>
      <x:c r="Q780" t="n">
        <x:v>13</x:v>
      </x:c>
      <x:c r="R780" t="n">
        <x:v>19</x:v>
      </x:c>
      <x:c r="S780" t="n">
        <x:v>16</x:v>
      </x:c>
      <x:c r="T780" t="str">
        <x:v>Mock grading review 2026-08-17: front centering measured 58/42 L-R and 46/54 T-B; back 47/53 L-R and 54/46 T-B. Corners/edges look very clean; angled surface photos show no obvious defects. PSA 9 is the clear photo-based favorite.</x:v>
      </x:c>
      <x:c r="U780" t="n">
        <x:v>996</x:v>
      </x:c>
      <x:c r="V780" t="str">
        <x:v>Existing exact-printing TCGplayer + PriceCharting research; new physical copy confirmed by updated Collection.pdf</x:v>
      </x:c>
      <x:c r="W780"/>
    </x:row>
    <x:row r="781">
      <x:c r="A781" t="n">
        <x:v>781</x:v>
      </x:c>
      <x:c r="B781" t="str">
        <x:v>PDF Import / Added Cards</x:v>
      </x:c>
      <x:c r="C781" t="str">
        <x:v>Salamence</x:v>
      </x:c>
      <x:c r="D781" t="str">
        <x:v>8/20</x:v>
      </x:c>
      <x:c r="E781" t="str">
        <x:v>Dragon Vault</x:v>
      </x:c>
      <x:c r="F781" t="n">
        <x:v>2012</x:v>
      </x:c>
      <x:c r="G781" t="str">
        <x:v>Holo</x:v>
      </x:c>
      <x:c r="H781" t="str">
        <x:v>4 of 6</x:v>
      </x:c>
      <x:c r="I781" t="n">
        <x:v>5.5</x:v>
      </x:c>
      <x:c r="J781" t="n">
        <x:v>6</x:v>
      </x:c>
      <x:c r="K781" t="n">
        <x:v>5.75</x:v>
      </x:c>
      <x:c r="L781" t="str">
        <x:v>$5–20</x:v>
      </x:c>
      <x:c r="M781" t="str">
        <x:v>Yes</x:v>
      </x:c>
      <x:c r="N781" t="str">
        <x:v>No</x:v>
      </x:c>
      <x:c r="O781" t="str">
        <x:v>Yes</x:v>
      </x:c>
      <x:c r="P781" t="str">
        <x:v>Condition not yet reviewed</x:v>
      </x:c>
      <x:c r="Q781" t="n">
        <x:v>5.5</x:v>
      </x:c>
      <x:c r="R781" t="n">
        <x:v>6</x:v>
      </x:c>
      <x:c r="S781" t="n">
        <x:v>5.75</x:v>
      </x:c>
      <x:c r="T781" t="str">
        <x:v>NEW PHYSICAL COPY from Sokalsky7's Collection.pdf page 3. PriceCharting export allocation = $5.59 per card. Working clean/NM range inherited from the existing exact-printing two-source comp in the collection ($5.50–$6.00).</x:v>
      </x:c>
      <x:c r="U781" t="n">
        <x:v>996</x:v>
      </x:c>
      <x:c r="V781" t="str">
        <x:v>Existing exact-printing TCGplayer + PriceCharting research; new physical copy confirmed by updated Collection.pdf</x:v>
      </x:c>
      <x:c r="W781"/>
    </x:row>
    <x:row r="782">
      <x:c r="A782" t="n">
        <x:v>782</x:v>
      </x:c>
      <x:c r="B782" t="str">
        <x:v>PDF Import / Added Cards</x:v>
      </x:c>
      <x:c r="C782" t="str">
        <x:v>Salamence</x:v>
      </x:c>
      <x:c r="D782" t="str">
        <x:v>8/20</x:v>
      </x:c>
      <x:c r="E782" t="str">
        <x:v>Dragon Vault</x:v>
      </x:c>
      <x:c r="F782" t="n">
        <x:v>2012</x:v>
      </x:c>
      <x:c r="G782" t="str">
        <x:v>Holo</x:v>
      </x:c>
      <x:c r="H782" t="str">
        <x:v>5 of 6</x:v>
      </x:c>
      <x:c r="I782" t="n">
        <x:v>5.5</x:v>
      </x:c>
      <x:c r="J782" t="n">
        <x:v>6</x:v>
      </x:c>
      <x:c r="K782" t="n">
        <x:v>5.75</x:v>
      </x:c>
      <x:c r="L782" t="str">
        <x:v>$5–20</x:v>
      </x:c>
      <x:c r="M782" t="str">
        <x:v>Yes</x:v>
      </x:c>
      <x:c r="N782" t="str">
        <x:v>No</x:v>
      </x:c>
      <x:c r="O782" t="str">
        <x:v>Yes</x:v>
      </x:c>
      <x:c r="P782" t="str">
        <x:v>Condition not yet reviewed</x:v>
      </x:c>
      <x:c r="Q782" t="n">
        <x:v>5.5</x:v>
      </x:c>
      <x:c r="R782" t="n">
        <x:v>6</x:v>
      </x:c>
      <x:c r="S782" t="n">
        <x:v>5.75</x:v>
      </x:c>
      <x:c r="T782" t="str">
        <x:v>NEW PHYSICAL COPY from Sokalsky7's Collection.pdf page 3. PriceCharting export allocation = $5.59 per card. Working clean/NM range inherited from the existing exact-printing two-source comp in the collection ($5.50–$6.00).</x:v>
      </x:c>
      <x:c r="U782" t="n">
        <x:v>996</x:v>
      </x:c>
      <x:c r="V782" t="str">
        <x:v>Existing exact-printing TCGplayer + PriceCharting research; new physical copy confirmed by updated Collection.pdf</x:v>
      </x:c>
      <x:c r="W782"/>
    </x:row>
    <x:row r="783">
      <x:c r="A783" t="n">
        <x:v>783</x:v>
      </x:c>
      <x:c r="B783" t="str">
        <x:v>PDF Import / Added Cards</x:v>
      </x:c>
      <x:c r="C783" t="str">
        <x:v>Salamence</x:v>
      </x:c>
      <x:c r="D783" t="str">
        <x:v>8/20</x:v>
      </x:c>
      <x:c r="E783" t="str">
        <x:v>Dragon Vault</x:v>
      </x:c>
      <x:c r="F783" t="n">
        <x:v>2012</x:v>
      </x:c>
      <x:c r="G783" t="str">
        <x:v>Holo</x:v>
      </x:c>
      <x:c r="H783" t="str">
        <x:v>6 of 6</x:v>
      </x:c>
      <x:c r="I783" t="n">
        <x:v>5.5</x:v>
      </x:c>
      <x:c r="J783" t="n">
        <x:v>6</x:v>
      </x:c>
      <x:c r="K783" t="n">
        <x:v>5.75</x:v>
      </x:c>
      <x:c r="L783" t="str">
        <x:v>$5–20</x:v>
      </x:c>
      <x:c r="M783" t="str">
        <x:v>Yes</x:v>
      </x:c>
      <x:c r="N783" t="str">
        <x:v>No</x:v>
      </x:c>
      <x:c r="O783" t="str">
        <x:v>Yes</x:v>
      </x:c>
      <x:c r="P783" t="str">
        <x:v>Condition not yet reviewed</x:v>
      </x:c>
      <x:c r="Q783" t="n">
        <x:v>5.5</x:v>
      </x:c>
      <x:c r="R783" t="n">
        <x:v>6</x:v>
      </x:c>
      <x:c r="S783" t="n">
        <x:v>5.75</x:v>
      </x:c>
      <x:c r="T783" t="str">
        <x:v>NEW PHYSICAL COPY from Sokalsky7's Collection.pdf page 3. PriceCharting export allocation = $5.59 per card. Working clean/NM range inherited from the existing exact-printing two-source comp in the collection ($5.50–$6.00).</x:v>
      </x:c>
      <x:c r="U783" t="n">
        <x:v>996</x:v>
      </x:c>
      <x:c r="V783" t="str">
        <x:v>Existing exact-printing TCGplayer + PriceCharting research; new physical copy confirmed by updated Collection.pdf</x:v>
      </x:c>
      <x:c r="W783"/>
    </x:row>
    <x:row r="784">
      <x:c r="A784" t="n">
        <x:v>784</x:v>
      </x:c>
      <x:c r="B784" t="str">
        <x:v>PDF Import / Added Cards</x:v>
      </x:c>
      <x:c r="C784" t="str">
        <x:v>Druddigon</x:v>
      </x:c>
      <x:c r="D784" t="str">
        <x:v>17/20</x:v>
      </x:c>
      <x:c r="E784" t="str">
        <x:v>Dragon Vault</x:v>
      </x:c>
      <x:c r="F784" t="n">
        <x:v>2012</x:v>
      </x:c>
      <x:c r="G784" t="str">
        <x:v>Normal Holo</x:v>
      </x:c>
      <x:c r="H784" t="str">
        <x:v>2 of 2</x:v>
      </x:c>
      <x:c r="I784" t="n">
        <x:v>2.5</x:v>
      </x:c>
      <x:c r="J784" t="n">
        <x:v>3</x:v>
      </x:c>
      <x:c r="K784" t="n">
        <x:v>2.75</x:v>
      </x:c>
      <x:c r="L784" t="str">
        <x:v>$1–5</x:v>
      </x:c>
      <x:c r="M784" t="str">
        <x:v>Yes</x:v>
      </x:c>
      <x:c r="N784" t="str">
        <x:v>No</x:v>
      </x:c>
      <x:c r="O784" t="str">
        <x:v>Yes</x:v>
      </x:c>
      <x:c r="P784" t="str">
        <x:v>Condition not yet reviewed</x:v>
      </x:c>
      <x:c r="Q784" t="n">
        <x:v>2.5</x:v>
      </x:c>
      <x:c r="R784" t="n">
        <x:v>3</x:v>
      </x:c>
      <x:c r="S784" t="n">
        <x:v>2.75</x:v>
      </x:c>
      <x:c r="T784" t="str">
        <x:v>NEW PHYSICAL COPY from Sokalsky7's Collection.pdf page 3. PriceCharting export allocation = $3.00 per card. Working clean/NM range inherited from the existing exact-printing two-source comp in the collection ($2.50–$3.00).</x:v>
      </x:c>
      <x:c r="U784" t="n">
        <x:v>996</x:v>
      </x:c>
      <x:c r="V784" t="str">
        <x:v>Existing exact-printing TCGplayer + PriceCharting research; new physical copy confirmed by updated Collection.pdf</x:v>
      </x:c>
      <x:c r="W784"/>
    </x:row>
    <x:row r="785">
      <x:c r="A785" t="n">
        <x:v>785</x:v>
      </x:c>
      <x:c r="B785" t="str">
        <x:v>PDF Import / Added Cards</x:v>
      </x:c>
      <x:c r="C785" t="str">
        <x:v>Zoroark</x:v>
      </x:c>
      <x:c r="D785" t="str">
        <x:v>71/114</x:v>
      </x:c>
      <x:c r="E785" t="str">
        <x:v>Black &amp; White</x:v>
      </x:c>
      <x:c r="F785" t="n">
        <x:v>2011</x:v>
      </x:c>
      <x:c r="G785" t="str">
        <x:v>Reverse Holo</x:v>
      </x:c>
      <x:c r="H785" t="str">
        <x:v>1 of 1</x:v>
      </x:c>
      <x:c r="I785" t="n">
        <x:v>5.3</x:v>
      </x:c>
      <x:c r="J785" t="n">
        <x:v>8.16</x:v>
      </x:c>
      <x:c r="K785" t="n">
        <x:v>6.73</x:v>
      </x:c>
      <x:c r="L785" t="str">
        <x:v>$5–20</x:v>
      </x:c>
      <x:c r="M785" t="str">
        <x:v>Yes</x:v>
      </x:c>
      <x:c r="N785" t="str">
        <x:v>No</x:v>
      </x:c>
      <x:c r="O785" t="str">
        <x:v>Yes</x:v>
      </x:c>
      <x:c r="P785" t="str">
        <x:v>Condition not yet reviewed</x:v>
      </x:c>
      <x:c r="Q785" t="n">
        <x:v>5.3</x:v>
      </x:c>
      <x:c r="R785" t="n">
        <x:v>8.16</x:v>
      </x:c>
      <x:c r="S785" t="n">
        <x:v>6.73</x:v>
      </x:c>
      <x:c r="T785" t="str">
        <x:v>NEW PHYSICAL COPY from Sokalsky7's Collection.pdf page 3. PriceCharting export = $5.30 per card; current TCGplayer market checked at about $8.16. Working range spans those two approved sources.</x:v>
      </x:c>
      <x:c r="U785" t="n">
        <x:v>996</x:v>
      </x:c>
      <x:c r="V785" t="str">
        <x:v>TCGplayer + PriceCharting (updated Collection.pdf), researched 2026-08-17</x:v>
      </x:c>
      <x:c r="W785" t="str">
        <x:v>https://www.tcgplayer.com/search/pokemon/product?q=Zoroark+71+Black+White</x:v>
      </x:c>
    </x:row>
    <x:row r="786">
      <x:c r="A786" t="n">
        <x:v>786</x:v>
      </x:c>
      <x:c r="B786" t="str">
        <x:v>PDF Import / Added Cards</x:v>
      </x:c>
      <x:c r="C786" t="str">
        <x:v>Flygon</x:v>
      </x:c>
      <x:c r="D786" t="str">
        <x:v>99/149</x:v>
      </x:c>
      <x:c r="E786" t="str">
        <x:v>Boundaries Crossed</x:v>
      </x:c>
      <x:c r="F786" t="n">
        <x:v>2012</x:v>
      </x:c>
      <x:c r="G786" t="str">
        <x:v>Holo Rare</x:v>
      </x:c>
      <x:c r="H786" t="str">
        <x:v>3 of 3</x:v>
      </x:c>
      <x:c r="I786" t="n">
        <x:v>13</x:v>
      </x:c>
      <x:c r="J786" t="n">
        <x:v>14</x:v>
      </x:c>
      <x:c r="K786" t="n">
        <x:v>13.5</x:v>
      </x:c>
      <x:c r="L786" t="str">
        <x:v>$5–20</x:v>
      </x:c>
      <x:c r="M786" t="str">
        <x:v>Yes</x:v>
      </x:c>
      <x:c r="N786" t="str">
        <x:v>No</x:v>
      </x:c>
      <x:c r="O786" t="str">
        <x:v>Yes</x:v>
      </x:c>
      <x:c r="P786" t="str">
        <x:v>Condition not yet reviewed</x:v>
      </x:c>
      <x:c r="Q786" t="n">
        <x:v>13</x:v>
      </x:c>
      <x:c r="R786" t="n">
        <x:v>14</x:v>
      </x:c>
      <x:c r="S786" t="n">
        <x:v>13.5</x:v>
      </x:c>
      <x:c r="T786" t="str">
        <x:v>NEW PHYSICAL COPY from Sokalsky7's Collection.pdf page 3. PriceCharting export allocation = $13.38 per card. Working clean/NM range inherited from the existing exact-printing two-source comp in the collection ($13.00–$14.00).</x:v>
      </x:c>
      <x:c r="U786" t="n">
        <x:v>996</x:v>
      </x:c>
      <x:c r="V786" t="str">
        <x:v>Existing exact-printing TCGplayer + PriceCharting research; new physical copy confirmed by updated Collection.pdf</x:v>
      </x:c>
      <x:c r="W786"/>
    </x:row>
    <x:row r="787">
      <x:c r="A787" t="n">
        <x:v>787</x:v>
      </x:c>
      <x:c r="B787" t="str">
        <x:v>PDF Import / Added Cards</x:v>
      </x:c>
      <x:c r="C787" t="str">
        <x:v>Articuno</x:v>
      </x:c>
      <x:c r="D787" t="str">
        <x:v>17/62</x:v>
      </x:c>
      <x:c r="E787" t="str">
        <x:v>Fossil</x:v>
      </x:c>
      <x:c r="F787" t="n">
        <x:v>1999</x:v>
      </x:c>
      <x:c r="G787" t="str">
        <x:v>Regular / default set printing</x:v>
      </x:c>
      <x:c r="H787" t="str">
        <x:v>1 of 1</x:v>
      </x:c>
      <x:c r="I787" t="n">
        <x:v>8.48</x:v>
      </x:c>
      <x:c r="J787" t="n">
        <x:v>26.94</x:v>
      </x:c>
      <x:c r="K787" t="n">
        <x:v>17.71</x:v>
      </x:c>
      <x:c r="L787" t="str">
        <x:v>$5–20</x:v>
      </x:c>
      <x:c r="M787" t="str">
        <x:v>Yes</x:v>
      </x:c>
      <x:c r="N787" t="str">
        <x:v>No</x:v>
      </x:c>
      <x:c r="O787" t="str">
        <x:v>Yes</x:v>
      </x:c>
      <x:c r="P787" t="str">
        <x:v>Condition not yet reviewed</x:v>
      </x:c>
      <x:c r="Q787" t="n">
        <x:v>8.48</x:v>
      </x:c>
      <x:c r="R787" t="n">
        <x:v>26.94</x:v>
      </x:c>
      <x:c r="S787" t="n">
        <x:v>17.71</x:v>
      </x:c>
      <x:c r="T787" t="str">
        <x:v>NEW PHYSICAL COPY from Sokalsky7's Collection.pdf page 3. PriceCharting export = $8.48 per card; current TCGplayer market checked at about $26.94. Working range spans those two approved sources.</x:v>
      </x:c>
      <x:c r="U787" t="n">
        <x:v>996</x:v>
      </x:c>
      <x:c r="V787" t="str">
        <x:v>TCGplayer + PriceCharting (updated Collection.pdf), researched 2026-08-17</x:v>
      </x:c>
      <x:c r="W787" t="str">
        <x:v>https://www.tcgplayer.com/search/pokemon/product?q=Articuno+17+Fossil</x:v>
      </x:c>
    </x:row>
    <x:row r="788">
      <x:c r="A788" t="n">
        <x:v>788</x:v>
      </x:c>
      <x:c r="B788" t="str">
        <x:v>PDF Import / Added Cards</x:v>
      </x:c>
      <x:c r="C788" t="str">
        <x:v>Kingdra</x:v>
      </x:c>
      <x:c r="D788" t="str">
        <x:v>84/116</x:v>
      </x:c>
      <x:c r="E788" t="str">
        <x:v>Plasma Freeze</x:v>
      </x:c>
      <x:c r="F788" t="n">
        <x:v>2013</x:v>
      </x:c>
      <x:c r="G788" t="str">
        <x:v>Reverse Holo</x:v>
      </x:c>
      <x:c r="H788" t="str">
        <x:v>1 of 1</x:v>
      </x:c>
      <x:c r="I788" t="n">
        <x:v>5.69</x:v>
      </x:c>
      <x:c r="J788" t="n">
        <x:v>5.69</x:v>
      </x:c>
      <x:c r="K788" t="n">
        <x:v>5.69</x:v>
      </x:c>
      <x:c r="L788" t="str">
        <x:v>$5–20</x:v>
      </x:c>
      <x:c r="M788" t="str">
        <x:v>Yes</x:v>
      </x:c>
      <x:c r="N788" t="str">
        <x:v>No</x:v>
      </x:c>
      <x:c r="O788" t="str">
        <x:v>Yes</x:v>
      </x:c>
      <x:c r="P788" t="str">
        <x:v>Condition not yet reviewed</x:v>
      </x:c>
      <x:c r="Q788" t="n">
        <x:v>5.69</x:v>
      </x:c>
      <x:c r="R788" t="n">
        <x:v>5.69</x:v>
      </x:c>
      <x:c r="S788" t="n">
        <x:v>5.69</x:v>
      </x:c>
      <x:c r="T788" t="str">
        <x:v>NEW PHYSICAL COPY from Sokalsky7's Collection.pdf page 3. Temporary raw benchmark = PriceCharting export allocation $5.69; exact TCGplayer market was not independently resolved in this add-pass.</x:v>
      </x:c>
      <x:c r="U788" t="n">
        <x:v>996</x:v>
      </x:c>
      <x:c r="V788" t="str">
        <x:v>PriceCharting updated Collection.pdf; TCGplayer exact reprice pending</x:v>
      </x:c>
      <x:c r="W788" t="str">
        <x:v>https://www.tcgplayer.com/search/pokemon/product?q=Kingdra+84+Plasma+Freeze</x:v>
      </x:c>
    </x:row>
    <x:row r="789">
      <x:c r="A789" t="n">
        <x:v>789</x:v>
      </x:c>
      <x:c r="B789" t="str">
        <x:v>PDF Import / Added Cards</x:v>
      </x:c>
      <x:c r="C789" t="str">
        <x:v>Porygon-Z</x:v>
      </x:c>
      <x:c r="D789" t="str">
        <x:v>74/101</x:v>
      </x:c>
      <x:c r="E789" t="str">
        <x:v>Plasma Blast</x:v>
      </x:c>
      <x:c r="F789" t="n">
        <x:v>2013</x:v>
      </x:c>
      <x:c r="G789" t="str">
        <x:v>Holo Rare (Team Plasma)</x:v>
      </x:c>
      <x:c r="H789" t="str">
        <x:v>1 of 1</x:v>
      </x:c>
      <x:c r="I789" t="n">
        <x:v>3.35</x:v>
      </x:c>
      <x:c r="J789" t="n">
        <x:v>4.22</x:v>
      </x:c>
      <x:c r="K789" t="n">
        <x:v>3.785</x:v>
      </x:c>
      <x:c r="L789" t="str">
        <x:v>$1–5</x:v>
      </x:c>
      <x:c r="M789" t="str">
        <x:v>Yes</x:v>
      </x:c>
      <x:c r="N789" t="str">
        <x:v>No</x:v>
      </x:c>
      <x:c r="O789" t="str">
        <x:v>Yes</x:v>
      </x:c>
      <x:c r="P789" t="str">
        <x:v>Condition not yet reviewed</x:v>
      </x:c>
      <x:c r="Q789" t="n">
        <x:v>3.35</x:v>
      </x:c>
      <x:c r="R789" t="n">
        <x:v>4.22</x:v>
      </x:c>
      <x:c r="S789" t="n">
        <x:v>3.785</x:v>
      </x:c>
      <x:c r="T789" t="str">
        <x:v>NEW PHYSICAL COPY from Sokalsky7's Collection.pdf page 4. PriceCharting export = $3.35 per card; current TCGplayer market checked at about $4.22. Working range spans those two approved sources.</x:v>
      </x:c>
      <x:c r="U789" t="n">
        <x:v>996</x:v>
      </x:c>
      <x:c r="V789" t="str">
        <x:v>TCGplayer + PriceCharting (updated Collection.pdf), researched 2026-08-17</x:v>
      </x:c>
      <x:c r="W789" t="str">
        <x:v>https://www.tcgplayer.com/search/pokemon/product?q=Porygon+Z+74+Plasma+Blast</x:v>
      </x:c>
    </x:row>
    <x:row r="790">
      <x:c r="A790" t="n">
        <x:v>790</x:v>
      </x:c>
      <x:c r="B790" t="str">
        <x:v>PDF Import / Added Cards</x:v>
      </x:c>
      <x:c r="C790" t="str">
        <x:v>Dark Wartortle</x:v>
      </x:c>
      <x:c r="D790" t="str">
        <x:v>46/82</x:v>
      </x:c>
      <x:c r="E790" t="str">
        <x:v>Team Rocket</x:v>
      </x:c>
      <x:c r="F790" t="n">
        <x:v>2000</x:v>
      </x:c>
      <x:c r="G790" t="str">
        <x:v>Regular / default set printing</x:v>
      </x:c>
      <x:c r="H790" t="str">
        <x:v>1 of 1</x:v>
      </x:c>
      <x:c r="I790" t="n">
        <x:v>3.67</x:v>
      </x:c>
      <x:c r="J790" t="n">
        <x:v>13.14</x:v>
      </x:c>
      <x:c r="K790" t="n">
        <x:v>8.405000000000001</x:v>
      </x:c>
      <x:c r="L790" t="str">
        <x:v>$5–20</x:v>
      </x:c>
      <x:c r="M790" t="str">
        <x:v>Yes</x:v>
      </x:c>
      <x:c r="N790" t="str">
        <x:v>No</x:v>
      </x:c>
      <x:c r="O790" t="str">
        <x:v>Yes</x:v>
      </x:c>
      <x:c r="P790" t="str">
        <x:v>Condition not yet reviewed</x:v>
      </x:c>
      <x:c r="Q790" t="n">
        <x:v>3.67</x:v>
      </x:c>
      <x:c r="R790" t="n">
        <x:v>13.14</x:v>
      </x:c>
      <x:c r="S790" t="n">
        <x:v>8.405000000000001</x:v>
      </x:c>
      <x:c r="T790" t="str">
        <x:v>NEW PHYSICAL COPY from Sokalsky7's Collection.pdf page 4. PriceCharting export = $3.67 per card; current TCGplayer market checked at about $13.14. Working range spans those two approved sources.</x:v>
      </x:c>
      <x:c r="U790" t="n">
        <x:v>996</x:v>
      </x:c>
      <x:c r="V790" t="str">
        <x:v>TCGplayer + PriceCharting (updated Collection.pdf), researched 2026-08-17</x:v>
      </x:c>
      <x:c r="W790" t="str">
        <x:v>https://www.tcgplayer.com/search/pokemon/product?q=Dark+Wartortle+46+Team+Rocket</x:v>
      </x:c>
    </x:row>
    <x:row r="791">
      <x:c r="A791" t="n">
        <x:v>791</x:v>
      </x:c>
      <x:c r="B791" t="str">
        <x:v>PDF Import / Added Cards</x:v>
      </x:c>
      <x:c r="C791" t="str">
        <x:v>Grovyle</x:v>
      </x:c>
      <x:c r="D791" t="str">
        <x:v>7/116</x:v>
      </x:c>
      <x:c r="E791" t="str">
        <x:v>Plasma Freeze</x:v>
      </x:c>
      <x:c r="F791" t="n">
        <x:v>2013</x:v>
      </x:c>
      <x:c r="G791" t="str">
        <x:v>Reverse Holo</x:v>
      </x:c>
      <x:c r="H791" t="str">
        <x:v>1 of 1</x:v>
      </x:c>
      <x:c r="I791" t="n">
        <x:v>2.49</x:v>
      </x:c>
      <x:c r="J791" t="n">
        <x:v>2.49</x:v>
      </x:c>
      <x:c r="K791" t="n">
        <x:v>2.49</x:v>
      </x:c>
      <x:c r="L791" t="str">
        <x:v>$1–5</x:v>
      </x:c>
      <x:c r="M791" t="str">
        <x:v>Yes</x:v>
      </x:c>
      <x:c r="N791" t="str">
        <x:v>No</x:v>
      </x:c>
      <x:c r="O791" t="str">
        <x:v>Yes</x:v>
      </x:c>
      <x:c r="P791" t="str">
        <x:v>Condition not yet reviewed</x:v>
      </x:c>
      <x:c r="Q791" t="n">
        <x:v>2.49</x:v>
      </x:c>
      <x:c r="R791" t="n">
        <x:v>2.49</x:v>
      </x:c>
      <x:c r="S791" t="n">
        <x:v>2.49</x:v>
      </x:c>
      <x:c r="T791" t="str">
        <x:v>NEW PHYSICAL COPY from Sokalsky7's Collection.pdf page 4. Temporary raw benchmark = PriceCharting export allocation $2.49; exact TCGplayer market was not independently resolved in this add-pass.</x:v>
      </x:c>
      <x:c r="U791" t="n">
        <x:v>996</x:v>
      </x:c>
      <x:c r="V791" t="str">
        <x:v>PriceCharting updated Collection.pdf; TCGplayer exact reprice pending</x:v>
      </x:c>
      <x:c r="W791" t="str">
        <x:v>https://www.tcgplayer.com/search/pokemon/product?q=Grovyle+7+Plasma+Freeze</x:v>
      </x:c>
    </x:row>
    <x:row r="792">
      <x:c r="A792" t="n">
        <x:v>792</x:v>
      </x:c>
      <x:c r="B792" t="str">
        <x:v>PDF Import / Added Cards</x:v>
      </x:c>
      <x:c r="C792" t="str">
        <x:v>Servine</x:v>
      </x:c>
      <x:c r="D792" t="str">
        <x:v>4/114</x:v>
      </x:c>
      <x:c r="E792" t="str">
        <x:v>Black &amp; White</x:v>
      </x:c>
      <x:c r="F792" t="n">
        <x:v>2011</x:v>
      </x:c>
      <x:c r="G792" t="str">
        <x:v>Reverse Holo</x:v>
      </x:c>
      <x:c r="H792" t="str">
        <x:v>1 of 1</x:v>
      </x:c>
      <x:c r="I792" t="n">
        <x:v>2.67</x:v>
      </x:c>
      <x:c r="J792" t="n">
        <x:v>3.49</x:v>
      </x:c>
      <x:c r="K792" t="n">
        <x:v>3.08</x:v>
      </x:c>
      <x:c r="L792" t="str">
        <x:v>$1–5</x:v>
      </x:c>
      <x:c r="M792" t="str">
        <x:v>Yes</x:v>
      </x:c>
      <x:c r="N792" t="str">
        <x:v>No</x:v>
      </x:c>
      <x:c r="O792" t="str">
        <x:v>Yes</x:v>
      </x:c>
      <x:c r="P792" t="str">
        <x:v>Condition not yet reviewed</x:v>
      </x:c>
      <x:c r="Q792" t="n">
        <x:v>2.67</x:v>
      </x:c>
      <x:c r="R792" t="n">
        <x:v>3.49</x:v>
      </x:c>
      <x:c r="S792" t="n">
        <x:v>3.08</x:v>
      </x:c>
      <x:c r="T792" t="str">
        <x:v>NEW PHYSICAL COPY from Sokalsky7's Collection.pdf page 4. PriceCharting export = $3.49 per card; current TCGplayer market checked at about $2.67. Working range spans those two approved sources.</x:v>
      </x:c>
      <x:c r="U792" t="n">
        <x:v>996</x:v>
      </x:c>
      <x:c r="V792" t="str">
        <x:v>TCGplayer + PriceCharting (updated Collection.pdf), researched 2026-08-17</x:v>
      </x:c>
      <x:c r="W792" t="str">
        <x:v>https://www.tcgplayer.com/search/pokemon/product?q=Servine+4+Black+White</x:v>
      </x:c>
    </x:row>
    <x:row r="793">
      <x:c r="A793" t="n">
        <x:v>793</x:v>
      </x:c>
      <x:c r="B793" t="str">
        <x:v>PDF Import / Added Cards</x:v>
      </x:c>
      <x:c r="C793" t="str">
        <x:v>Vileplume</x:v>
      </x:c>
      <x:c r="D793" t="str">
        <x:v>45/146</x:v>
      </x:c>
      <x:c r="E793" t="str">
        <x:v>Legends Awakened</x:v>
      </x:c>
      <x:c r="F793" t="n">
        <x:v>2008</x:v>
      </x:c>
      <x:c r="G793" t="str">
        <x:v>Reverse Holo</x:v>
      </x:c>
      <x:c r="H793" t="str">
        <x:v>1 of 1</x:v>
      </x:c>
      <x:c r="I793" t="n">
        <x:v>3.8</x:v>
      </x:c>
      <x:c r="J793" t="n">
        <x:v>3.8</x:v>
      </x:c>
      <x:c r="K793" t="n">
        <x:v>3.8</x:v>
      </x:c>
      <x:c r="L793" t="str">
        <x:v>$1–5</x:v>
      </x:c>
      <x:c r="M793" t="str">
        <x:v>Yes</x:v>
      </x:c>
      <x:c r="N793" t="str">
        <x:v>No</x:v>
      </x:c>
      <x:c r="O793" t="str">
        <x:v>Yes</x:v>
      </x:c>
      <x:c r="P793" t="str">
        <x:v>Condition not yet reviewed</x:v>
      </x:c>
      <x:c r="Q793" t="n">
        <x:v>3.8</x:v>
      </x:c>
      <x:c r="R793" t="n">
        <x:v>3.8</x:v>
      </x:c>
      <x:c r="S793" t="n">
        <x:v>3.8</x:v>
      </x:c>
      <x:c r="T793" t="str">
        <x:v>NEW PHYSICAL COPY from Sokalsky7's Collection.pdf page 4. Temporary raw benchmark = PriceCharting export allocation $3.80; exact TCGplayer market was not independently resolved in this add-pass.</x:v>
      </x:c>
      <x:c r="U793" t="n">
        <x:v>996</x:v>
      </x:c>
      <x:c r="V793" t="str">
        <x:v>PriceCharting updated Collection.pdf; TCGplayer exact reprice pending</x:v>
      </x:c>
      <x:c r="W793" t="str">
        <x:v>https://www.tcgplayer.com/search/pokemon/product?q=Vileplume+45+Legends+Awakened</x:v>
      </x:c>
    </x:row>
    <x:row r="794">
      <x:c r="A794" t="n">
        <x:v>794</x:v>
      </x:c>
      <x:c r="B794" t="str">
        <x:v>PDF Import / Added Cards</x:v>
      </x:c>
      <x:c r="C794" t="str">
        <x:v>Serperior</x:v>
      </x:c>
      <x:c r="D794" t="str">
        <x:v>5/114</x:v>
      </x:c>
      <x:c r="E794" t="str">
        <x:v>Black &amp; White</x:v>
      </x:c>
      <x:c r="F794" t="n">
        <x:v>2011</x:v>
      </x:c>
      <x:c r="G794" t="str">
        <x:v>Reverse Holo</x:v>
      </x:c>
      <x:c r="H794" t="str">
        <x:v>1 of 1</x:v>
      </x:c>
      <x:c r="I794" t="n">
        <x:v>3.74</x:v>
      </x:c>
      <x:c r="J794" t="n">
        <x:v>5.47</x:v>
      </x:c>
      <x:c r="K794" t="n">
        <x:v>4.605</x:v>
      </x:c>
      <x:c r="L794" t="str">
        <x:v>$1–5</x:v>
      </x:c>
      <x:c r="M794" t="str">
        <x:v>Yes</x:v>
      </x:c>
      <x:c r="N794" t="str">
        <x:v>No</x:v>
      </x:c>
      <x:c r="O794" t="str">
        <x:v>Yes</x:v>
      </x:c>
      <x:c r="P794" t="str">
        <x:v>Condition not yet reviewed</x:v>
      </x:c>
      <x:c r="Q794" t="n">
        <x:v>3.74</x:v>
      </x:c>
      <x:c r="R794" t="n">
        <x:v>5.47</x:v>
      </x:c>
      <x:c r="S794" t="n">
        <x:v>4.605</x:v>
      </x:c>
      <x:c r="T794" t="str">
        <x:v>NEW PHYSICAL COPY from Sokalsky7's Collection.pdf page 4. PriceCharting export = $3.74 per card; current TCGplayer market checked at about $5.47. Working range spans those two approved sources.</x:v>
      </x:c>
      <x:c r="U794" t="n">
        <x:v>996</x:v>
      </x:c>
      <x:c r="V794" t="str">
        <x:v>TCGplayer + PriceCharting (updated Collection.pdf), researched 2026-08-17</x:v>
      </x:c>
      <x:c r="W794" t="str">
        <x:v>https://www.tcgplayer.com/search/pokemon/product?q=Serperior+5+Black+White</x:v>
      </x:c>
    </x:row>
    <x:row r="795">
      <x:c r="A795" t="n">
        <x:v>795</x:v>
      </x:c>
      <x:c r="B795" t="str">
        <x:v>PDF Import / Added Cards</x:v>
      </x:c>
      <x:c r="C795" t="str">
        <x:v>Servine</x:v>
      </x:c>
      <x:c r="D795" t="str">
        <x:v>3/114</x:v>
      </x:c>
      <x:c r="E795" t="str">
        <x:v>Black &amp; White</x:v>
      </x:c>
      <x:c r="F795" t="n">
        <x:v>2011</x:v>
      </x:c>
      <x:c r="G795" t="str">
        <x:v>Reverse Holo</x:v>
      </x:c>
      <x:c r="H795" t="str">
        <x:v>1 of 1</x:v>
      </x:c>
      <x:c r="I795" t="n">
        <x:v>2.45</x:v>
      </x:c>
      <x:c r="J795" t="n">
        <x:v>2.99</x:v>
      </x:c>
      <x:c r="K795" t="n">
        <x:v>2.72</x:v>
      </x:c>
      <x:c r="L795" t="str">
        <x:v>$1–5</x:v>
      </x:c>
      <x:c r="M795" t="str">
        <x:v>Yes</x:v>
      </x:c>
      <x:c r="N795" t="str">
        <x:v>No</x:v>
      </x:c>
      <x:c r="O795" t="str">
        <x:v>Yes</x:v>
      </x:c>
      <x:c r="P795" t="str">
        <x:v>Condition not yet reviewed</x:v>
      </x:c>
      <x:c r="Q795" t="n">
        <x:v>2.45</x:v>
      </x:c>
      <x:c r="R795" t="n">
        <x:v>2.99</x:v>
      </x:c>
      <x:c r="S795" t="n">
        <x:v>2.72</x:v>
      </x:c>
      <x:c r="T795" t="str">
        <x:v>NEW PHYSICAL COPY from Sokalsky7's Collection.pdf page 4. PriceCharting export = $2.99 per card; current TCGplayer market checked at about $2.45. Working range spans those two approved sources.</x:v>
      </x:c>
      <x:c r="U795" t="n">
        <x:v>996</x:v>
      </x:c>
      <x:c r="V795" t="str">
        <x:v>TCGplayer + PriceCharting (updated Collection.pdf), researched 2026-08-17</x:v>
      </x:c>
      <x:c r="W795" t="str">
        <x:v>https://www.tcgplayer.com/search/pokemon/product?q=Servine+3+Black+White</x:v>
      </x:c>
    </x:row>
    <x:row r="796">
      <x:c r="A796" t="n">
        <x:v>796</x:v>
      </x:c>
      <x:c r="B796" t="str">
        <x:v>PDF Import / Added Cards</x:v>
      </x:c>
      <x:c r="C796" t="str">
        <x:v>Keldeo</x:v>
      </x:c>
      <x:c r="D796" t="str">
        <x:v>47/149</x:v>
      </x:c>
      <x:c r="E796" t="str">
        <x:v>Boundaries Crossed</x:v>
      </x:c>
      <x:c r="F796" t="n">
        <x:v>2012</x:v>
      </x:c>
      <x:c r="G796" t="str">
        <x:v>Reverse Holo</x:v>
      </x:c>
      <x:c r="H796" t="str">
        <x:v>1 of 1</x:v>
      </x:c>
      <x:c r="I796" t="n">
        <x:v>3.82</x:v>
      </x:c>
      <x:c r="J796" t="n">
        <x:v>3.82</x:v>
      </x:c>
      <x:c r="K796" t="n">
        <x:v>3.82</x:v>
      </x:c>
      <x:c r="L796" t="str">
        <x:v>$1–5</x:v>
      </x:c>
      <x:c r="M796" t="str">
        <x:v>Yes</x:v>
      </x:c>
      <x:c r="N796" t="str">
        <x:v>No</x:v>
      </x:c>
      <x:c r="O796" t="str">
        <x:v>Yes</x:v>
      </x:c>
      <x:c r="P796" t="str">
        <x:v>Condition not yet reviewed</x:v>
      </x:c>
      <x:c r="Q796" t="n">
        <x:v>3.82</x:v>
      </x:c>
      <x:c r="R796" t="n">
        <x:v>3.82</x:v>
      </x:c>
      <x:c r="S796" t="n">
        <x:v>3.82</x:v>
      </x:c>
      <x:c r="T796" t="str">
        <x:v>NEW PHYSICAL COPY from Sokalsky7's Collection.pdf page 5. Temporary raw benchmark = PriceCharting export allocation $3.82; exact TCGplayer market was not independently resolved in this add-pass.</x:v>
      </x:c>
      <x:c r="U796" t="n">
        <x:v>996</x:v>
      </x:c>
      <x:c r="V796" t="str">
        <x:v>PriceCharting updated Collection.pdf; TCGplayer exact reprice pending</x:v>
      </x:c>
      <x:c r="W796" t="str">
        <x:v>https://www.tcgplayer.com/search/pokemon/product?q=Keldeo+47+Boundaries+Crossed</x:v>
      </x:c>
    </x:row>
    <x:row r="797">
      <x:c r="A797" t="n">
        <x:v>797</x:v>
      </x:c>
      <x:c r="B797" t="str">
        <x:v>PDF Import / Added Cards</x:v>
      </x:c>
      <x:c r="C797" t="str">
        <x:v>Regigigas</x:v>
      </x:c>
      <x:c r="D797" t="str">
        <x:v>37/146</x:v>
      </x:c>
      <x:c r="E797" t="str">
        <x:v>Legends Awakened</x:v>
      </x:c>
      <x:c r="F797" t="n">
        <x:v>2008</x:v>
      </x:c>
      <x:c r="G797" t="str">
        <x:v>Cosmos Holo</x:v>
      </x:c>
      <x:c r="H797" t="str">
        <x:v>1 of 1</x:v>
      </x:c>
      <x:c r="I797" t="n">
        <x:v>3.96</x:v>
      </x:c>
      <x:c r="J797" t="n">
        <x:v>3.96</x:v>
      </x:c>
      <x:c r="K797" t="n">
        <x:v>3.96</x:v>
      </x:c>
      <x:c r="L797" t="str">
        <x:v>$1–5</x:v>
      </x:c>
      <x:c r="M797" t="str">
        <x:v>Yes</x:v>
      </x:c>
      <x:c r="N797" t="str">
        <x:v>No</x:v>
      </x:c>
      <x:c r="O797" t="str">
        <x:v>Yes</x:v>
      </x:c>
      <x:c r="P797" t="str">
        <x:v>Condition not yet reviewed</x:v>
      </x:c>
      <x:c r="Q797" t="n">
        <x:v>3.96</x:v>
      </x:c>
      <x:c r="R797" t="n">
        <x:v>3.96</x:v>
      </x:c>
      <x:c r="S797" t="n">
        <x:v>3.96</x:v>
      </x:c>
      <x:c r="T797" t="str">
        <x:v>NEW PHYSICAL COPY from Sokalsky7's Collection.pdf page 5. Temporary raw benchmark = PriceCharting export allocation $3.96; exact TCGplayer market was not independently resolved in this add-pass.</x:v>
      </x:c>
      <x:c r="U797" t="n">
        <x:v>996</x:v>
      </x:c>
      <x:c r="V797" t="str">
        <x:v>PriceCharting updated Collection.pdf; TCGplayer exact reprice pending</x:v>
      </x:c>
      <x:c r="W797" t="str">
        <x:v>https://www.tcgplayer.com/search/pokemon/product?q=Regigigas+37+Legends+Awakened</x:v>
      </x:c>
    </x:row>
    <x:row r="798">
      <x:c r="A798" t="n">
        <x:v>798</x:v>
      </x:c>
      <x:c r="B798" t="str">
        <x:v>PDF Import / Added Cards</x:v>
      </x:c>
      <x:c r="C798" t="str">
        <x:v>Hydreigon</x:v>
      </x:c>
      <x:c r="D798" t="str">
        <x:v>78/116</x:v>
      </x:c>
      <x:c r="E798" t="str">
        <x:v>Plasma Freeze</x:v>
      </x:c>
      <x:c r="F798" t="n">
        <x:v>2013</x:v>
      </x:c>
      <x:c r="G798" t="str">
        <x:v>Holo Rare (Team Plasma)</x:v>
      </x:c>
      <x:c r="H798" t="str">
        <x:v>1 of 1</x:v>
      </x:c>
      <x:c r="I798" t="n">
        <x:v>7.31</x:v>
      </x:c>
      <x:c r="J798" t="n">
        <x:v>8.69</x:v>
      </x:c>
      <x:c r="K798" t="n">
        <x:v>8</x:v>
      </x:c>
      <x:c r="L798" t="str">
        <x:v>$5–20</x:v>
      </x:c>
      <x:c r="M798" t="str">
        <x:v>Yes</x:v>
      </x:c>
      <x:c r="N798" t="str">
        <x:v>No</x:v>
      </x:c>
      <x:c r="O798" t="str">
        <x:v>Yes</x:v>
      </x:c>
      <x:c r="P798" t="str">
        <x:v>Condition not yet reviewed</x:v>
      </x:c>
      <x:c r="Q798" t="n">
        <x:v>7.31</x:v>
      </x:c>
      <x:c r="R798" t="n">
        <x:v>8.69</x:v>
      </x:c>
      <x:c r="S798" t="n">
        <x:v>8</x:v>
      </x:c>
      <x:c r="T798" t="str">
        <x:v>NEW PHYSICAL COPY from Sokalsky7's Collection.pdf page 5. PriceCharting export = $8.69 per card; current TCGplayer market checked at about $7.31. Working range spans those two approved sources.</x:v>
      </x:c>
      <x:c r="U798" t="n">
        <x:v>996</x:v>
      </x:c>
      <x:c r="V798" t="str">
        <x:v>TCGplayer + PriceCharting (updated Collection.pdf), researched 2026-08-17</x:v>
      </x:c>
      <x:c r="W798" t="str">
        <x:v>https://www.tcgplayer.com/search/pokemon/product?q=Hydreigon+78+Plasma+Freeze</x:v>
      </x:c>
    </x:row>
    <x:row r="799">
      <x:c r="A799" t="n">
        <x:v>799</x:v>
      </x:c>
      <x:c r="B799" t="str">
        <x:v>PDF Import / Added Cards</x:v>
      </x:c>
      <x:c r="C799" t="str">
        <x:v>Articuno</x:v>
      </x:c>
      <x:c r="D799" t="str">
        <x:v>27/99</x:v>
      </x:c>
      <x:c r="E799" t="str">
        <x:v>Next Destinies</x:v>
      </x:c>
      <x:c r="F799" t="n">
        <x:v>2012</x:v>
      </x:c>
      <x:c r="G799" t="str">
        <x:v>Reverse Holo</x:v>
      </x:c>
      <x:c r="H799" t="str">
        <x:v>1 of 1</x:v>
      </x:c>
      <x:c r="I799" t="n">
        <x:v>8.12</x:v>
      </x:c>
      <x:c r="J799" t="n">
        <x:v>8.12</x:v>
      </x:c>
      <x:c r="K799" t="n">
        <x:v>8.12</x:v>
      </x:c>
      <x:c r="L799" t="str">
        <x:v>$5–20</x:v>
      </x:c>
      <x:c r="M799" t="str">
        <x:v>Yes</x:v>
      </x:c>
      <x:c r="N799" t="str">
        <x:v>No</x:v>
      </x:c>
      <x:c r="O799" t="str">
        <x:v>Yes</x:v>
      </x:c>
      <x:c r="P799" t="str">
        <x:v>Condition not yet reviewed</x:v>
      </x:c>
      <x:c r="Q799" t="n">
        <x:v>8.12</x:v>
      </x:c>
      <x:c r="R799" t="n">
        <x:v>8.12</x:v>
      </x:c>
      <x:c r="S799" t="n">
        <x:v>8.12</x:v>
      </x:c>
      <x:c r="T799" t="str">
        <x:v>NEW PHYSICAL COPY from Sokalsky7's Collection.pdf page 5. Temporary raw benchmark = PriceCharting export allocation $8.12; exact TCGplayer market was not independently resolved in this add-pass.</x:v>
      </x:c>
      <x:c r="U799" t="n">
        <x:v>996</x:v>
      </x:c>
      <x:c r="V799" t="str">
        <x:v>PriceCharting updated Collection.pdf; TCGplayer exact reprice pending</x:v>
      </x:c>
      <x:c r="W799" t="str">
        <x:v>https://www.tcgplayer.com/search/pokemon/product?q=Articuno+27+Next+Destinies</x:v>
      </x:c>
    </x:row>
    <x:row r="800">
      <x:c r="A800" t="n">
        <x:v>800</x:v>
      </x:c>
      <x:c r="B800" t="str">
        <x:v>PDF Import / Added Cards</x:v>
      </x:c>
      <x:c r="C800" t="str">
        <x:v>Beartic</x:v>
      </x:c>
      <x:c r="D800" t="str">
        <x:v>30/98</x:v>
      </x:c>
      <x:c r="E800" t="str">
        <x:v>Emerging Powers</x:v>
      </x:c>
      <x:c r="F800" t="n">
        <x:v>2011</x:v>
      </x:c>
      <x:c r="G800" t="str">
        <x:v>Reverse Holo</x:v>
      </x:c>
      <x:c r="H800" t="str">
        <x:v>1 of 1</x:v>
      </x:c>
      <x:c r="I800" t="n">
        <x:v>2.01</x:v>
      </x:c>
      <x:c r="J800" t="n">
        <x:v>2.01</x:v>
      </x:c>
      <x:c r="K800" t="n">
        <x:v>2.01</x:v>
      </x:c>
      <x:c r="L800" t="str">
        <x:v>$1–5</x:v>
      </x:c>
      <x:c r="M800" t="str">
        <x:v>Yes</x:v>
      </x:c>
      <x:c r="N800" t="str">
        <x:v>No</x:v>
      </x:c>
      <x:c r="O800" t="str">
        <x:v>Yes</x:v>
      </x:c>
      <x:c r="P800" t="str">
        <x:v>Condition not yet reviewed</x:v>
      </x:c>
      <x:c r="Q800" t="n">
        <x:v>2.01</x:v>
      </x:c>
      <x:c r="R800" t="n">
        <x:v>2.01</x:v>
      </x:c>
      <x:c r="S800" t="n">
        <x:v>2.01</x:v>
      </x:c>
      <x:c r="T800" t="str">
        <x:v>NEW PHYSICAL COPY from Sokalsky7's Collection.pdf page 5. Temporary raw benchmark = PriceCharting export allocation $2.01; exact TCGplayer market was not independently resolved in this add-pass.</x:v>
      </x:c>
      <x:c r="U800" t="n">
        <x:v>996</x:v>
      </x:c>
      <x:c r="V800" t="str">
        <x:v>PriceCharting updated Collection.pdf; TCGplayer exact reprice pending</x:v>
      </x:c>
      <x:c r="W800" t="str">
        <x:v>https://www.tcgplayer.com/search/pokemon/product?q=Beartic+30+Emerging+Powers</x:v>
      </x:c>
    </x:row>
    <x:row r="801">
      <x:c r="A801" t="n">
        <x:v>801</x:v>
      </x:c>
      <x:c r="B801" t="str">
        <x:v>PDF Import / Added Cards</x:v>
      </x:c>
      <x:c r="C801" t="str">
        <x:v>Beartic</x:v>
      </x:c>
      <x:c r="D801" t="str">
        <x:v>30/98</x:v>
      </x:c>
      <x:c r="E801" t="str">
        <x:v>Emerging Powers</x:v>
      </x:c>
      <x:c r="F801" t="n">
        <x:v>2011</x:v>
      </x:c>
      <x:c r="G801" t="str">
        <x:v>Cracked Ice Holo</x:v>
      </x:c>
      <x:c r="H801" t="str">
        <x:v>1 of 1</x:v>
      </x:c>
      <x:c r="I801" t="n">
        <x:v>5.24</x:v>
      </x:c>
      <x:c r="J801" t="n">
        <x:v>5.24</x:v>
      </x:c>
      <x:c r="K801" t="n">
        <x:v>5.24</x:v>
      </x:c>
      <x:c r="L801" t="str">
        <x:v>$5–20</x:v>
      </x:c>
      <x:c r="M801" t="str">
        <x:v>Yes</x:v>
      </x:c>
      <x:c r="N801" t="str">
        <x:v>No</x:v>
      </x:c>
      <x:c r="O801" t="str">
        <x:v>Yes</x:v>
      </x:c>
      <x:c r="P801" t="str">
        <x:v>Condition not yet reviewed</x:v>
      </x:c>
      <x:c r="Q801" t="n">
        <x:v>5.24</x:v>
      </x:c>
      <x:c r="R801" t="n">
        <x:v>5.24</x:v>
      </x:c>
      <x:c r="S801" t="n">
        <x:v>5.24</x:v>
      </x:c>
      <x:c r="T801" t="str">
        <x:v>NEW PHYSICAL COPY from Sokalsky7's Collection.pdf page 5. Temporary raw benchmark = PriceCharting export allocation $5.24; exact TCGplayer market was not independently resolved in this add-pass.</x:v>
      </x:c>
      <x:c r="U801" t="n">
        <x:v>996</x:v>
      </x:c>
      <x:c r="V801" t="str">
        <x:v>PriceCharting updated Collection.pdf; TCGplayer exact reprice pending</x:v>
      </x:c>
      <x:c r="W801" t="str">
        <x:v>https://www.tcgplayer.com/search/pokemon/product?q=Beartic+30+Emerging+Powers</x:v>
      </x:c>
    </x:row>
    <x:row r="802">
      <x:c r="A802" t="n">
        <x:v>802</x:v>
      </x:c>
      <x:c r="B802" t="str">
        <x:v>PDF Import / Added Cards</x:v>
      </x:c>
      <x:c r="C802" t="str">
        <x:v>Kyurem</x:v>
      </x:c>
      <x:c r="D802" t="str">
        <x:v>BW44</x:v>
      </x:c>
      <x:c r="E802" t="str">
        <x:v>Black &amp; White Promos</x:v>
      </x:c>
      <x:c r="F802"/>
      <x:c r="G802" t="str">
        <x:v>Holo Promo</x:v>
      </x:c>
      <x:c r="H802" t="str">
        <x:v>1 of 1</x:v>
      </x:c>
      <x:c r="I802" t="n">
        <x:v>6.58</x:v>
      </x:c>
      <x:c r="J802" t="n">
        <x:v>6.58</x:v>
      </x:c>
      <x:c r="K802" t="n">
        <x:v>6.58</x:v>
      </x:c>
      <x:c r="L802" t="str">
        <x:v>$5–20</x:v>
      </x:c>
      <x:c r="M802" t="str">
        <x:v>Yes</x:v>
      </x:c>
      <x:c r="N802" t="str">
        <x:v>No</x:v>
      </x:c>
      <x:c r="O802" t="str">
        <x:v>Yes</x:v>
      </x:c>
      <x:c r="P802" t="str">
        <x:v>Condition not yet reviewed</x:v>
      </x:c>
      <x:c r="Q802" t="n">
        <x:v>6.58</x:v>
      </x:c>
      <x:c r="R802" t="n">
        <x:v>6.58</x:v>
      </x:c>
      <x:c r="S802" t="n">
        <x:v>6.58</x:v>
      </x:c>
      <x:c r="T802" t="str">
        <x:v>NEW PHYSICAL COPY from Sokalsky7's Collection.pdf page 6. Temporary raw benchmark = PriceCharting export allocation $6.58; exact TCGplayer market was not independently resolved in this add-pass.</x:v>
      </x:c>
      <x:c r="U802" t="n">
        <x:v>996</x:v>
      </x:c>
      <x:c r="V802" t="str">
        <x:v>PriceCharting updated Collection.pdf; TCGplayer exact reprice pending</x:v>
      </x:c>
      <x:c r="W802" t="str">
        <x:v>https://www.tcgplayer.com/search/pokemon/product?q=Kyurem+BW44+Promo</x:v>
      </x:c>
    </x:row>
    <x:row r="803">
      <x:c r="A803" t="n">
        <x:v>803</x:v>
      </x:c>
      <x:c r="B803" t="str">
        <x:v>PDF Import / Added Cards</x:v>
      </x:c>
      <x:c r="C803" t="str">
        <x:v>Samurott</x:v>
      </x:c>
      <x:c r="D803" t="str">
        <x:v>41/149</x:v>
      </x:c>
      <x:c r="E803" t="str">
        <x:v>Boundaries Crossed</x:v>
      </x:c>
      <x:c r="F803" t="n">
        <x:v>2012</x:v>
      </x:c>
      <x:c r="G803" t="str">
        <x:v>Non-Holo Deck Exclusive</x:v>
      </x:c>
      <x:c r="H803" t="str">
        <x:v>1 of 1</x:v>
      </x:c>
      <x:c r="I803" t="n">
        <x:v>1.02</x:v>
      </x:c>
      <x:c r="J803" t="n">
        <x:v>1.02</x:v>
      </x:c>
      <x:c r="K803" t="n">
        <x:v>1.02</x:v>
      </x:c>
      <x:c r="L803" t="str">
        <x:v>$1–5</x:v>
      </x:c>
      <x:c r="M803" t="str">
        <x:v>Yes</x:v>
      </x:c>
      <x:c r="N803" t="str">
        <x:v>No</x:v>
      </x:c>
      <x:c r="O803" t="str">
        <x:v>Yes</x:v>
      </x:c>
      <x:c r="P803" t="str">
        <x:v>Condition not yet reviewed</x:v>
      </x:c>
      <x:c r="Q803" t="n">
        <x:v>1.02</x:v>
      </x:c>
      <x:c r="R803" t="n">
        <x:v>1.02</x:v>
      </x:c>
      <x:c r="S803" t="n">
        <x:v>1.02</x:v>
      </x:c>
      <x:c r="T803" t="str">
        <x:v>NEW PHYSICAL COPY from Sokalsky7's Collection.pdf page 6. Temporary raw benchmark = PriceCharting export allocation $1.02; exact TCGplayer market was not independently resolved in this add-pass.</x:v>
      </x:c>
      <x:c r="U803" t="n">
        <x:v>996</x:v>
      </x:c>
      <x:c r="V803" t="str">
        <x:v>PriceCharting updated Collection.pdf; TCGplayer exact reprice pending</x:v>
      </x:c>
      <x:c r="W803" t="str">
        <x:v>https://www.tcgplayer.com/search/pokemon/product?q=Samurott+41+Boundaries+Crossed</x:v>
      </x:c>
    </x:row>
    <x:row r="804">
      <x:c r="A804" t="n">
        <x:v>804</x:v>
      </x:c>
      <x:c r="B804" t="str">
        <x:v>PDF Import / Added Cards</x:v>
      </x:c>
      <x:c r="C804" t="str">
        <x:v>Misty's Seel</x:v>
      </x:c>
      <x:c r="D804" t="str">
        <x:v>88/132</x:v>
      </x:c>
      <x:c r="E804" t="str">
        <x:v>Gym Heroes</x:v>
      </x:c>
      <x:c r="F804" t="n">
        <x:v>2000</x:v>
      </x:c>
      <x:c r="G804" t="str">
        <x:v>Regular / default set printing</x:v>
      </x:c>
      <x:c r="H804" t="str">
        <x:v>1 of 1</x:v>
      </x:c>
      <x:c r="I804" t="n">
        <x:v>1.67</x:v>
      </x:c>
      <x:c r="J804" t="n">
        <x:v>3.22</x:v>
      </x:c>
      <x:c r="K804" t="n">
        <x:v>2.4450000000000003</x:v>
      </x:c>
      <x:c r="L804" t="str">
        <x:v>$1–5</x:v>
      </x:c>
      <x:c r="M804" t="str">
        <x:v>Yes</x:v>
      </x:c>
      <x:c r="N804" t="str">
        <x:v>No</x:v>
      </x:c>
      <x:c r="O804" t="str">
        <x:v>Yes</x:v>
      </x:c>
      <x:c r="P804" t="str">
        <x:v>Condition not yet reviewed</x:v>
      </x:c>
      <x:c r="Q804" t="n">
        <x:v>1.67</x:v>
      </x:c>
      <x:c r="R804" t="n">
        <x:v>3.22</x:v>
      </x:c>
      <x:c r="S804" t="n">
        <x:v>2.4450000000000003</x:v>
      </x:c>
      <x:c r="T804" t="str">
        <x:v>NEW PHYSICAL COPY from Sokalsky7's Collection.pdf page 6. PriceCharting export = $1.67 per card; current TCGplayer market checked at about $3.22. Working range spans those two approved sources.</x:v>
      </x:c>
      <x:c r="U804" t="n">
        <x:v>996</x:v>
      </x:c>
      <x:c r="V804" t="str">
        <x:v>TCGplayer + PriceCharting (updated Collection.pdf), researched 2026-08-17</x:v>
      </x:c>
      <x:c r="W804" t="str">
        <x:v>https://www.tcgplayer.com/search/pokemon/product?q=Misty+s+Seel+88+Gym+Heroes</x:v>
      </x:c>
    </x:row>
    <x:row r="805">
      <x:c r="A805" t="n">
        <x:v>805</x:v>
      </x:c>
      <x:c r="B805" t="str">
        <x:v>PDF Import / Added Cards</x:v>
      </x:c>
      <x:c r="C805" t="str">
        <x:v>Mudkip</x:v>
      </x:c>
      <x:c r="D805" t="str">
        <x:v>116/147</x:v>
      </x:c>
      <x:c r="E805" t="str">
        <x:v>Supreme Victors</x:v>
      </x:c>
      <x:c r="F805" t="n">
        <x:v>2009</x:v>
      </x:c>
      <x:c r="G805" t="str">
        <x:v>Regular / default set printing</x:v>
      </x:c>
      <x:c r="H805" t="str">
        <x:v>1 of 1</x:v>
      </x:c>
      <x:c r="I805" t="n">
        <x:v>2.68</x:v>
      </x:c>
      <x:c r="J805" t="n">
        <x:v>2.99</x:v>
      </x:c>
      <x:c r="K805" t="n">
        <x:v>2.835</x:v>
      </x:c>
      <x:c r="L805" t="str">
        <x:v>$1–5</x:v>
      </x:c>
      <x:c r="M805" t="str">
        <x:v>Yes</x:v>
      </x:c>
      <x:c r="N805" t="str">
        <x:v>No</x:v>
      </x:c>
      <x:c r="O805" t="str">
        <x:v>Yes</x:v>
      </x:c>
      <x:c r="P805" t="str">
        <x:v>Condition not yet reviewed</x:v>
      </x:c>
      <x:c r="Q805" t="n">
        <x:v>2.68</x:v>
      </x:c>
      <x:c r="R805" t="n">
        <x:v>2.99</x:v>
      </x:c>
      <x:c r="S805" t="n">
        <x:v>2.835</x:v>
      </x:c>
      <x:c r="T805" t="str">
        <x:v>NEW PHYSICAL COPY from Sokalsky7's Collection.pdf page 6. PriceCharting export = $2.68 per card; current TCGplayer market checked at about $2.99. Working range spans those two approved sources.</x:v>
      </x:c>
      <x:c r="U805" t="n">
        <x:v>996</x:v>
      </x:c>
      <x:c r="V805" t="str">
        <x:v>TCGplayer + PriceCharting (updated Collection.pdf), researched 2026-08-17</x:v>
      </x:c>
      <x:c r="W805" t="str">
        <x:v>https://www.tcgplayer.com/search/pokemon/product?q=Mudkip+116+Supreme+Victors</x:v>
      </x:c>
    </x:row>
    <x:row r="806">
      <x:c r="A806" t="n">
        <x:v>806</x:v>
      </x:c>
      <x:c r="B806" t="str">
        <x:v>PDF Import / Added Cards</x:v>
      </x:c>
      <x:c r="C806" t="str">
        <x:v>Wooper</x:v>
      </x:c>
      <x:c r="D806" t="str">
        <x:v>71/75</x:v>
      </x:c>
      <x:c r="E806" t="str">
        <x:v>Neo Discovery</x:v>
      </x:c>
      <x:c r="F806" t="n">
        <x:v>2001</x:v>
      </x:c>
      <x:c r="G806" t="str">
        <x:v>Regular / default set printing</x:v>
      </x:c>
      <x:c r="H806" t="str">
        <x:v>1 of 1</x:v>
      </x:c>
      <x:c r="I806" t="n">
        <x:v>2.08</x:v>
      </x:c>
      <x:c r="J806" t="n">
        <x:v>2.08</x:v>
      </x:c>
      <x:c r="K806" t="n">
        <x:v>2.08</x:v>
      </x:c>
      <x:c r="L806" t="str">
        <x:v>$1–5</x:v>
      </x:c>
      <x:c r="M806" t="str">
        <x:v>Yes</x:v>
      </x:c>
      <x:c r="N806" t="str">
        <x:v>No</x:v>
      </x:c>
      <x:c r="O806" t="str">
        <x:v>Yes</x:v>
      </x:c>
      <x:c r="P806" t="str">
        <x:v>Condition not yet reviewed</x:v>
      </x:c>
      <x:c r="Q806" t="n">
        <x:v>2.08</x:v>
      </x:c>
      <x:c r="R806" t="n">
        <x:v>2.08</x:v>
      </x:c>
      <x:c r="S806" t="n">
        <x:v>2.08</x:v>
      </x:c>
      <x:c r="T806" t="str">
        <x:v>NEW PHYSICAL COPY from Sokalsky7's Collection.pdf page 6. Temporary raw benchmark = PriceCharting export allocation $2.08; exact TCGplayer market was not independently resolved in this add-pass.</x:v>
      </x:c>
      <x:c r="U806" t="n">
        <x:v>996</x:v>
      </x:c>
      <x:c r="V806" t="str">
        <x:v>PriceCharting updated Collection.pdf; TCGplayer exact reprice pending</x:v>
      </x:c>
      <x:c r="W806" t="str">
        <x:v>https://www.tcgplayer.com/search/pokemon/product?q=Wooper+71+Neo+Discovery</x:v>
      </x:c>
    </x:row>
    <x:row r="807">
      <x:c r="A807" t="n">
        <x:v>807</x:v>
      </x:c>
      <x:c r="B807" t="str">
        <x:v>PDF Import / Added Cards</x:v>
      </x:c>
      <x:c r="C807" t="str">
        <x:v>Marshtomp</x:v>
      </x:c>
      <x:c r="D807" t="str">
        <x:v>67/147</x:v>
      </x:c>
      <x:c r="E807" t="str">
        <x:v>Supreme Victors</x:v>
      </x:c>
      <x:c r="F807" t="n">
        <x:v>2009</x:v>
      </x:c>
      <x:c r="G807" t="str">
        <x:v>Regular / default set printing</x:v>
      </x:c>
      <x:c r="H807" t="str">
        <x:v>1 of 2</x:v>
      </x:c>
      <x:c r="I807" t="n">
        <x:v>2.2</x:v>
      </x:c>
      <x:c r="J807" t="n">
        <x:v>2.78</x:v>
      </x:c>
      <x:c r="K807" t="n">
        <x:v>2.49</x:v>
      </x:c>
      <x:c r="L807" t="str">
        <x:v>$1–5</x:v>
      </x:c>
      <x:c r="M807" t="str">
        <x:v>Yes</x:v>
      </x:c>
      <x:c r="N807" t="str">
        <x:v>No</x:v>
      </x:c>
      <x:c r="O807" t="str">
        <x:v>Yes</x:v>
      </x:c>
      <x:c r="P807" t="str">
        <x:v>Condition not yet reviewed</x:v>
      </x:c>
      <x:c r="Q807" t="n">
        <x:v>2.2</x:v>
      </x:c>
      <x:c r="R807" t="n">
        <x:v>2.78</x:v>
      </x:c>
      <x:c r="S807" t="n">
        <x:v>2.49</x:v>
      </x:c>
      <x:c r="T807" t="str">
        <x:v>NEW PHYSICAL COPY from Sokalsky7's Collection.pdf page 7. PriceCharting export = $2.78 per card; current TCGplayer market checked at about $2.20. Working range spans those two approved sources.</x:v>
      </x:c>
      <x:c r="U807" t="n">
        <x:v>996</x:v>
      </x:c>
      <x:c r="V807" t="str">
        <x:v>TCGplayer + PriceCharting (updated Collection.pdf), researched 2026-08-17</x:v>
      </x:c>
      <x:c r="W807" t="str">
        <x:v>https://www.tcgplayer.com/search/pokemon/product?q=Marshtomp+67+Supreme+Victors</x:v>
      </x:c>
    </x:row>
    <x:row r="808">
      <x:c r="A808" t="n">
        <x:v>808</x:v>
      </x:c>
      <x:c r="B808" t="str">
        <x:v>PDF Import / Added Cards</x:v>
      </x:c>
      <x:c r="C808" t="str">
        <x:v>Tentacruel</x:v>
      </x:c>
      <x:c r="D808" t="str">
        <x:v>75/146</x:v>
      </x:c>
      <x:c r="E808" t="str">
        <x:v>Legends Awakened</x:v>
      </x:c>
      <x:c r="F808" t="n">
        <x:v>2008</x:v>
      </x:c>
      <x:c r="G808" t="str">
        <x:v>Regular / default set printing</x:v>
      </x:c>
      <x:c r="H808" t="str">
        <x:v>1 of 2</x:v>
      </x:c>
      <x:c r="I808" t="n">
        <x:v>1</x:v>
      </x:c>
      <x:c r="J808" t="n">
        <x:v>1</x:v>
      </x:c>
      <x:c r="K808" t="n">
        <x:v>1</x:v>
      </x:c>
      <x:c r="L808" t="str">
        <x:v>$1–5</x:v>
      </x:c>
      <x:c r="M808" t="str">
        <x:v>Yes</x:v>
      </x:c>
      <x:c r="N808" t="str">
        <x:v>No</x:v>
      </x:c>
      <x:c r="O808" t="str">
        <x:v>Yes</x:v>
      </x:c>
      <x:c r="P808" t="str">
        <x:v>Condition not yet reviewed</x:v>
      </x:c>
      <x:c r="Q808" t="n">
        <x:v>1</x:v>
      </x:c>
      <x:c r="R808" t="n">
        <x:v>1</x:v>
      </x:c>
      <x:c r="S808" t="n">
        <x:v>1</x:v>
      </x:c>
      <x:c r="T808" t="str">
        <x:v>NEW PHYSICAL COPY from Sokalsky7's Collection.pdf page 7. Temporary raw benchmark = PriceCharting export allocation $1.00; exact TCGplayer market was not independently resolved in this add-pass.</x:v>
      </x:c>
      <x:c r="U808" t="n">
        <x:v>996</x:v>
      </x:c>
      <x:c r="V808" t="str">
        <x:v>PriceCharting updated Collection.pdf; TCGplayer exact reprice pending</x:v>
      </x:c>
      <x:c r="W808" t="str">
        <x:v>https://www.tcgplayer.com/search/pokemon/product?q=Tentacruel+75+Legends+Awakened</x:v>
      </x:c>
    </x:row>
    <x:row r="809">
      <x:c r="A809" t="n">
        <x:v>809</x:v>
      </x:c>
      <x:c r="B809" t="str">
        <x:v>PDF Import / Added Cards</x:v>
      </x:c>
      <x:c r="C809" t="str">
        <x:v>Floatzel</x:v>
      </x:c>
      <x:c r="D809" t="str">
        <x:v>37/106</x:v>
      </x:c>
      <x:c r="E809" t="str">
        <x:v>Great Encounters</x:v>
      </x:c>
      <x:c r="F809" t="n">
        <x:v>2008</x:v>
      </x:c>
      <x:c r="G809" t="str">
        <x:v>Regular / default set printing</x:v>
      </x:c>
      <x:c r="H809" t="str">
        <x:v>1 of 1</x:v>
      </x:c>
      <x:c r="I809" t="n">
        <x:v>0.69</x:v>
      </x:c>
      <x:c r="J809" t="n">
        <x:v>1.69</x:v>
      </x:c>
      <x:c r="K809" t="n">
        <x:v>1.19</x:v>
      </x:c>
      <x:c r="L809" t="str">
        <x:v>$1–5</x:v>
      </x:c>
      <x:c r="M809" t="str">
        <x:v>Yes</x:v>
      </x:c>
      <x:c r="N809" t="str">
        <x:v>No</x:v>
      </x:c>
      <x:c r="O809" t="str">
        <x:v>Yes</x:v>
      </x:c>
      <x:c r="P809" t="str">
        <x:v>Condition not yet reviewed</x:v>
      </x:c>
      <x:c r="Q809" t="n">
        <x:v>0.69</x:v>
      </x:c>
      <x:c r="R809" t="n">
        <x:v>1.69</x:v>
      </x:c>
      <x:c r="S809" t="n">
        <x:v>1.19</x:v>
      </x:c>
      <x:c r="T809" t="str">
        <x:v>NEW PHYSICAL COPY from Sokalsky7's Collection.pdf page 7. PriceCharting export = $1.69 per card; current TCGplayer market checked at about $0.69. Working range spans those two approved sources.</x:v>
      </x:c>
      <x:c r="U809" t="n">
        <x:v>996</x:v>
      </x:c>
      <x:c r="V809" t="str">
        <x:v>TCGplayer + PriceCharting (updated Collection.pdf), researched 2026-08-17</x:v>
      </x:c>
      <x:c r="W809" t="str">
        <x:v>https://www.tcgplayer.com/search/pokemon/product?q=Floatzel+37+Great+Encounters</x:v>
      </x:c>
    </x:row>
    <x:row r="810">
      <x:c r="A810" t="n">
        <x:v>810</x:v>
      </x:c>
      <x:c r="B810" t="str">
        <x:v>PDF Import / Added Cards</x:v>
      </x:c>
      <x:c r="C810" t="str">
        <x:v>Slowbro</x:v>
      </x:c>
      <x:c r="D810" t="str">
        <x:v>54/106</x:v>
      </x:c>
      <x:c r="E810" t="str">
        <x:v>Great Encounters</x:v>
      </x:c>
      <x:c r="F810" t="n">
        <x:v>2008</x:v>
      </x:c>
      <x:c r="G810" t="str">
        <x:v>Regular / default set printing</x:v>
      </x:c>
      <x:c r="H810" t="str">
        <x:v>1 of 1</x:v>
      </x:c>
      <x:c r="I810" t="n">
        <x:v>2.63</x:v>
      </x:c>
      <x:c r="J810" t="n">
        <x:v>3.62</x:v>
      </x:c>
      <x:c r="K810" t="n">
        <x:v>3.125</x:v>
      </x:c>
      <x:c r="L810" t="str">
        <x:v>$1–5</x:v>
      </x:c>
      <x:c r="M810" t="str">
        <x:v>Yes</x:v>
      </x:c>
      <x:c r="N810" t="str">
        <x:v>No</x:v>
      </x:c>
      <x:c r="O810" t="str">
        <x:v>Yes</x:v>
      </x:c>
      <x:c r="P810" t="str">
        <x:v>Condition not yet reviewed</x:v>
      </x:c>
      <x:c r="Q810" t="n">
        <x:v>2.63</x:v>
      </x:c>
      <x:c r="R810" t="n">
        <x:v>3.62</x:v>
      </x:c>
      <x:c r="S810" t="n">
        <x:v>3.125</x:v>
      </x:c>
      <x:c r="T810" t="str">
        <x:v>NEW PHYSICAL COPY from Sokalsky7's Collection.pdf page 7. PriceCharting export = $3.62 per card; current TCGplayer market checked at about $2.63. Working range spans those two approved sources.</x:v>
      </x:c>
      <x:c r="U810" t="n">
        <x:v>996</x:v>
      </x:c>
      <x:c r="V810" t="str">
        <x:v>TCGplayer + PriceCharting (updated Collection.pdf), researched 2026-08-17</x:v>
      </x:c>
      <x:c r="W810" t="str">
        <x:v>https://www.tcgplayer.com/search/pokemon/product?q=Slowbro+54+Great+Encounters</x:v>
      </x:c>
    </x:row>
    <x:row r="811">
      <x:c r="A811" t="n">
        <x:v>811</x:v>
      </x:c>
      <x:c r="B811" t="str">
        <x:v>PDF Import / Added Cards</x:v>
      </x:c>
      <x:c r="C811" t="str">
        <x:v>Slowbro</x:v>
      </x:c>
      <x:c r="D811" t="str">
        <x:v>52/123</x:v>
      </x:c>
      <x:c r="E811" t="str">
        <x:v>HeartGold &amp; SoulSilver</x:v>
      </x:c>
      <x:c r="F811" t="n">
        <x:v>2010</x:v>
      </x:c>
      <x:c r="G811" t="str">
        <x:v>Regular / default set printing</x:v>
      </x:c>
      <x:c r="H811" t="str">
        <x:v>1 of 1</x:v>
      </x:c>
      <x:c r="I811" t="n">
        <x:v>2.39</x:v>
      </x:c>
      <x:c r="J811" t="n">
        <x:v>2.39</x:v>
      </x:c>
      <x:c r="K811" t="n">
        <x:v>2.39</x:v>
      </x:c>
      <x:c r="L811" t="str">
        <x:v>$1–5</x:v>
      </x:c>
      <x:c r="M811" t="str">
        <x:v>Yes</x:v>
      </x:c>
      <x:c r="N811" t="str">
        <x:v>No</x:v>
      </x:c>
      <x:c r="O811" t="str">
        <x:v>Yes</x:v>
      </x:c>
      <x:c r="P811" t="str">
        <x:v>Condition not yet reviewed</x:v>
      </x:c>
      <x:c r="Q811" t="n">
        <x:v>2.39</x:v>
      </x:c>
      <x:c r="R811" t="n">
        <x:v>2.39</x:v>
      </x:c>
      <x:c r="S811" t="n">
        <x:v>2.39</x:v>
      </x:c>
      <x:c r="T811" t="str">
        <x:v>NEW PHYSICAL COPY from Sokalsky7's Collection.pdf page 7. Temporary raw benchmark = PriceCharting export allocation $2.39; exact TCGplayer market was not independently resolved in this add-pass.</x:v>
      </x:c>
      <x:c r="U811" t="n">
        <x:v>996</x:v>
      </x:c>
      <x:c r="V811" t="str">
        <x:v>PriceCharting updated Collection.pdf; TCGplayer exact reprice pending</x:v>
      </x:c>
      <x:c r="W811" t="str">
        <x:v>https://www.tcgplayer.com/search/pokemon/product?q=Slowbro+52+HeartGold+SoulSilver</x:v>
      </x:c>
    </x:row>
    <x:row r="812">
      <x:c r="A812" t="n">
        <x:v>812</x:v>
      </x:c>
      <x:c r="B812" t="str">
        <x:v>PDF Import / Added Cards</x:v>
      </x:c>
      <x:c r="C812" t="str">
        <x:v>Tentacruel</x:v>
      </x:c>
      <x:c r="D812" t="str">
        <x:v>75/146</x:v>
      </x:c>
      <x:c r="E812" t="str">
        <x:v>Legends Awakened</x:v>
      </x:c>
      <x:c r="F812" t="n">
        <x:v>2008</x:v>
      </x:c>
      <x:c r="G812" t="str">
        <x:v>Regular / default set printing</x:v>
      </x:c>
      <x:c r="H812" t="str">
        <x:v>2 of 2</x:v>
      </x:c>
      <x:c r="I812" t="n">
        <x:v>1</x:v>
      </x:c>
      <x:c r="J812" t="n">
        <x:v>1</x:v>
      </x:c>
      <x:c r="K812" t="n">
        <x:v>1</x:v>
      </x:c>
      <x:c r="L812" t="str">
        <x:v>$1–5</x:v>
      </x:c>
      <x:c r="M812" t="str">
        <x:v>Yes</x:v>
      </x:c>
      <x:c r="N812" t="str">
        <x:v>No</x:v>
      </x:c>
      <x:c r="O812" t="str">
        <x:v>Yes</x:v>
      </x:c>
      <x:c r="P812" t="str">
        <x:v>Condition not yet reviewed</x:v>
      </x:c>
      <x:c r="Q812" t="n">
        <x:v>1</x:v>
      </x:c>
      <x:c r="R812" t="n">
        <x:v>1</x:v>
      </x:c>
      <x:c r="S812" t="n">
        <x:v>1</x:v>
      </x:c>
      <x:c r="T812" t="str">
        <x:v>NEW PHYSICAL COPY from Sokalsky7's Collection.pdf page 7. Temporary raw benchmark = PriceCharting export allocation $1.00; exact TCGplayer market was not independently resolved in this add-pass.</x:v>
      </x:c>
      <x:c r="U812" t="n">
        <x:v>996</x:v>
      </x:c>
      <x:c r="V812" t="str">
        <x:v>PriceCharting updated Collection.pdf; TCGplayer exact reprice pending</x:v>
      </x:c>
      <x:c r="W812" t="str">
        <x:v>https://www.tcgplayer.com/search/pokemon/product?q=Tentacruel+75+Legends+Awakened</x:v>
      </x:c>
    </x:row>
    <x:row r="813">
      <x:c r="A813" t="n">
        <x:v>813</x:v>
      </x:c>
      <x:c r="B813" t="str">
        <x:v>PDF Import / Added Cards</x:v>
      </x:c>
      <x:c r="C813" t="str">
        <x:v>Starmie</x:v>
      </x:c>
      <x:c r="D813" t="str">
        <x:v>50/111</x:v>
      </x:c>
      <x:c r="E813" t="str">
        <x:v>Rising Rivals</x:v>
      </x:c>
      <x:c r="F813" t="n">
        <x:v>2009</x:v>
      </x:c>
      <x:c r="G813" t="str">
        <x:v>Regular / default set printing</x:v>
      </x:c>
      <x:c r="H813" t="str">
        <x:v>1 of 1</x:v>
      </x:c>
      <x:c r="I813" t="n">
        <x:v>0.99</x:v>
      </x:c>
      <x:c r="J813" t="n">
        <x:v>0.99</x:v>
      </x:c>
      <x:c r="K813" t="n">
        <x:v>0.99</x:v>
      </x:c>
      <x:c r="L813" t="str">
        <x:v>&lt;$1</x:v>
      </x:c>
      <x:c r="M813" t="str">
        <x:v>No</x:v>
      </x:c>
      <x:c r="N813" t="str">
        <x:v>No</x:v>
      </x:c>
      <x:c r="O813" t="str">
        <x:v>No</x:v>
      </x:c>
      <x:c r="P813" t="str">
        <x:v>Condition not yet reviewed</x:v>
      </x:c>
      <x:c r="Q813" t="n">
        <x:v>0.99</x:v>
      </x:c>
      <x:c r="R813" t="n">
        <x:v>0.99</x:v>
      </x:c>
      <x:c r="S813" t="n">
        <x:v>0.99</x:v>
      </x:c>
      <x:c r="T813" t="str">
        <x:v>NEW PHYSICAL COPY from Sokalsky7's Collection.pdf page 7. Temporary raw benchmark = PriceCharting export allocation $0.99; exact TCGplayer market was not independently resolved in this add-pass.</x:v>
      </x:c>
      <x:c r="U813" t="n">
        <x:v>996</x:v>
      </x:c>
      <x:c r="V813" t="str">
        <x:v>PriceCharting updated Collection.pdf; TCGplayer exact reprice pending</x:v>
      </x:c>
      <x:c r="W813" t="str">
        <x:v>https://www.tcgplayer.com/search/pokemon/product?q=Starmie+50+Rising+Rivals</x:v>
      </x:c>
    </x:row>
    <x:row r="814">
      <x:c r="A814" t="n">
        <x:v>814</x:v>
      </x:c>
      <x:c r="B814" t="str">
        <x:v>PDF Import / Added Cards</x:v>
      </x:c>
      <x:c r="C814" t="str">
        <x:v>Marshtomp</x:v>
      </x:c>
      <x:c r="D814" t="str">
        <x:v>67/147</x:v>
      </x:c>
      <x:c r="E814" t="str">
        <x:v>Supreme Victors</x:v>
      </x:c>
      <x:c r="F814" t="n">
        <x:v>2009</x:v>
      </x:c>
      <x:c r="G814" t="str">
        <x:v>Regular / default set printing</x:v>
      </x:c>
      <x:c r="H814" t="str">
        <x:v>2 of 2</x:v>
      </x:c>
      <x:c r="I814" t="n">
        <x:v>2.2</x:v>
      </x:c>
      <x:c r="J814" t="n">
        <x:v>2.78</x:v>
      </x:c>
      <x:c r="K814" t="n">
        <x:v>2.49</x:v>
      </x:c>
      <x:c r="L814" t="str">
        <x:v>$1–5</x:v>
      </x:c>
      <x:c r="M814" t="str">
        <x:v>Yes</x:v>
      </x:c>
      <x:c r="N814" t="str">
        <x:v>No</x:v>
      </x:c>
      <x:c r="O814" t="str">
        <x:v>Yes</x:v>
      </x:c>
      <x:c r="P814" t="str">
        <x:v>Condition not yet reviewed</x:v>
      </x:c>
      <x:c r="Q814" t="n">
        <x:v>2.2</x:v>
      </x:c>
      <x:c r="R814" t="n">
        <x:v>2.78</x:v>
      </x:c>
      <x:c r="S814" t="n">
        <x:v>2.49</x:v>
      </x:c>
      <x:c r="T814" t="str">
        <x:v>NEW PHYSICAL COPY from Sokalsky7's Collection.pdf page 7. PriceCharting export = $2.78 per card; current TCGplayer market checked at about $2.20. Working range spans those two approved sources.</x:v>
      </x:c>
      <x:c r="U814" t="n">
        <x:v>996</x:v>
      </x:c>
      <x:c r="V814" t="str">
        <x:v>TCGplayer + PriceCharting (updated Collection.pdf), researched 2026-08-17</x:v>
      </x:c>
      <x:c r="W814" t="str">
        <x:v>https://www.tcgplayer.com/search/pokemon/product?q=Marshtomp+67+Supreme+Victors</x:v>
      </x:c>
    </x:row>
    <x:row r="815">
      <x:c r="A815" t="n">
        <x:v>815</x:v>
      </x:c>
      <x:c r="B815" t="str">
        <x:v>PDF Import / Added Cards</x:v>
      </x:c>
      <x:c r="C815" t="str">
        <x:v>Piloswine</x:v>
      </x:c>
      <x:c r="D815" t="str">
        <x:v>48/102</x:v>
      </x:c>
      <x:c r="E815" t="str">
        <x:v>Triumphant</x:v>
      </x:c>
      <x:c r="F815" t="n">
        <x:v>2010</x:v>
      </x:c>
      <x:c r="G815" t="str">
        <x:v>Regular / default set printing</x:v>
      </x:c>
      <x:c r="H815" t="str">
        <x:v>1 of 1</x:v>
      </x:c>
      <x:c r="I815" t="n">
        <x:v>0.99</x:v>
      </x:c>
      <x:c r="J815" t="n">
        <x:v>0.99</x:v>
      </x:c>
      <x:c r="K815" t="n">
        <x:v>0.99</x:v>
      </x:c>
      <x:c r="L815" t="str">
        <x:v>&lt;$1</x:v>
      </x:c>
      <x:c r="M815" t="str">
        <x:v>No</x:v>
      </x:c>
      <x:c r="N815" t="str">
        <x:v>No</x:v>
      </x:c>
      <x:c r="O815" t="str">
        <x:v>No</x:v>
      </x:c>
      <x:c r="P815" t="str">
        <x:v>Condition not yet reviewed</x:v>
      </x:c>
      <x:c r="Q815" t="n">
        <x:v>0.99</x:v>
      </x:c>
      <x:c r="R815" t="n">
        <x:v>0.99</x:v>
      </x:c>
      <x:c r="S815" t="n">
        <x:v>0.99</x:v>
      </x:c>
      <x:c r="T815" t="str">
        <x:v>NEW PHYSICAL COPY from Sokalsky7's Collection.pdf page 7. Temporary raw benchmark = PriceCharting export allocation $0.99; exact TCGplayer market was not independently resolved in this add-pass.</x:v>
      </x:c>
      <x:c r="U815" t="n">
        <x:v>996</x:v>
      </x:c>
      <x:c r="V815" t="str">
        <x:v>PriceCharting updated Collection.pdf; TCGplayer exact reprice pending</x:v>
      </x:c>
      <x:c r="W815" t="str">
        <x:v>https://www.tcgplayer.com/search/pokemon/product?q=Piloswine+48+Triumphant</x:v>
      </x:c>
    </x:row>
    <x:row r="816">
      <x:c r="A816" t="n">
        <x:v>816</x:v>
      </x:c>
      <x:c r="B816" t="str">
        <x:v>PDF Import / Added Cards</x:v>
      </x:c>
      <x:c r="C816" t="str">
        <x:v>Dewgong</x:v>
      </x:c>
      <x:c r="D816" t="str">
        <x:v>45/123</x:v>
      </x:c>
      <x:c r="E816" t="str">
        <x:v>Mysterious Treasures</x:v>
      </x:c>
      <x:c r="F816" t="n">
        <x:v>2007</x:v>
      </x:c>
      <x:c r="G816" t="str">
        <x:v>Regular / default set printing</x:v>
      </x:c>
      <x:c r="H816" t="str">
        <x:v>1 of 1</x:v>
      </x:c>
      <x:c r="I816" t="n">
        <x:v>0.69</x:v>
      </x:c>
      <x:c r="J816" t="n">
        <x:v>0.69</x:v>
      </x:c>
      <x:c r="K816" t="n">
        <x:v>0.69</x:v>
      </x:c>
      <x:c r="L816" t="str">
        <x:v>&lt;$1</x:v>
      </x:c>
      <x:c r="M816" t="str">
        <x:v>No</x:v>
      </x:c>
      <x:c r="N816" t="str">
        <x:v>No</x:v>
      </x:c>
      <x:c r="O816" t="str">
        <x:v>No</x:v>
      </x:c>
      <x:c r="P816" t="str">
        <x:v>Condition not yet reviewed</x:v>
      </x:c>
      <x:c r="Q816" t="n">
        <x:v>0.69</x:v>
      </x:c>
      <x:c r="R816" t="n">
        <x:v>0.69</x:v>
      </x:c>
      <x:c r="S816" t="n">
        <x:v>0.69</x:v>
      </x:c>
      <x:c r="T816" t="str">
        <x:v>NEW PHYSICAL COPY from Sokalsky7's Collection.pdf page 8. Temporary raw benchmark = PriceCharting export allocation $0.69; exact TCGplayer market was not independently resolved in this add-pass.</x:v>
      </x:c>
      <x:c r="U816" t="n">
        <x:v>996</x:v>
      </x:c>
      <x:c r="V816" t="str">
        <x:v>PriceCharting updated Collection.pdf; TCGplayer exact reprice pending</x:v>
      </x:c>
      <x:c r="W816" t="str">
        <x:v>https://www.tcgplayer.com/search/pokemon/product?q=Dewgong+45+Mysterious+Treasures</x:v>
      </x:c>
    </x:row>
    <x:row r="817">
      <x:c r="A817" t="n">
        <x:v>817</x:v>
      </x:c>
      <x:c r="B817" t="str">
        <x:v>PDF Import / Added Cards</x:v>
      </x:c>
      <x:c r="C817" t="str">
        <x:v>Wartortle</x:v>
      </x:c>
      <x:c r="D817" t="str">
        <x:v>43/100</x:v>
      </x:c>
      <x:c r="E817" t="str">
        <x:v>Crystal Guardians</x:v>
      </x:c>
      <x:c r="F817" t="n">
        <x:v>2006</x:v>
      </x:c>
      <x:c r="G817" t="str">
        <x:v>Regular / default set printing</x:v>
      </x:c>
      <x:c r="H817" t="str">
        <x:v>1 of 1</x:v>
      </x:c>
      <x:c r="I817" t="n">
        <x:v>1.91</x:v>
      </x:c>
      <x:c r="J817" t="n">
        <x:v>1.91</x:v>
      </x:c>
      <x:c r="K817" t="n">
        <x:v>1.91</x:v>
      </x:c>
      <x:c r="L817" t="str">
        <x:v>$1–5</x:v>
      </x:c>
      <x:c r="M817" t="str">
        <x:v>Yes</x:v>
      </x:c>
      <x:c r="N817" t="str">
        <x:v>No</x:v>
      </x:c>
      <x:c r="O817" t="str">
        <x:v>Yes</x:v>
      </x:c>
      <x:c r="P817" t="str">
        <x:v>Condition not yet reviewed</x:v>
      </x:c>
      <x:c r="Q817" t="n">
        <x:v>1.91</x:v>
      </x:c>
      <x:c r="R817" t="n">
        <x:v>1.91</x:v>
      </x:c>
      <x:c r="S817" t="n">
        <x:v>1.91</x:v>
      </x:c>
      <x:c r="T817" t="str">
        <x:v>NEW PHYSICAL COPY from Sokalsky7's Collection.pdf page 8. Temporary raw benchmark = PriceCharting export allocation $1.91; exact TCGplayer market was not independently resolved in this add-pass.</x:v>
      </x:c>
      <x:c r="U817" t="n">
        <x:v>996</x:v>
      </x:c>
      <x:c r="V817" t="str">
        <x:v>PriceCharting updated Collection.pdf; TCGplayer exact reprice pending</x:v>
      </x:c>
      <x:c r="W817" t="str">
        <x:v>https://www.tcgplayer.com/search/pokemon/product?q=Wartortle+43+Crystal+Guardians</x:v>
      </x:c>
    </x:row>
    <x:row r="818">
      <x:c r="A818" t="n">
        <x:v>818</x:v>
      </x:c>
      <x:c r="B818" t="str">
        <x:v>PDF Import / Added Cards</x:v>
      </x:c>
      <x:c r="C818" t="str">
        <x:v>Jellicent</x:v>
      </x:c>
      <x:c r="D818" t="str">
        <x:v>39/135</x:v>
      </x:c>
      <x:c r="E818" t="str">
        <x:v>Plasma Storm</x:v>
      </x:c>
      <x:c r="F818" t="n">
        <x:v>2013</x:v>
      </x:c>
      <x:c r="G818" t="str">
        <x:v>Reverse Holo</x:v>
      </x:c>
      <x:c r="H818" t="str">
        <x:v>1 of 1</x:v>
      </x:c>
      <x:c r="I818" t="n">
        <x:v>3.68</x:v>
      </x:c>
      <x:c r="J818" t="n">
        <x:v>3.68</x:v>
      </x:c>
      <x:c r="K818" t="n">
        <x:v>3.68</x:v>
      </x:c>
      <x:c r="L818" t="str">
        <x:v>$1–5</x:v>
      </x:c>
      <x:c r="M818" t="str">
        <x:v>Yes</x:v>
      </x:c>
      <x:c r="N818" t="str">
        <x:v>No</x:v>
      </x:c>
      <x:c r="O818" t="str">
        <x:v>Yes</x:v>
      </x:c>
      <x:c r="P818" t="str">
        <x:v>Condition not yet reviewed</x:v>
      </x:c>
      <x:c r="Q818" t="n">
        <x:v>3.68</x:v>
      </x:c>
      <x:c r="R818" t="n">
        <x:v>3.68</x:v>
      </x:c>
      <x:c r="S818" t="n">
        <x:v>3.68</x:v>
      </x:c>
      <x:c r="T818" t="str">
        <x:v>NEW PHYSICAL COPY from Sokalsky7's Collection.pdf page 8. Temporary raw benchmark = PriceCharting export allocation $3.68; exact TCGplayer market was not independently resolved in this add-pass.</x:v>
      </x:c>
      <x:c r="U818" t="n">
        <x:v>996</x:v>
      </x:c>
      <x:c r="V818" t="str">
        <x:v>PriceCharting updated Collection.pdf; TCGplayer exact reprice pending</x:v>
      </x:c>
      <x:c r="W818" t="str">
        <x:v>https://www.tcgplayer.com/search/pokemon/product?q=Jellicent+39+Plasma+Storm</x:v>
      </x:c>
    </x:row>
    <x:row r="819">
      <x:c r="A819" t="n">
        <x:v>819</x:v>
      </x:c>
      <x:c r="B819" t="str">
        <x:v>PDF Import / Added Cards</x:v>
      </x:c>
      <x:c r="C819" t="str">
        <x:v>Golduck</x:v>
      </x:c>
      <x:c r="D819" t="str">
        <x:v>28/132</x:v>
      </x:c>
      <x:c r="E819" t="str">
        <x:v>Secret Wonders</x:v>
      </x:c>
      <x:c r="F819" t="n">
        <x:v>2007</x:v>
      </x:c>
      <x:c r="G819" t="str">
        <x:v>Regular / default set printing</x:v>
      </x:c>
      <x:c r="H819" t="str">
        <x:v>1 of 1</x:v>
      </x:c>
      <x:c r="I819" t="n">
        <x:v>1.4</x:v>
      </x:c>
      <x:c r="J819" t="n">
        <x:v>1.4</x:v>
      </x:c>
      <x:c r="K819" t="n">
        <x:v>1.4</x:v>
      </x:c>
      <x:c r="L819" t="str">
        <x:v>$1–5</x:v>
      </x:c>
      <x:c r="M819" t="str">
        <x:v>Yes</x:v>
      </x:c>
      <x:c r="N819" t="str">
        <x:v>No</x:v>
      </x:c>
      <x:c r="O819" t="str">
        <x:v>Yes</x:v>
      </x:c>
      <x:c r="P819" t="str">
        <x:v>Condition not yet reviewed</x:v>
      </x:c>
      <x:c r="Q819" t="n">
        <x:v>1.4</x:v>
      </x:c>
      <x:c r="R819" t="n">
        <x:v>1.4</x:v>
      </x:c>
      <x:c r="S819" t="n">
        <x:v>1.4</x:v>
      </x:c>
      <x:c r="T819" t="str">
        <x:v>NEW PHYSICAL COPY from Sokalsky7's Collection.pdf page 8. Temporary raw benchmark = PriceCharting export allocation $1.40; exact TCGplayer market was not independently resolved in this add-pass.</x:v>
      </x:c>
      <x:c r="U819" t="n">
        <x:v>996</x:v>
      </x:c>
      <x:c r="V819" t="str">
        <x:v>PriceCharting updated Collection.pdf; TCGplayer exact reprice pending</x:v>
      </x:c>
      <x:c r="W819" t="str">
        <x:v>https://www.tcgplayer.com/search/pokemon/product?q=Golduck+28+Secret+Wonders</x:v>
      </x:c>
    </x:row>
    <x:row r="820">
      <x:c r="A820" t="n">
        <x:v>820</x:v>
      </x:c>
      <x:c r="B820" t="str">
        <x:v>PDF Import / Added Cards</x:v>
      </x:c>
      <x:c r="C820" t="str">
        <x:v>Misty's Cloyster</x:v>
      </x:c>
      <x:c r="D820" t="str">
        <x:v>29/132</x:v>
      </x:c>
      <x:c r="E820" t="str">
        <x:v>Gym Heroes</x:v>
      </x:c>
      <x:c r="F820" t="n">
        <x:v>2000</x:v>
      </x:c>
      <x:c r="G820" t="str">
        <x:v>Regular / default set printing</x:v>
      </x:c>
      <x:c r="H820" t="str">
        <x:v>1 of 1</x:v>
      </x:c>
      <x:c r="I820" t="n">
        <x:v>11.25</x:v>
      </x:c>
      <x:c r="J820" t="n">
        <x:v>25.9</x:v>
      </x:c>
      <x:c r="K820" t="n">
        <x:v>18.575</x:v>
      </x:c>
      <x:c r="L820" t="str">
        <x:v>$5–20</x:v>
      </x:c>
      <x:c r="M820" t="str">
        <x:v>Yes</x:v>
      </x:c>
      <x:c r="N820" t="str">
        <x:v>No</x:v>
      </x:c>
      <x:c r="O820" t="str">
        <x:v>Yes</x:v>
      </x:c>
      <x:c r="P820" t="str">
        <x:v>Condition not yet reviewed</x:v>
      </x:c>
      <x:c r="Q820" t="n">
        <x:v>11.25</x:v>
      </x:c>
      <x:c r="R820" t="n">
        <x:v>25.9</x:v>
      </x:c>
      <x:c r="S820" t="n">
        <x:v>18.575</x:v>
      </x:c>
      <x:c r="T820" t="str">
        <x:v>NEW PHYSICAL COPY from Sokalsky7's Collection.pdf page 8. PriceCharting export = $11.25 per card; current TCGplayer market checked at about $25.90. Working range spans those two approved sources.</x:v>
      </x:c>
      <x:c r="U820" t="n">
        <x:v>996</x:v>
      </x:c>
      <x:c r="V820" t="str">
        <x:v>TCGplayer + PriceCharting (updated Collection.pdf), researched 2026-08-17</x:v>
      </x:c>
      <x:c r="W820" t="str">
        <x:v>https://www.tcgplayer.com/search/pokemon/product?q=Misty+s+Cloyster+29+Gym+Heroes</x:v>
      </x:c>
    </x:row>
    <x:row r="821">
      <x:c r="A821" t="n">
        <x:v>821</x:v>
      </x:c>
      <x:c r="B821" t="str">
        <x:v>PDF Import / Added Cards</x:v>
      </x:c>
      <x:c r="C821" t="str">
        <x:v>Poliwrath</x:v>
      </x:c>
      <x:c r="D821" t="str">
        <x:v>35/146</x:v>
      </x:c>
      <x:c r="E821" t="str">
        <x:v>Legends Awakened</x:v>
      </x:c>
      <x:c r="F821" t="n">
        <x:v>2008</x:v>
      </x:c>
      <x:c r="G821" t="str">
        <x:v>Regular / default set printing</x:v>
      </x:c>
      <x:c r="H821" t="str">
        <x:v>1 of 1</x:v>
      </x:c>
      <x:c r="I821" t="n">
        <x:v>3.37</x:v>
      </x:c>
      <x:c r="J821" t="n">
        <x:v>3.37</x:v>
      </x:c>
      <x:c r="K821" t="n">
        <x:v>3.37</x:v>
      </x:c>
      <x:c r="L821" t="str">
        <x:v>$1–5</x:v>
      </x:c>
      <x:c r="M821" t="str">
        <x:v>Yes</x:v>
      </x:c>
      <x:c r="N821" t="str">
        <x:v>No</x:v>
      </x:c>
      <x:c r="O821" t="str">
        <x:v>Yes</x:v>
      </x:c>
      <x:c r="P821" t="str">
        <x:v>Condition not yet reviewed</x:v>
      </x:c>
      <x:c r="Q821" t="n">
        <x:v>3.37</x:v>
      </x:c>
      <x:c r="R821" t="n">
        <x:v>3.37</x:v>
      </x:c>
      <x:c r="S821" t="n">
        <x:v>3.37</x:v>
      </x:c>
      <x:c r="T821" t="str">
        <x:v>NEW PHYSICAL COPY from Sokalsky7's Collection.pdf page 8. Temporary raw benchmark = PriceCharting export allocation $3.37; exact TCGplayer market was not independently resolved in this add-pass.</x:v>
      </x:c>
      <x:c r="U821" t="n">
        <x:v>996</x:v>
      </x:c>
      <x:c r="V821" t="str">
        <x:v>PriceCharting updated Collection.pdf; TCGplayer exact reprice pending</x:v>
      </x:c>
      <x:c r="W821" t="str">
        <x:v>https://www.tcgplayer.com/search/pokemon/product?q=Poliwrath+35+Legends+Awakened</x:v>
      </x:c>
    </x:row>
    <x:row r="822">
      <x:c r="A822" t="n">
        <x:v>822</x:v>
      </x:c>
      <x:c r="B822" t="str">
        <x:v>PDF Import / Added Cards</x:v>
      </x:c>
      <x:c r="C822" t="str">
        <x:v>Kingler</x:v>
      </x:c>
      <x:c r="D822" t="str">
        <x:v>20/106</x:v>
      </x:c>
      <x:c r="E822" t="str">
        <x:v>Great Encounters</x:v>
      </x:c>
      <x:c r="F822" t="n">
        <x:v>2008</x:v>
      </x:c>
      <x:c r="G822" t="str">
        <x:v>Regular / default set printing</x:v>
      </x:c>
      <x:c r="H822" t="str">
        <x:v>1 of 2</x:v>
      </x:c>
      <x:c r="I822" t="n">
        <x:v>2.01</x:v>
      </x:c>
      <x:c r="J822" t="n">
        <x:v>2.05</x:v>
      </x:c>
      <x:c r="K822" t="n">
        <x:v>2.03</x:v>
      </x:c>
      <x:c r="L822" t="str">
        <x:v>$1–5</x:v>
      </x:c>
      <x:c r="M822" t="str">
        <x:v>Yes</x:v>
      </x:c>
      <x:c r="N822" t="str">
        <x:v>No</x:v>
      </x:c>
      <x:c r="O822" t="str">
        <x:v>Yes</x:v>
      </x:c>
      <x:c r="P822" t="str">
        <x:v>Condition not yet reviewed</x:v>
      </x:c>
      <x:c r="Q822" t="n">
        <x:v>2.01</x:v>
      </x:c>
      <x:c r="R822" t="n">
        <x:v>2.05</x:v>
      </x:c>
      <x:c r="S822" t="n">
        <x:v>2.03</x:v>
      </x:c>
      <x:c r="T822" t="str">
        <x:v>NEW PHYSICAL COPY from Sokalsky7's Collection.pdf page 8. PriceCharting export = $2.05 per card; current TCGplayer market checked at about $2.01. Working range spans those two approved sources.</x:v>
      </x:c>
      <x:c r="U822" t="n">
        <x:v>996</x:v>
      </x:c>
      <x:c r="V822" t="str">
        <x:v>TCGplayer + PriceCharting (updated Collection.pdf), researched 2026-08-17</x:v>
      </x:c>
      <x:c r="W822" t="str">
        <x:v>https://www.tcgplayer.com/search/pokemon/product?q=Kingler+20+Great+Encounters</x:v>
      </x:c>
    </x:row>
    <x:row r="823">
      <x:c r="A823" t="n">
        <x:v>823</x:v>
      </x:c>
      <x:c r="B823" t="str">
        <x:v>PDF Import / Added Cards</x:v>
      </x:c>
      <x:c r="C823" t="str">
        <x:v>Kingler</x:v>
      </x:c>
      <x:c r="D823" t="str">
        <x:v>20/106</x:v>
      </x:c>
      <x:c r="E823" t="str">
        <x:v>Great Encounters</x:v>
      </x:c>
      <x:c r="F823" t="n">
        <x:v>2008</x:v>
      </x:c>
      <x:c r="G823" t="str">
        <x:v>Regular / default set printing</x:v>
      </x:c>
      <x:c r="H823" t="str">
        <x:v>2 of 2</x:v>
      </x:c>
      <x:c r="I823" t="n">
        <x:v>2.01</x:v>
      </x:c>
      <x:c r="J823" t="n">
        <x:v>2.05</x:v>
      </x:c>
      <x:c r="K823" t="n">
        <x:v>2.03</x:v>
      </x:c>
      <x:c r="L823" t="str">
        <x:v>$1–5</x:v>
      </x:c>
      <x:c r="M823" t="str">
        <x:v>Yes</x:v>
      </x:c>
      <x:c r="N823" t="str">
        <x:v>No</x:v>
      </x:c>
      <x:c r="O823" t="str">
        <x:v>Yes</x:v>
      </x:c>
      <x:c r="P823" t="str">
        <x:v>Condition not yet reviewed</x:v>
      </x:c>
      <x:c r="Q823" t="n">
        <x:v>2.01</x:v>
      </x:c>
      <x:c r="R823" t="n">
        <x:v>2.05</x:v>
      </x:c>
      <x:c r="S823" t="n">
        <x:v>2.03</x:v>
      </x:c>
      <x:c r="T823" t="str">
        <x:v>NEW PHYSICAL COPY from Sokalsky7's Collection.pdf page 8. PriceCharting export = $2.05 per card; current TCGplayer market checked at about $2.01. Working range spans those two approved sources.</x:v>
      </x:c>
      <x:c r="U823" t="n">
        <x:v>996</x:v>
      </x:c>
      <x:c r="V823" t="str">
        <x:v>TCGplayer + PriceCharting (updated Collection.pdf), researched 2026-08-17</x:v>
      </x:c>
      <x:c r="W823" t="str">
        <x:v>https://www.tcgplayer.com/search/pokemon/product?q=Kingler+20+Great+Encounters</x:v>
      </x:c>
    </x:row>
    <x:row r="824">
      <x:c r="A824" t="n">
        <x:v>824</x:v>
      </x:c>
      <x:c r="B824" t="str">
        <x:v>PDF Import / Added Cards</x:v>
      </x:c>
      <x:c r="C824" t="str">
        <x:v>Abomasnow</x:v>
      </x:c>
      <x:c r="D824" t="str">
        <x:v>12/100</x:v>
      </x:c>
      <x:c r="E824" t="str">
        <x:v>Stormfront</x:v>
      </x:c>
      <x:c r="F824" t="n">
        <x:v>2008</x:v>
      </x:c>
      <x:c r="G824" t="str">
        <x:v>Regular / default set printing</x:v>
      </x:c>
      <x:c r="H824" t="str">
        <x:v>1 of 1</x:v>
      </x:c>
      <x:c r="I824" t="n">
        <x:v>1.75</x:v>
      </x:c>
      <x:c r="J824" t="n">
        <x:v>1.75</x:v>
      </x:c>
      <x:c r="K824" t="n">
        <x:v>1.75</x:v>
      </x:c>
      <x:c r="L824" t="str">
        <x:v>$1–5</x:v>
      </x:c>
      <x:c r="M824" t="str">
        <x:v>Yes</x:v>
      </x:c>
      <x:c r="N824" t="str">
        <x:v>No</x:v>
      </x:c>
      <x:c r="O824" t="str">
        <x:v>Yes</x:v>
      </x:c>
      <x:c r="P824" t="str">
        <x:v>Condition not yet reviewed</x:v>
      </x:c>
      <x:c r="Q824" t="n">
        <x:v>1.75</x:v>
      </x:c>
      <x:c r="R824" t="n">
        <x:v>1.75</x:v>
      </x:c>
      <x:c r="S824" t="n">
        <x:v>1.75</x:v>
      </x:c>
      <x:c r="T824" t="str">
        <x:v>NEW PHYSICAL COPY from Sokalsky7's Collection.pdf page 9. Temporary raw benchmark = PriceCharting export allocation $1.75; exact TCGplayer market was not independently resolved in this add-pass.</x:v>
      </x:c>
      <x:c r="U824" t="n">
        <x:v>996</x:v>
      </x:c>
      <x:c r="V824" t="str">
        <x:v>PriceCharting updated Collection.pdf; TCGplayer exact reprice pending</x:v>
      </x:c>
      <x:c r="W824" t="str">
        <x:v>https://www.tcgplayer.com/search/pokemon/product?q=Abomasnow+12+Stormfront</x:v>
      </x:c>
    </x:row>
    <x:row r="825">
      <x:c r="A825" t="n">
        <x:v>825</x:v>
      </x:c>
      <x:c r="B825" t="str">
        <x:v>PDF Import / Added Cards</x:v>
      </x:c>
      <x:c r="C825" t="str">
        <x:v>Floatzel</x:v>
      </x:c>
      <x:c r="D825" t="str">
        <x:v>16/95</x:v>
      </x:c>
      <x:c r="E825" t="str">
        <x:v>Unleashed</x:v>
      </x:c>
      <x:c r="F825" t="n">
        <x:v>2010</x:v>
      </x:c>
      <x:c r="G825" t="str">
        <x:v>Regular / default set printing</x:v>
      </x:c>
      <x:c r="H825" t="str">
        <x:v>1 of 1</x:v>
      </x:c>
      <x:c r="I825" t="n">
        <x:v>1.51</x:v>
      </x:c>
      <x:c r="J825" t="n">
        <x:v>1.51</x:v>
      </x:c>
      <x:c r="K825" t="n">
        <x:v>1.51</x:v>
      </x:c>
      <x:c r="L825" t="str">
        <x:v>$1–5</x:v>
      </x:c>
      <x:c r="M825" t="str">
        <x:v>Yes</x:v>
      </x:c>
      <x:c r="N825" t="str">
        <x:v>No</x:v>
      </x:c>
      <x:c r="O825" t="str">
        <x:v>Yes</x:v>
      </x:c>
      <x:c r="P825" t="str">
        <x:v>Condition not yet reviewed</x:v>
      </x:c>
      <x:c r="Q825" t="n">
        <x:v>1.51</x:v>
      </x:c>
      <x:c r="R825" t="n">
        <x:v>1.51</x:v>
      </x:c>
      <x:c r="S825" t="n">
        <x:v>1.51</x:v>
      </x:c>
      <x:c r="T825" t="str">
        <x:v>NEW PHYSICAL COPY from Sokalsky7's Collection.pdf page 9. Temporary raw benchmark = PriceCharting export allocation $1.51; exact TCGplayer market was not independently resolved in this add-pass.</x:v>
      </x:c>
      <x:c r="U825" t="n">
        <x:v>996</x:v>
      </x:c>
      <x:c r="V825" t="str">
        <x:v>PriceCharting updated Collection.pdf; TCGplayer exact reprice pending</x:v>
      </x:c>
      <x:c r="W825" t="str">
        <x:v>https://www.tcgplayer.com/search/pokemon/product?q=Floatzel+16+Unleashed</x:v>
      </x:c>
    </x:row>
    <x:row r="826">
      <x:c r="A826" t="n">
        <x:v>826</x:v>
      </x:c>
      <x:c r="B826" t="str">
        <x:v>PDF Import / Added Cards</x:v>
      </x:c>
      <x:c r="C826" t="str">
        <x:v>Poliwrath</x:v>
      </x:c>
      <x:c r="D826" t="str">
        <x:v>21/95</x:v>
      </x:c>
      <x:c r="E826" t="str">
        <x:v>Unleashed</x:v>
      </x:c>
      <x:c r="F826" t="n">
        <x:v>2010</x:v>
      </x:c>
      <x:c r="G826" t="str">
        <x:v>Regular / default set printing</x:v>
      </x:c>
      <x:c r="H826" t="str">
        <x:v>1 of 2</x:v>
      </x:c>
      <x:c r="I826" t="n">
        <x:v>2.25</x:v>
      </x:c>
      <x:c r="J826" t="n">
        <x:v>2.25</x:v>
      </x:c>
      <x:c r="K826" t="n">
        <x:v>2.25</x:v>
      </x:c>
      <x:c r="L826" t="str">
        <x:v>$1–5</x:v>
      </x:c>
      <x:c r="M826" t="str">
        <x:v>Yes</x:v>
      </x:c>
      <x:c r="N826" t="str">
        <x:v>No</x:v>
      </x:c>
      <x:c r="O826" t="str">
        <x:v>Yes</x:v>
      </x:c>
      <x:c r="P826" t="str">
        <x:v>Condition not yet reviewed</x:v>
      </x:c>
      <x:c r="Q826" t="n">
        <x:v>2.25</x:v>
      </x:c>
      <x:c r="R826" t="n">
        <x:v>2.25</x:v>
      </x:c>
      <x:c r="S826" t="n">
        <x:v>2.25</x:v>
      </x:c>
      <x:c r="T826" t="str">
        <x:v>NEW PHYSICAL COPY from Sokalsky7's Collection.pdf page 9. Temporary raw benchmark = PriceCharting export allocation $2.25; exact TCGplayer market was not independently resolved in this add-pass.</x:v>
      </x:c>
      <x:c r="U826" t="n">
        <x:v>996</x:v>
      </x:c>
      <x:c r="V826" t="str">
        <x:v>PriceCharting updated Collection.pdf; TCGplayer exact reprice pending</x:v>
      </x:c>
      <x:c r="W826" t="str">
        <x:v>https://www.tcgplayer.com/search/pokemon/product?q=Poliwrath+21+Unleashed</x:v>
      </x:c>
    </x:row>
    <x:row r="827">
      <x:c r="A827" t="n">
        <x:v>827</x:v>
      </x:c>
      <x:c r="B827" t="str">
        <x:v>PDF Import / Added Cards</x:v>
      </x:c>
      <x:c r="C827" t="str">
        <x:v>Poliwrath</x:v>
      </x:c>
      <x:c r="D827" t="str">
        <x:v>21/95</x:v>
      </x:c>
      <x:c r="E827" t="str">
        <x:v>Unleashed</x:v>
      </x:c>
      <x:c r="F827" t="n">
        <x:v>2010</x:v>
      </x:c>
      <x:c r="G827" t="str">
        <x:v>Regular / default set printing</x:v>
      </x:c>
      <x:c r="H827" t="str">
        <x:v>2 of 2</x:v>
      </x:c>
      <x:c r="I827" t="n">
        <x:v>2.25</x:v>
      </x:c>
      <x:c r="J827" t="n">
        <x:v>2.25</x:v>
      </x:c>
      <x:c r="K827" t="n">
        <x:v>2.25</x:v>
      </x:c>
      <x:c r="L827" t="str">
        <x:v>$1–5</x:v>
      </x:c>
      <x:c r="M827" t="str">
        <x:v>Yes</x:v>
      </x:c>
      <x:c r="N827" t="str">
        <x:v>No</x:v>
      </x:c>
      <x:c r="O827" t="str">
        <x:v>Yes</x:v>
      </x:c>
      <x:c r="P827" t="str">
        <x:v>Condition not yet reviewed</x:v>
      </x:c>
      <x:c r="Q827" t="n">
        <x:v>2.25</x:v>
      </x:c>
      <x:c r="R827" t="n">
        <x:v>2.25</x:v>
      </x:c>
      <x:c r="S827" t="n">
        <x:v>2.25</x:v>
      </x:c>
      <x:c r="T827" t="str">
        <x:v>NEW PHYSICAL COPY from Sokalsky7's Collection.pdf page 9. Temporary raw benchmark = PriceCharting export allocation $2.25; exact TCGplayer market was not independently resolved in this add-pass.</x:v>
      </x:c>
      <x:c r="U827" t="n">
        <x:v>996</x:v>
      </x:c>
      <x:c r="V827" t="str">
        <x:v>PriceCharting updated Collection.pdf; TCGplayer exact reprice pending</x:v>
      </x:c>
      <x:c r="W827" t="str">
        <x:v>https://www.tcgplayer.com/search/pokemon/product?q=Poliwrath+21+Unleashed</x:v>
      </x:c>
    </x:row>
    <x:row r="828">
      <x:c r="A828" t="n">
        <x:v>828</x:v>
      </x:c>
      <x:c r="B828" t="str">
        <x:v>PDF Import / Added Cards</x:v>
      </x:c>
      <x:c r="C828" t="str">
        <x:v>Feraligatr</x:v>
      </x:c>
      <x:c r="D828" t="str">
        <x:v>25/95</x:v>
      </x:c>
      <x:c r="E828" t="str">
        <x:v>Call of Legends</x:v>
      </x:c>
      <x:c r="F828" t="n">
        <x:v>2011</x:v>
      </x:c>
      <x:c r="G828" t="str">
        <x:v>Regular / default set printing</x:v>
      </x:c>
      <x:c r="H828" t="str">
        <x:v>1 of 1</x:v>
      </x:c>
      <x:c r="I828" t="n">
        <x:v>5.99</x:v>
      </x:c>
      <x:c r="J828" t="n">
        <x:v>5.99</x:v>
      </x:c>
      <x:c r="K828" t="n">
        <x:v>5.99</x:v>
      </x:c>
      <x:c r="L828" t="str">
        <x:v>$5–20</x:v>
      </x:c>
      <x:c r="M828" t="str">
        <x:v>Yes</x:v>
      </x:c>
      <x:c r="N828" t="str">
        <x:v>No</x:v>
      </x:c>
      <x:c r="O828" t="str">
        <x:v>Yes</x:v>
      </x:c>
      <x:c r="P828" t="str">
        <x:v>Condition not yet reviewed</x:v>
      </x:c>
      <x:c r="Q828" t="n">
        <x:v>5.99</x:v>
      </x:c>
      <x:c r="R828" t="n">
        <x:v>5.99</x:v>
      </x:c>
      <x:c r="S828" t="n">
        <x:v>5.99</x:v>
      </x:c>
      <x:c r="T828" t="str">
        <x:v>NEW PHYSICAL COPY from Sokalsky7's Collection.pdf page 9. Temporary raw benchmark = PriceCharting export allocation $5.99; exact TCGplayer market was not independently resolved in this add-pass.</x:v>
      </x:c>
      <x:c r="U828" t="n">
        <x:v>996</x:v>
      </x:c>
      <x:c r="V828" t="str">
        <x:v>PriceCharting updated Collection.pdf; TCGplayer exact reprice pending</x:v>
      </x:c>
      <x:c r="W828" t="str">
        <x:v>https://www.tcgplayer.com/search/pokemon/product?q=Feraligatr+25+Call+of+Legends</x:v>
      </x:c>
    </x:row>
    <x:row r="829">
      <x:c r="A829" t="n">
        <x:v>829</x:v>
      </x:c>
      <x:c r="B829" t="str">
        <x:v>PDF Import / Added Cards</x:v>
      </x:c>
      <x:c r="C829" t="str">
        <x:v>Empoleon FB</x:v>
      </x:c>
      <x:c r="D829" t="str">
        <x:v>27/147</x:v>
      </x:c>
      <x:c r="E829" t="str">
        <x:v>Supreme Victors</x:v>
      </x:c>
      <x:c r="F829" t="n">
        <x:v>2009</x:v>
      </x:c>
      <x:c r="G829" t="str">
        <x:v>Regular / default set printing</x:v>
      </x:c>
      <x:c r="H829" t="str">
        <x:v>1 of 1</x:v>
      </x:c>
      <x:c r="I829" t="n">
        <x:v>3.74</x:v>
      </x:c>
      <x:c r="J829" t="n">
        <x:v>4.57</x:v>
      </x:c>
      <x:c r="K829" t="n">
        <x:v>4.155</x:v>
      </x:c>
      <x:c r="L829" t="str">
        <x:v>$1–5</x:v>
      </x:c>
      <x:c r="M829" t="str">
        <x:v>Yes</x:v>
      </x:c>
      <x:c r="N829" t="str">
        <x:v>No</x:v>
      </x:c>
      <x:c r="O829" t="str">
        <x:v>Yes</x:v>
      </x:c>
      <x:c r="P829" t="str">
        <x:v>Condition not yet reviewed</x:v>
      </x:c>
      <x:c r="Q829" t="n">
        <x:v>3.74</x:v>
      </x:c>
      <x:c r="R829" t="n">
        <x:v>4.57</x:v>
      </x:c>
      <x:c r="S829" t="n">
        <x:v>4.155</x:v>
      </x:c>
      <x:c r="T829" t="str">
        <x:v>NEW PHYSICAL COPY from Sokalsky7's Collection.pdf page 9. PriceCharting export = $3.74 per card; current TCGplayer market checked at about $4.57. Working range spans those two approved sources.</x:v>
      </x:c>
      <x:c r="U829" t="n">
        <x:v>996</x:v>
      </x:c>
      <x:c r="V829" t="str">
        <x:v>TCGplayer + PriceCharting (updated Collection.pdf), researched 2026-08-17</x:v>
      </x:c>
      <x:c r="W829" t="str">
        <x:v>https://www.tcgplayer.com/search/pokemon/product?q=Empoleon+FB+27+Supreme+Victors</x:v>
      </x:c>
    </x:row>
    <x:row r="830">
      <x:c r="A830" t="n">
        <x:v>830</x:v>
      </x:c>
      <x:c r="B830" t="str">
        <x:v>PDF Import / Added Cards</x:v>
      </x:c>
      <x:c r="C830" t="str">
        <x:v>Victini</x:v>
      </x:c>
      <x:c r="D830" t="str">
        <x:v>43/101</x:v>
      </x:c>
      <x:c r="E830" t="str">
        <x:v>Noble Victories</x:v>
      </x:c>
      <x:c r="F830" t="n">
        <x:v>2011</x:v>
      </x:c>
      <x:c r="G830" t="str">
        <x:v>Regular / default set printing</x:v>
      </x:c>
      <x:c r="H830" t="str">
        <x:v>1 of 1</x:v>
      </x:c>
      <x:c r="I830" t="n">
        <x:v>9.57</x:v>
      </x:c>
      <x:c r="J830" t="n">
        <x:v>9.57</x:v>
      </x:c>
      <x:c r="K830" t="n">
        <x:v>9.57</x:v>
      </x:c>
      <x:c r="L830" t="str">
        <x:v>$5–20</x:v>
      </x:c>
      <x:c r="M830" t="str">
        <x:v>Yes</x:v>
      </x:c>
      <x:c r="N830" t="str">
        <x:v>No</x:v>
      </x:c>
      <x:c r="O830" t="str">
        <x:v>Yes</x:v>
      </x:c>
      <x:c r="P830" t="str">
        <x:v>Condition not yet reviewed</x:v>
      </x:c>
      <x:c r="Q830" t="n">
        <x:v>9.57</x:v>
      </x:c>
      <x:c r="R830" t="n">
        <x:v>9.57</x:v>
      </x:c>
      <x:c r="S830" t="n">
        <x:v>9.57</x:v>
      </x:c>
      <x:c r="T830" t="str">
        <x:v>NEW PHYSICAL COPY from Sokalsky7's Collection.pdf page 9. Temporary raw benchmark = PriceCharting export allocation $9.57; exact TCGplayer market was not independently resolved in this add-pass.</x:v>
      </x:c>
      <x:c r="U830" t="n">
        <x:v>996</x:v>
      </x:c>
      <x:c r="V830" t="str">
        <x:v>PriceCharting updated Collection.pdf; TCGplayer exact reprice pending</x:v>
      </x:c>
      <x:c r="W830" t="str">
        <x:v>https://www.tcgplayer.com/search/pokemon/product?q=Victini+43+Noble+Victories</x:v>
      </x:c>
    </x:row>
    <x:row r="831">
      <x:c r="A831" t="n">
        <x:v>831</x:v>
      </x:c>
      <x:c r="B831" t="str">
        <x:v>PDF Import / Added Cards</x:v>
      </x:c>
      <x:c r="C831" t="str">
        <x:v>Pikachu</x:v>
      </x:c>
      <x:c r="D831" t="str">
        <x:v>HGSS03</x:v>
      </x:c>
      <x:c r="E831" t="str">
        <x:v>HGSS Black Star Promos</x:v>
      </x:c>
      <x:c r="F831" t="n">
        <x:v>2010</x:v>
      </x:c>
      <x:c r="G831" t="str">
        <x:v>Holo Promo</x:v>
      </x:c>
      <x:c r="H831" t="str">
        <x:v>2 of 2</x:v>
      </x:c>
      <x:c r="I831" t="n">
        <x:v>27</x:v>
      </x:c>
      <x:c r="J831" t="n">
        <x:v>46</x:v>
      </x:c>
      <x:c r="K831" t="n">
        <x:v>36.5</x:v>
      </x:c>
      <x:c r="L831" t="str">
        <x:v>$20+</x:v>
      </x:c>
      <x:c r="M831" t="str">
        <x:v>Yes</x:v>
      </x:c>
      <x:c r="N831" t="str">
        <x:v>Yes</x:v>
      </x:c>
      <x:c r="O831" t="str">
        <x:v>Yes</x:v>
      </x:c>
      <x:c r="P831" t="str">
        <x:v>Condition not yet reviewed</x:v>
      </x:c>
      <x:c r="Q831" t="n">
        <x:v>27</x:v>
      </x:c>
      <x:c r="R831" t="n">
        <x:v>46</x:v>
      </x:c>
      <x:c r="S831" t="n">
        <x:v>36.5</x:v>
      </x:c>
      <x:c r="T831" t="str">
        <x:v>NEW PHYSICAL COPY from Sokalsky7's Collection.pdf page 9. PriceCharting export allocation = $24.31 per card. Working clean/NM range inherited from the existing exact-printing two-source comp in the collection ($27.00–$46.00).</x:v>
      </x:c>
      <x:c r="U831" t="n">
        <x:v>996</x:v>
      </x:c>
      <x:c r="V831" t="str">
        <x:v>Existing exact-printing TCGplayer + PriceCharting research; new physical copy confirmed by updated Collection.pdf</x:v>
      </x:c>
      <x:c r="W831" t="str">
        <x:v>https://www.pricecharting.com/game/pokemon-promo/pikachu-hgss03</x:v>
      </x:c>
    </x:row>
    <x:row r="832">
      <x:c r="A832" t="n">
        <x:v>832</x:v>
      </x:c>
      <x:c r="B832" t="str">
        <x:v>PDF Import / Added Cards</x:v>
      </x:c>
      <x:c r="C832" t="str">
        <x:v>Mareep</x:v>
      </x:c>
      <x:c r="D832" t="str">
        <x:v>67/109</x:v>
      </x:c>
      <x:c r="E832" t="str">
        <x:v>EX Team Rocket Returns</x:v>
      </x:c>
      <x:c r="F832" t="n">
        <x:v>2004</x:v>
      </x:c>
      <x:c r="G832" t="str">
        <x:v>Stamped Reverse Holo</x:v>
      </x:c>
      <x:c r="H832" t="str">
        <x:v>2 of 2</x:v>
      </x:c>
      <x:c r="I832" t="n">
        <x:v>26</x:v>
      </x:c>
      <x:c r="J832" t="n">
        <x:v>50.5</x:v>
      </x:c>
      <x:c r="K832" t="n">
        <x:v>38.25</x:v>
      </x:c>
      <x:c r="L832" t="str">
        <x:v>$20+</x:v>
      </x:c>
      <x:c r="M832" t="str">
        <x:v>Yes</x:v>
      </x:c>
      <x:c r="N832" t="str">
        <x:v>Yes</x:v>
      </x:c>
      <x:c r="O832" t="str">
        <x:v>Yes</x:v>
      </x:c>
      <x:c r="P832" t="str">
        <x:v>Condition not yet reviewed</x:v>
      </x:c>
      <x:c r="Q832" t="n">
        <x:v>26</x:v>
      </x:c>
      <x:c r="R832" t="n">
        <x:v>50.5</x:v>
      </x:c>
      <x:c r="S832" t="n">
        <x:v>38.25</x:v>
      </x:c>
      <x:c r="T832" t="str">
        <x:v>NEW PHYSICAL COPY from Sokalsky7's Collection.pdf page 10. PriceCharting export allocation = $25.24 per card. Working clean/NM range inherited from the existing exact-printing two-source comp in the collection ($26.00–$50.50).</x:v>
      </x:c>
      <x:c r="U832" t="n">
        <x:v>996</x:v>
      </x:c>
      <x:c r="V832" t="str">
        <x:v>Existing exact-printing TCGplayer + PriceCharting research; new physical copy confirmed by updated Collection.pdf</x:v>
      </x:c>
      <x:c r="W832" t="str">
        <x:v>https://www.pricecharting.com/game/pokemon-team-rocket-returns/mareep-reverse-holo-67</x:v>
      </x:c>
    </x:row>
    <x:row r="833">
      <x:c r="A833" t="n">
        <x:v>833</x:v>
      </x:c>
      <x:c r="B833" t="str">
        <x:v>PDF Import / Added Cards</x:v>
      </x:c>
      <x:c r="C833" t="str">
        <x:v>Chikorita δ</x:v>
      </x:c>
      <x:c r="D833" t="str">
        <x:v>44/101</x:v>
      </x:c>
      <x:c r="E833" t="str">
        <x:v>EX Dragon Frontiers</x:v>
      </x:c>
      <x:c r="F833" t="n">
        <x:v>2006</x:v>
      </x:c>
      <x:c r="G833" t="str">
        <x:v>Stamped Reverse Holo (Delta Species — Fighting type)</x:v>
      </x:c>
      <x:c r="H833" t="str">
        <x:v>2 of 2</x:v>
      </x:c>
      <x:c r="I833" t="n">
        <x:v>34</x:v>
      </x:c>
      <x:c r="J833" t="n">
        <x:v>44</x:v>
      </x:c>
      <x:c r="K833" t="n">
        <x:v>39</x:v>
      </x:c>
      <x:c r="L833" t="str">
        <x:v>$20+</x:v>
      </x:c>
      <x:c r="M833" t="str">
        <x:v>Yes</x:v>
      </x:c>
      <x:c r="N833" t="str">
        <x:v>Yes</x:v>
      </x:c>
      <x:c r="O833" t="str">
        <x:v>Yes</x:v>
      </x:c>
      <x:c r="P833" t="str">
        <x:v>Condition not yet reviewed</x:v>
      </x:c>
      <x:c r="Q833" t="n">
        <x:v>34</x:v>
      </x:c>
      <x:c r="R833" t="n">
        <x:v>44</x:v>
      </x:c>
      <x:c r="S833" t="n">
        <x:v>39</x:v>
      </x:c>
      <x:c r="T833" t="str">
        <x:v>NEW PHYSICAL COPY from Sokalsky7's Collection.pdf page 10. PriceCharting export allocation = $34.75 per card. Working clean/NM range inherited from the existing exact-printing two-source comp in the collection ($34.00–$44.00).</x:v>
      </x:c>
      <x:c r="U833" t="n">
        <x:v>996</x:v>
      </x:c>
      <x:c r="V833" t="str">
        <x:v>Existing exact-printing TCGplayer + PriceCharting research; new physical copy confirmed by updated Collection.pdf</x:v>
      </x:c>
      <x:c r="W833" t="str">
        <x:v>https://www.tcgplayer.com/product/84281/pokemon-ex-dragon-frontiers-chikorita-delta-species</x:v>
      </x:c>
    </x:row>
    <x:row r="834">
      <x:c r="A834" t="n">
        <x:v>834</x:v>
      </x:c>
      <x:c r="B834" t="str">
        <x:v>PDF Import / Added Cards</x:v>
      </x:c>
      <x:c r="C834" t="str">
        <x:v>Cubone</x:v>
      </x:c>
      <x:c r="D834" t="str">
        <x:v>60/102</x:v>
      </x:c>
      <x:c r="E834" t="str">
        <x:v>Triumphant</x:v>
      </x:c>
      <x:c r="F834" t="n">
        <x:v>2010</x:v>
      </x:c>
      <x:c r="G834" t="str">
        <x:v>Reverse Holo</x:v>
      </x:c>
      <x:c r="H834" t="str">
        <x:v>2 of 2</x:v>
      </x:c>
      <x:c r="I834" t="n">
        <x:v>30</x:v>
      </x:c>
      <x:c r="J834" t="n">
        <x:v>50</x:v>
      </x:c>
      <x:c r="K834" t="n">
        <x:v>40</x:v>
      </x:c>
      <x:c r="L834" t="str">
        <x:v>$20+</x:v>
      </x:c>
      <x:c r="M834" t="str">
        <x:v>Yes</x:v>
      </x:c>
      <x:c r="N834" t="str">
        <x:v>Yes</x:v>
      </x:c>
      <x:c r="O834" t="str">
        <x:v>Yes</x:v>
      </x:c>
      <x:c r="P834" t="str">
        <x:v>Condition not yet reviewed</x:v>
      </x:c>
      <x:c r="Q834" t="n">
        <x:v>30</x:v>
      </x:c>
      <x:c r="R834" t="n">
        <x:v>50</x:v>
      </x:c>
      <x:c r="S834" t="n">
        <x:v>40</x:v>
      </x:c>
      <x:c r="T834" t="str">
        <x:v>NEW PHYSICAL COPY from Sokalsky7's Collection.pdf page 10. PriceCharting export allocation = $35.21 per card. Working clean/NM range inherited from the existing exact-printing two-source comp in the collection ($30.00–$50.00).</x:v>
      </x:c>
      <x:c r="U834" t="n">
        <x:v>996</x:v>
      </x:c>
      <x:c r="V834" t="str">
        <x:v>Existing exact-printing TCGplayer + PriceCharting research; new physical copy confirmed by updated Collection.pdf</x:v>
      </x:c>
      <x:c r="W834" t="str">
        <x:v>https://www.pricecharting.com/game/pokemon-triumphant/cubone-reverse-holo-60</x:v>
      </x:c>
    </x:row>
    <x:row r="835">
      <x:c r="A835" t="n">
        <x:v>835</x:v>
      </x:c>
      <x:c r="B835" t="str">
        <x:v>PDF Import / Added Cards</x:v>
      </x:c>
      <x:c r="C835" t="str">
        <x:v>Absol G</x:v>
      </x:c>
      <x:c r="D835" t="str">
        <x:v>1/147</x:v>
      </x:c>
      <x:c r="E835" t="str">
        <x:v>Supreme Victors</x:v>
      </x:c>
      <x:c r="F835" t="n">
        <x:v>2009</x:v>
      </x:c>
      <x:c r="G835" t="str">
        <x:v>Reverse Holo</x:v>
      </x:c>
      <x:c r="H835" t="str">
        <x:v>2 of 2</x:v>
      </x:c>
      <x:c r="I835" t="n">
        <x:v>40</x:v>
      </x:c>
      <x:c r="J835" t="n">
        <x:v>45</x:v>
      </x:c>
      <x:c r="K835" t="n">
        <x:v>42.5</x:v>
      </x:c>
      <x:c r="L835" t="str">
        <x:v>$20+</x:v>
      </x:c>
      <x:c r="M835" t="str">
        <x:v>Yes</x:v>
      </x:c>
      <x:c r="N835" t="str">
        <x:v>Yes</x:v>
      </x:c>
      <x:c r="O835" t="str">
        <x:v>Yes</x:v>
      </x:c>
      <x:c r="P835" t="str">
        <x:v>Condition not yet reviewed</x:v>
      </x:c>
      <x:c r="Q835" t="n">
        <x:v>40</x:v>
      </x:c>
      <x:c r="R835" t="n">
        <x:v>45</x:v>
      </x:c>
      <x:c r="S835" t="n">
        <x:v>42.5</x:v>
      </x:c>
      <x:c r="T835" t="str">
        <x:v>NEW PHYSICAL COPY from Sokalsky7's Collection.pdf page 10. PriceCharting export allocation = $20.65 per card. Working clean/NM range inherited from the existing exact-printing two-source comp in the collection ($40.00–$45.00).</x:v>
      </x:c>
      <x:c r="U835" t="n">
        <x:v>996</x:v>
      </x:c>
      <x:c r="V835" t="str">
        <x:v>Existing exact-printing TCGplayer + PriceCharting research; new physical copy confirmed by updated Collection.pdf</x:v>
      </x:c>
      <x:c r="W835" t="str">
        <x:v>https://www.tcgplayer.com/categories/trading-and-collectible-card-games/pokemon/price-guides/supreme-victors</x:v>
      </x:c>
    </x:row>
    <x:row r="836">
      <x:c r="A836" t="n">
        <x:v>836</x:v>
      </x:c>
      <x:c r="B836" t="str">
        <x:v>PDF Import / Added Cards</x:v>
      </x:c>
      <x:c r="C836" t="str">
        <x:v>Ninetales</x:v>
      </x:c>
      <x:c r="D836" t="str">
        <x:v>17/95</x:v>
      </x:c>
      <x:c r="E836" t="str">
        <x:v>Call of Legends</x:v>
      </x:c>
      <x:c r="F836" t="n">
        <x:v>2011</x:v>
      </x:c>
      <x:c r="G836" t="str">
        <x:v>Reverse Holo</x:v>
      </x:c>
      <x:c r="H836" t="str">
        <x:v>2 of 2</x:v>
      </x:c>
      <x:c r="I836" t="n">
        <x:v>48</x:v>
      </x:c>
      <x:c r="J836" t="n">
        <x:v>63</x:v>
      </x:c>
      <x:c r="K836" t="n">
        <x:v>55.5</x:v>
      </x:c>
      <x:c r="L836" t="str">
        <x:v>$20+</x:v>
      </x:c>
      <x:c r="M836" t="str">
        <x:v>Yes</x:v>
      </x:c>
      <x:c r="N836" t="str">
        <x:v>Yes</x:v>
      </x:c>
      <x:c r="O836" t="str">
        <x:v>Yes</x:v>
      </x:c>
      <x:c r="P836" t="str">
        <x:v>Condition not yet reviewed</x:v>
      </x:c>
      <x:c r="Q836" t="n">
        <x:v>48</x:v>
      </x:c>
      <x:c r="R836" t="n">
        <x:v>63</x:v>
      </x:c>
      <x:c r="S836" t="n">
        <x:v>55.5</x:v>
      </x:c>
      <x:c r="T836" t="str">
        <x:v>NEW PHYSICAL COPY from Sokalsky7's Collection.pdf page 10. PriceCharting export allocation = $26.61 per card. Working clean/NM range inherited from the existing exact-printing two-source comp in the collection ($48.00–$63.00).</x:v>
      </x:c>
      <x:c r="U836" t="n">
        <x:v>996</x:v>
      </x:c>
      <x:c r="V836" t="str">
        <x:v>Existing exact-printing TCGplayer + PriceCharting research; new physical copy confirmed by updated Collection.pdf</x:v>
      </x:c>
      <x:c r="W836" t="str">
        <x:v>https://www.tcgplayer.com/categories/trading-and-collectible-card-games/pokemon/price-guides/call-of-legends</x:v>
      </x:c>
    </x:row>
    <x:row r="837">
      <x:c r="A837" t="n">
        <x:v>837</x:v>
      </x:c>
      <x:c r="B837" t="str">
        <x:v>PDF Import / Added Cards</x:v>
      </x:c>
      <x:c r="C837" t="str">
        <x:v>Arcanine</x:v>
      </x:c>
      <x:c r="D837" t="str">
        <x:v>1/111</x:v>
      </x:c>
      <x:c r="E837" t="str">
        <x:v>Rising Rivals</x:v>
      </x:c>
      <x:c r="F837" t="n">
        <x:v>2009</x:v>
      </x:c>
      <x:c r="G837" t="str">
        <x:v>Holofoil (LV.53)</x:v>
      </x:c>
      <x:c r="H837" t="str">
        <x:v>2 of 2</x:v>
      </x:c>
      <x:c r="I837" t="n">
        <x:v>48</x:v>
      </x:c>
      <x:c r="J837" t="n">
        <x:v>65</x:v>
      </x:c>
      <x:c r="K837" t="n">
        <x:v>56.5</x:v>
      </x:c>
      <x:c r="L837" t="str">
        <x:v>$20+</x:v>
      </x:c>
      <x:c r="M837" t="str">
        <x:v>Yes</x:v>
      </x:c>
      <x:c r="N837" t="str">
        <x:v>Yes</x:v>
      </x:c>
      <x:c r="O837" t="str">
        <x:v>Yes</x:v>
      </x:c>
      <x:c r="P837" t="str">
        <x:v>Condition not yet reviewed</x:v>
      </x:c>
      <x:c r="Q837" t="n">
        <x:v>48</x:v>
      </x:c>
      <x:c r="R837" t="n">
        <x:v>65</x:v>
      </x:c>
      <x:c r="S837" t="n">
        <x:v>56.5</x:v>
      </x:c>
      <x:c r="T837" t="str">
        <x:v>NEW PHYSICAL COPY from Sokalsky7's Collection.pdf page 10. PriceCharting export allocation = $31.99 per card. Working clean/NM range inherited from the existing exact-printing two-source comp in the collection ($48.00–$65.00).</x:v>
      </x:c>
      <x:c r="U837" t="n">
        <x:v>996</x:v>
      </x:c>
      <x:c r="V837" t="str">
        <x:v>Existing exact-printing TCGplayer + PriceCharting research; new physical copy confirmed by updated Collection.pdf</x:v>
      </x:c>
      <x:c r="W837" t="str">
        <x:v>https://www.tcgplayer.com/product/83585/pokemon-rising-rivals-arcanine</x:v>
      </x:c>
    </x:row>
    <x:row r="838">
      <x:c r="A838" t="n">
        <x:v>838</x:v>
      </x:c>
      <x:c r="B838" t="str">
        <x:v>PDF Import / Added Cards</x:v>
      </x:c>
      <x:c r="C838" t="str">
        <x:v>Registeel-EX</x:v>
      </x:c>
      <x:c r="D838" t="str">
        <x:v>122/124</x:v>
      </x:c>
      <x:c r="E838" t="str">
        <x:v>Dragons Exalted</x:v>
      </x:c>
      <x:c r="F838" t="n">
        <x:v>2012</x:v>
      </x:c>
      <x:c r="G838" t="str">
        <x:v>Full Art Holo Ultra Rare</x:v>
      </x:c>
      <x:c r="H838" t="str">
        <x:v>2 of 2</x:v>
      </x:c>
      <x:c r="I838" t="n">
        <x:v>45</x:v>
      </x:c>
      <x:c r="J838" t="n">
        <x:v>70</x:v>
      </x:c>
      <x:c r="K838" t="n">
        <x:v>57.5</x:v>
      </x:c>
      <x:c r="L838" t="str">
        <x:v>$20+</x:v>
      </x:c>
      <x:c r="M838" t="str">
        <x:v>Yes</x:v>
      </x:c>
      <x:c r="N838" t="str">
        <x:v>Yes</x:v>
      </x:c>
      <x:c r="O838" t="str">
        <x:v>Yes</x:v>
      </x:c>
      <x:c r="P838" t="str">
        <x:v>Condition not yet reviewed</x:v>
      </x:c>
      <x:c r="Q838" t="n">
        <x:v>45</x:v>
      </x:c>
      <x:c r="R838" t="n">
        <x:v>70</x:v>
      </x:c>
      <x:c r="S838" t="n">
        <x:v>57.5</x:v>
      </x:c>
      <x:c r="T838" t="str">
        <x:v>NEW PHYSICAL COPY from Sokalsky7's Collection.pdf page 10. PriceCharting export allocation = $57.00 per card. Working clean/NM range inherited from the existing exact-printing two-source comp in the collection ($45.00–$70.00).</x:v>
      </x:c>
      <x:c r="U838" t="n">
        <x:v>996</x:v>
      </x:c>
      <x:c r="V838" t="str">
        <x:v>Existing exact-printing TCGplayer + PriceCharting research; new physical copy confirmed by updated Collection.pdf</x:v>
      </x:c>
      <x:c r="W838" t="str">
        <x:v>https://www.pricecharting.com/game/pokemon-dragons-exalted/registeel-ex-122</x:v>
      </x:c>
    </x:row>
    <x:row r="839">
      <x:c r="A839" t="n">
        <x:v>839</x:v>
      </x:c>
      <x:c r="B839" t="str">
        <x:v>PDF Import / Added Cards</x:v>
      </x:c>
      <x:c r="C839" t="str">
        <x:v>Emolga</x:v>
      </x:c>
      <x:c r="D839" t="str">
        <x:v>RC23/RC25</x:v>
      </x:c>
      <x:c r="E839" t="str">
        <x:v>Legendary Treasures: Radiant Collection</x:v>
      </x:c>
      <x:c r="F839" t="n">
        <x:v>2013</x:v>
      </x:c>
      <x:c r="G839" t="str">
        <x:v>Full Art Holo Ultra Rare</x:v>
      </x:c>
      <x:c r="H839" t="str">
        <x:v>3 of 4</x:v>
      </x:c>
      <x:c r="I839" t="n">
        <x:v>45</x:v>
      </x:c>
      <x:c r="J839" t="n">
        <x:v>90</x:v>
      </x:c>
      <x:c r="K839" t="n">
        <x:v>67.5</x:v>
      </x:c>
      <x:c r="L839" t="str">
        <x:v>$20+</x:v>
      </x:c>
      <x:c r="M839" t="str">
        <x:v>Yes</x:v>
      </x:c>
      <x:c r="N839" t="str">
        <x:v>Yes</x:v>
      </x:c>
      <x:c r="O839" t="str">
        <x:v>Yes</x:v>
      </x:c>
      <x:c r="P839" t="str">
        <x:v>Condition not yet reviewed</x:v>
      </x:c>
      <x:c r="Q839" t="n">
        <x:v>45</x:v>
      </x:c>
      <x:c r="R839" t="n">
        <x:v>90</x:v>
      </x:c>
      <x:c r="S839" t="n">
        <x:v>67.5</x:v>
      </x:c>
      <x:c r="T839" t="str">
        <x:v>NEW PHYSICAL COPY from Sokalsky7's Collection.pdf page 11. PriceCharting export allocation = $46.42 per card. Working clean/NM range inherited from the existing exact-printing two-source comp in the collection ($45.00–$90.00).</x:v>
      </x:c>
      <x:c r="U839" t="n">
        <x:v>996</x:v>
      </x:c>
      <x:c r="V839" t="str">
        <x:v>Existing exact-printing TCGplayer + PriceCharting research; new physical copy confirmed by updated Collection.pdf</x:v>
      </x:c>
      <x:c r="W839" t="str">
        <x:v>https://www.pricecharting.com/game/pokemon-legendary-treasures/emolga-rc23</x:v>
      </x:c>
    </x:row>
    <x:row r="840">
      <x:c r="A840" t="n">
        <x:v>840</x:v>
      </x:c>
      <x:c r="B840" t="str">
        <x:v>PDF Import / Added Cards</x:v>
      </x:c>
      <x:c r="C840" t="str">
        <x:v>Emolga</x:v>
      </x:c>
      <x:c r="D840" t="str">
        <x:v>RC23/RC25</x:v>
      </x:c>
      <x:c r="E840" t="str">
        <x:v>Legendary Treasures: Radiant Collection</x:v>
      </x:c>
      <x:c r="F840" t="n">
        <x:v>2013</x:v>
      </x:c>
      <x:c r="G840" t="str">
        <x:v>Full Art Holo Ultra Rare</x:v>
      </x:c>
      <x:c r="H840" t="str">
        <x:v>4 of 4</x:v>
      </x:c>
      <x:c r="I840" t="n">
        <x:v>45</x:v>
      </x:c>
      <x:c r="J840" t="n">
        <x:v>90</x:v>
      </x:c>
      <x:c r="K840" t="n">
        <x:v>67.5</x:v>
      </x:c>
      <x:c r="L840" t="str">
        <x:v>$20+</x:v>
      </x:c>
      <x:c r="M840" t="str">
        <x:v>Yes</x:v>
      </x:c>
      <x:c r="N840" t="str">
        <x:v>Yes</x:v>
      </x:c>
      <x:c r="O840" t="str">
        <x:v>Yes</x:v>
      </x:c>
      <x:c r="P840" t="str">
        <x:v>Condition not yet reviewed</x:v>
      </x:c>
      <x:c r="Q840" t="n">
        <x:v>45</x:v>
      </x:c>
      <x:c r="R840" t="n">
        <x:v>90</x:v>
      </x:c>
      <x:c r="S840" t="n">
        <x:v>67.5</x:v>
      </x:c>
      <x:c r="T840" t="str">
        <x:v>NEW PHYSICAL COPY from Sokalsky7's Collection.pdf page 11. PriceCharting export allocation = $46.42 per card. Working clean/NM range inherited from the existing exact-printing two-source comp in the collection ($45.00–$90.00).</x:v>
      </x:c>
      <x:c r="U840" t="n">
        <x:v>996</x:v>
      </x:c>
      <x:c r="V840" t="str">
        <x:v>Existing exact-printing TCGplayer + PriceCharting research; new physical copy confirmed by updated Collection.pdf</x:v>
      </x:c>
      <x:c r="W840" t="str">
        <x:v>https://www.pricecharting.com/game/pokemon-legendary-treasures/emolga-rc23</x:v>
      </x:c>
    </x:row>
    <x:row r="841">
      <x:c r="A841" t="n">
        <x:v>841</x:v>
      </x:c>
      <x:c r="B841" t="str">
        <x:v>PDF Import / Added Cards</x:v>
      </x:c>
      <x:c r="C841" t="str">
        <x:v>Pikachu</x:v>
      </x:c>
      <x:c r="D841" t="str">
        <x:v>RC7/RC25</x:v>
      </x:c>
      <x:c r="E841" t="str">
        <x:v>Legendary Treasures</x:v>
      </x:c>
      <x:c r="F841" t="n">
        <x:v>2013</x:v>
      </x:c>
      <x:c r="G841" t="str">
        <x:v>Radiant Collection Holo (Uncommon)</x:v>
      </x:c>
      <x:c r="H841" t="str">
        <x:v>3 of 4</x:v>
      </x:c>
      <x:c r="I841" t="n">
        <x:v>50</x:v>
      </x:c>
      <x:c r="J841" t="n">
        <x:v>90</x:v>
      </x:c>
      <x:c r="K841" t="n">
        <x:v>70</x:v>
      </x:c>
      <x:c r="L841" t="str">
        <x:v>$20+</x:v>
      </x:c>
      <x:c r="M841" t="str">
        <x:v>Yes</x:v>
      </x:c>
      <x:c r="N841" t="str">
        <x:v>Yes</x:v>
      </x:c>
      <x:c r="O841" t="str">
        <x:v>Yes</x:v>
      </x:c>
      <x:c r="P841" t="str">
        <x:v>Condition not yet reviewed</x:v>
      </x:c>
      <x:c r="Q841" t="n">
        <x:v>50</x:v>
      </x:c>
      <x:c r="R841" t="n">
        <x:v>90</x:v>
      </x:c>
      <x:c r="S841" t="n">
        <x:v>70</x:v>
      </x:c>
      <x:c r="T841" t="str">
        <x:v>NEW PHYSICAL COPY from Sokalsky7's Collection.pdf page 11. PriceCharting export allocation = $41.19 per card. Working clean/NM range inherited from the existing exact-printing two-source comp in the collection ($50.00–$90.00).</x:v>
      </x:c>
      <x:c r="U841" t="n">
        <x:v>996</x:v>
      </x:c>
      <x:c r="V841" t="str">
        <x:v>Existing exact-printing TCGplayer + PriceCharting research; new physical copy confirmed by updated Collection.pdf</x:v>
      </x:c>
      <x:c r="W841" t="str">
        <x:v>https://www.pricecharting.com/game/pokemon-legendary-treasures/pikachu-rc7</x:v>
      </x:c>
    </x:row>
    <x:row r="842">
      <x:c r="A842" t="n">
        <x:v>842</x:v>
      </x:c>
      <x:c r="B842" t="str">
        <x:v>PDF Import / Added Cards</x:v>
      </x:c>
      <x:c r="C842" t="str">
        <x:v>Pikachu</x:v>
      </x:c>
      <x:c r="D842" t="str">
        <x:v>RC7/RC25</x:v>
      </x:c>
      <x:c r="E842" t="str">
        <x:v>Legendary Treasures</x:v>
      </x:c>
      <x:c r="F842" t="n">
        <x:v>2013</x:v>
      </x:c>
      <x:c r="G842" t="str">
        <x:v>Radiant Collection Holo (Uncommon)</x:v>
      </x:c>
      <x:c r="H842" t="str">
        <x:v>4 of 4</x:v>
      </x:c>
      <x:c r="I842" t="n">
        <x:v>50</x:v>
      </x:c>
      <x:c r="J842" t="n">
        <x:v>90</x:v>
      </x:c>
      <x:c r="K842" t="n">
        <x:v>70</x:v>
      </x:c>
      <x:c r="L842" t="str">
        <x:v>$20+</x:v>
      </x:c>
      <x:c r="M842" t="str">
        <x:v>Yes</x:v>
      </x:c>
      <x:c r="N842" t="str">
        <x:v>Yes</x:v>
      </x:c>
      <x:c r="O842" t="str">
        <x:v>Yes</x:v>
      </x:c>
      <x:c r="P842" t="str">
        <x:v>Condition not yet reviewed</x:v>
      </x:c>
      <x:c r="Q842" t="n">
        <x:v>50</x:v>
      </x:c>
      <x:c r="R842" t="n">
        <x:v>90</x:v>
      </x:c>
      <x:c r="S842" t="n">
        <x:v>70</x:v>
      </x:c>
      <x:c r="T842" t="str">
        <x:v>NEW PHYSICAL COPY from Sokalsky7's Collection.pdf page 11. PriceCharting export allocation = $41.19 per card. Working clean/NM range inherited from the existing exact-printing two-source comp in the collection ($50.00–$90.00).</x:v>
      </x:c>
      <x:c r="U842" t="n">
        <x:v>996</x:v>
      </x:c>
      <x:c r="V842" t="str">
        <x:v>Existing exact-printing TCGplayer + PriceCharting research; new physical copy confirmed by updated Collection.pdf</x:v>
      </x:c>
      <x:c r="W842" t="str">
        <x:v>https://www.pricecharting.com/game/pokemon-legendary-treasures/pikachu-rc7</x:v>
      </x:c>
    </x:row>
    <x:row r="843">
      <x:c r="A843" t="n">
        <x:v>843</x:v>
      </x:c>
      <x:c r="B843" t="str">
        <x:v>PDF Import / Added Cards</x:v>
      </x:c>
      <x:c r="C843" t="str">
        <x:v>Ghetsis</x:v>
      </x:c>
      <x:c r="D843" t="str">
        <x:v>115/116</x:v>
      </x:c>
      <x:c r="E843" t="str">
        <x:v>Plasma Freeze</x:v>
      </x:c>
      <x:c r="F843" t="n">
        <x:v>2013</x:v>
      </x:c>
      <x:c r="G843" t="str">
        <x:v>Full Art Holo Ultra Rare (Team Plasma)</x:v>
      </x:c>
      <x:c r="H843" t="str">
        <x:v>2 of 2</x:v>
      </x:c>
      <x:c r="I843" t="n">
        <x:v>65</x:v>
      </x:c>
      <x:c r="J843" t="n">
        <x:v>90</x:v>
      </x:c>
      <x:c r="K843" t="n">
        <x:v>77.5</x:v>
      </x:c>
      <x:c r="L843" t="str">
        <x:v>$20+</x:v>
      </x:c>
      <x:c r="M843" t="str">
        <x:v>Yes</x:v>
      </x:c>
      <x:c r="N843" t="str">
        <x:v>Yes</x:v>
      </x:c>
      <x:c r="O843" t="str">
        <x:v>Yes</x:v>
      </x:c>
      <x:c r="P843" t="str">
        <x:v>Condition not yet reviewed</x:v>
      </x:c>
      <x:c r="Q843" t="n">
        <x:v>65</x:v>
      </x:c>
      <x:c r="R843" t="n">
        <x:v>90</x:v>
      </x:c>
      <x:c r="S843" t="n">
        <x:v>77.5</x:v>
      </x:c>
      <x:c r="T843" t="str">
        <x:v>NEW PHYSICAL COPY from Sokalsky7's Collection.pdf page 11. PriceCharting export allocation = $57.85 per card. Working clean/NM range inherited from the existing exact-printing two-source comp in the collection ($65.00–$90.00).</x:v>
      </x:c>
      <x:c r="U843" t="n">
        <x:v>996</x:v>
      </x:c>
      <x:c r="V843" t="str">
        <x:v>Existing exact-printing TCGplayer + PriceCharting research; new physical copy confirmed by updated Collection.pdf</x:v>
      </x:c>
      <x:c r="W843" t="str">
        <x:v>https://www.tcgplayer.com/product/85695/pokemon-plasma-freeze-ghetsis-team-plasma-full-art</x:v>
      </x:c>
    </x:row>
    <x:row r="844">
      <x:c r="A844" t="n">
        <x:v>844</x:v>
      </x:c>
      <x:c r="B844" t="str">
        <x:v>PDF Import / Added Cards</x:v>
      </x:c>
      <x:c r="C844" t="str">
        <x:v>Umbreon</x:v>
      </x:c>
      <x:c r="D844" t="str">
        <x:v>61/108</x:v>
      </x:c>
      <x:c r="E844" t="str">
        <x:v>Dark Explorers</x:v>
      </x:c>
      <x:c r="F844" t="n">
        <x:v>2012</x:v>
      </x:c>
      <x:c r="G844" t="str">
        <x:v>Reverse Holo</x:v>
      </x:c>
      <x:c r="H844" t="str">
        <x:v>2 of 2</x:v>
      </x:c>
      <x:c r="I844" t="n">
        <x:v>60</x:v>
      </x:c>
      <x:c r="J844" t="n">
        <x:v>100</x:v>
      </x:c>
      <x:c r="K844" t="n">
        <x:v>80</x:v>
      </x:c>
      <x:c r="L844" t="str">
        <x:v>$20+</x:v>
      </x:c>
      <x:c r="M844" t="str">
        <x:v>Yes</x:v>
      </x:c>
      <x:c r="N844" t="str">
        <x:v>Yes</x:v>
      </x:c>
      <x:c r="O844" t="str">
        <x:v>Yes</x:v>
      </x:c>
      <x:c r="P844" t="str">
        <x:v>Condition not yet reviewed</x:v>
      </x:c>
      <x:c r="Q844" t="n">
        <x:v>60</x:v>
      </x:c>
      <x:c r="R844" t="n">
        <x:v>100</x:v>
      </x:c>
      <x:c r="S844" t="n">
        <x:v>80</x:v>
      </x:c>
      <x:c r="T844" t="str">
        <x:v>NEW PHYSICAL COPY from Sokalsky7's Collection.pdf page 11. PriceCharting export allocation = $55.00 per card. Working clean/NM range inherited from the existing exact-printing two-source comp in the collection ($60.00–$100.00).</x:v>
      </x:c>
      <x:c r="U844" t="n">
        <x:v>996</x:v>
      </x:c>
      <x:c r="V844" t="str">
        <x:v>Existing exact-printing TCGplayer + PriceCharting research; new physical copy confirmed by updated Collection.pdf</x:v>
      </x:c>
      <x:c r="W844" t="str">
        <x:v>https://tcgscreener.com/pokemon/dark-explorers/umbreon-rev-holo-61</x:v>
      </x:c>
    </x:row>
    <x:row r="845">
      <x:c r="A845" t="n">
        <x:v>845</x:v>
      </x:c>
      <x:c r="B845" t="str">
        <x:v>PDF Import / Added Cards</x:v>
      </x:c>
      <x:c r="C845" t="str">
        <x:v>Charmander</x:v>
      </x:c>
      <x:c r="D845" t="str">
        <x:v>59/99</x:v>
      </x:c>
      <x:c r="E845" t="str">
        <x:v>Arceus</x:v>
      </x:c>
      <x:c r="F845" t="n">
        <x:v>2009</x:v>
      </x:c>
      <x:c r="G845" t="str">
        <x:v>Reverse Holo</x:v>
      </x:c>
      <x:c r="H845" t="str">
        <x:v>2 of 2</x:v>
      </x:c>
      <x:c r="I845" t="n">
        <x:v>75</x:v>
      </x:c>
      <x:c r="J845" t="n">
        <x:v>90</x:v>
      </x:c>
      <x:c r="K845" t="n">
        <x:v>82.5</x:v>
      </x:c>
      <x:c r="L845" t="str">
        <x:v>$20+</x:v>
      </x:c>
      <x:c r="M845" t="str">
        <x:v>Yes</x:v>
      </x:c>
      <x:c r="N845" t="str">
        <x:v>Yes</x:v>
      </x:c>
      <x:c r="O845" t="str">
        <x:v>Yes</x:v>
      </x:c>
      <x:c r="P845" t="str">
        <x:v>Condition not yet reviewed</x:v>
      </x:c>
      <x:c r="Q845" t="n">
        <x:v>75</x:v>
      </x:c>
      <x:c r="R845" t="n">
        <x:v>90</x:v>
      </x:c>
      <x:c r="S845" t="n">
        <x:v>82.5</x:v>
      </x:c>
      <x:c r="T845" t="str">
        <x:v>NEW PHYSICAL COPY from Sokalsky7's Collection.pdf page 11. PriceCharting export allocation = $32.84 per card. Working clean/NM range inherited from the existing exact-printing two-source comp in the collection ($75.00–$90.00).</x:v>
      </x:c>
      <x:c r="U845" t="n">
        <x:v>996</x:v>
      </x:c>
      <x:c r="V845" t="str">
        <x:v>Existing exact-printing TCGplayer + PriceCharting research; new physical copy confirmed by updated Collection.pdf</x:v>
      </x:c>
      <x:c r="W845" t="str">
        <x:v>https://www.tcgplayer.com/categories/trading-collectible-card-games/pokemon/price-guides/arceus</x:v>
      </x:c>
    </x:row>
    <x:row r="846">
      <x:c r="A846" t="n">
        <x:v>846</x:v>
      </x:c>
      <x:c r="B846" t="str">
        <x:v>PDF Import / Added Cards</x:v>
      </x:c>
      <x:c r="C846" t="str">
        <x:v>Cresselia-EX</x:v>
      </x:c>
      <x:c r="D846" t="str">
        <x:v>143/149</x:v>
      </x:c>
      <x:c r="E846" t="str">
        <x:v>Boundaries Crossed</x:v>
      </x:c>
      <x:c r="F846" t="n">
        <x:v>2012</x:v>
      </x:c>
      <x:c r="G846" t="str">
        <x:v>Full Art Holo Ultra Rare</x:v>
      </x:c>
      <x:c r="H846" t="str">
        <x:v>2 of 2</x:v>
      </x:c>
      <x:c r="I846" t="n">
        <x:v>60</x:v>
      </x:c>
      <x:c r="J846" t="n">
        <x:v>110</x:v>
      </x:c>
      <x:c r="K846" t="n">
        <x:v>85</x:v>
      </x:c>
      <x:c r="L846" t="str">
        <x:v>$20+</x:v>
      </x:c>
      <x:c r="M846" t="str">
        <x:v>Yes</x:v>
      </x:c>
      <x:c r="N846" t="str">
        <x:v>Yes</x:v>
      </x:c>
      <x:c r="O846" t="str">
        <x:v>Yes</x:v>
      </x:c>
      <x:c r="P846" t="str">
        <x:v>Condition not yet reviewed</x:v>
      </x:c>
      <x:c r="Q846" t="n">
        <x:v>60</x:v>
      </x:c>
      <x:c r="R846" t="n">
        <x:v>110</x:v>
      </x:c>
      <x:c r="S846" t="n">
        <x:v>85</x:v>
      </x:c>
      <x:c r="T846" t="str">
        <x:v>NEW PHYSICAL COPY from Sokalsky7's Collection.pdf page 11. PriceCharting export allocation = $60.00 per card. Working clean/NM range inherited from the existing exact-printing two-source comp in the collection ($60.00–$110.00).</x:v>
      </x:c>
      <x:c r="U846" t="n">
        <x:v>996</x:v>
      </x:c>
      <x:c r="V846" t="str">
        <x:v>Existing exact-printing TCGplayer + PriceCharting research; new physical copy confirmed by updated Collection.pdf</x:v>
      </x:c>
      <x:c r="W846" t="str">
        <x:v>https://www.pricecharting.com/game/pokemon-boundaries-crossed/cresselia-ex-143</x:v>
      </x:c>
    </x:row>
    <x:row r="847">
      <x:c r="A847" t="n">
        <x:v>847</x:v>
      </x:c>
      <x:c r="B847" t="str">
        <x:v>PDF Import / Added Cards</x:v>
      </x:c>
      <x:c r="C847" t="str">
        <x:v>Gliscor LV.X</x:v>
      </x:c>
      <x:c r="D847" t="str">
        <x:v>141/146</x:v>
      </x:c>
      <x:c r="E847" t="str">
        <x:v>Legends Awakened</x:v>
      </x:c>
      <x:c r="F847" t="n">
        <x:v>2008</x:v>
      </x:c>
      <x:c r="G847" t="str">
        <x:v>Holofoil Ultra Rare (LV.X)</x:v>
      </x:c>
      <x:c r="H847" t="str">
        <x:v>3 of 4</x:v>
      </x:c>
      <x:c r="I847" t="n">
        <x:v>80</x:v>
      </x:c>
      <x:c r="J847" t="n">
        <x:v>100</x:v>
      </x:c>
      <x:c r="K847" t="n">
        <x:v>90</x:v>
      </x:c>
      <x:c r="L847" t="str">
        <x:v>$20+</x:v>
      </x:c>
      <x:c r="M847" t="str">
        <x:v>Yes</x:v>
      </x:c>
      <x:c r="N847" t="str">
        <x:v>Yes</x:v>
      </x:c>
      <x:c r="O847" t="str">
        <x:v>Yes</x:v>
      </x:c>
      <x:c r="P847" t="str">
        <x:v>Condition not yet reviewed</x:v>
      </x:c>
      <x:c r="Q847" t="n">
        <x:v>80</x:v>
      </x:c>
      <x:c r="R847" t="n">
        <x:v>100</x:v>
      </x:c>
      <x:c r="S847" t="n">
        <x:v>90</x:v>
      </x:c>
      <x:c r="T847" t="str">
        <x:v>NEW PHYSICAL COPY from Sokalsky7's Collection.pdf page 11. PriceCharting export allocation = $72.05 per card. Working clean/NM range inherited from the existing exact-printing two-source comp in the collection ($80.00–$100.00).</x:v>
      </x:c>
      <x:c r="U847" t="n">
        <x:v>996</x:v>
      </x:c>
      <x:c r="V847" t="str">
        <x:v>Existing exact-printing TCGplayer + PriceCharting research; new physical copy confirmed by updated Collection.pdf</x:v>
      </x:c>
      <x:c r="W847" t="str">
        <x:v>https://www.pricecharting.com/game/pokemon-legends-awakened/gliscor-lv-x-141</x:v>
      </x:c>
    </x:row>
    <x:row r="848">
      <x:c r="A848" t="n">
        <x:v>848</x:v>
      </x:c>
      <x:c r="B848" t="str">
        <x:v>PDF Import / Added Cards</x:v>
      </x:c>
      <x:c r="C848" t="str">
        <x:v>Gliscor LV.X</x:v>
      </x:c>
      <x:c r="D848" t="str">
        <x:v>141/146</x:v>
      </x:c>
      <x:c r="E848" t="str">
        <x:v>Legends Awakened</x:v>
      </x:c>
      <x:c r="F848" t="n">
        <x:v>2008</x:v>
      </x:c>
      <x:c r="G848" t="str">
        <x:v>Holofoil Ultra Rare (LV.X)</x:v>
      </x:c>
      <x:c r="H848" t="str">
        <x:v>4 of 4</x:v>
      </x:c>
      <x:c r="I848" t="n">
        <x:v>80</x:v>
      </x:c>
      <x:c r="J848" t="n">
        <x:v>100</x:v>
      </x:c>
      <x:c r="K848" t="n">
        <x:v>90</x:v>
      </x:c>
      <x:c r="L848" t="str">
        <x:v>$20+</x:v>
      </x:c>
      <x:c r="M848" t="str">
        <x:v>Yes</x:v>
      </x:c>
      <x:c r="N848" t="str">
        <x:v>Yes</x:v>
      </x:c>
      <x:c r="O848" t="str">
        <x:v>Yes</x:v>
      </x:c>
      <x:c r="P848" t="str">
        <x:v>Condition not yet reviewed</x:v>
      </x:c>
      <x:c r="Q848" t="n">
        <x:v>80</x:v>
      </x:c>
      <x:c r="R848" t="n">
        <x:v>100</x:v>
      </x:c>
      <x:c r="S848" t="n">
        <x:v>90</x:v>
      </x:c>
      <x:c r="T848" t="str">
        <x:v>NEW PHYSICAL COPY from Sokalsky7's Collection.pdf page 11. PriceCharting export allocation = $72.05 per card. Working clean/NM range inherited from the existing exact-printing two-source comp in the collection ($80.00–$100.00).</x:v>
      </x:c>
      <x:c r="U848" t="n">
        <x:v>996</x:v>
      </x:c>
      <x:c r="V848" t="str">
        <x:v>Existing exact-printing TCGplayer + PriceCharting research; new physical copy confirmed by updated Collection.pdf</x:v>
      </x:c>
      <x:c r="W848" t="str">
        <x:v>https://www.pricecharting.com/game/pokemon-legends-awakened/gliscor-lv-x-141</x:v>
      </x:c>
    </x:row>
    <x:row r="849">
      <x:c r="A849" t="n">
        <x:v>849</x:v>
      </x:c>
      <x:c r="B849" t="str">
        <x:v>PDF Import / Added Cards</x:v>
      </x:c>
      <x:c r="C849" t="str">
        <x:v>M Gyarados-EX</x:v>
      </x:c>
      <x:c r="D849" t="str">
        <x:v>115/122</x:v>
      </x:c>
      <x:c r="E849" t="str">
        <x:v>XY—BREAKpoint</x:v>
      </x:c>
      <x:c r="F849" t="n">
        <x:v>2016</x:v>
      </x:c>
      <x:c r="G849" t="str">
        <x:v>Shiny Full Art Holo Ultra Rare</x:v>
      </x:c>
      <x:c r="H849" t="str">
        <x:v>2 of 2</x:v>
      </x:c>
      <x:c r="I849" t="n">
        <x:v>90</x:v>
      </x:c>
      <x:c r="J849" t="n">
        <x:v>125</x:v>
      </x:c>
      <x:c r="K849" t="n">
        <x:v>107.5</x:v>
      </x:c>
      <x:c r="L849" t="str">
        <x:v>$20+</x:v>
      </x:c>
      <x:c r="M849" t="str">
        <x:v>Yes</x:v>
      </x:c>
      <x:c r="N849" t="str">
        <x:v>Yes</x:v>
      </x:c>
      <x:c r="O849" t="str">
        <x:v>Yes</x:v>
      </x:c>
      <x:c r="P849" t="str">
        <x:v>Condition not yet reviewed</x:v>
      </x:c>
      <x:c r="Q849" t="n">
        <x:v>90</x:v>
      </x:c>
      <x:c r="R849" t="n">
        <x:v>125</x:v>
      </x:c>
      <x:c r="S849" t="n">
        <x:v>107.5</x:v>
      </x:c>
      <x:c r="T849" t="str">
        <x:v>NEW PHYSICAL COPY from Sokalsky7's Collection.pdf page 12. PriceCharting export allocation = $91.44 per card. Working clean/NM range inherited from the existing exact-printing two-source comp in the collection ($90.00–$125.00).</x:v>
      </x:c>
      <x:c r="U849" t="n">
        <x:v>996</x:v>
      </x:c>
      <x:c r="V849" t="str">
        <x:v>Existing exact-printing TCGplayer + PriceCharting research; new physical copy confirmed by updated Collection.pdf</x:v>
      </x:c>
      <x:c r="W849" t="str">
        <x:v>https://www.pricecharting.com/game/pokemon-breakpoint/m-gyarados-ex-115</x:v>
      </x:c>
    </x:row>
    <x:row r="850">
      <x:c r="A850" t="n">
        <x:v>850</x:v>
      </x:c>
      <x:c r="B850" t="str">
        <x:v>PDF Import / Added Cards</x:v>
      </x:c>
      <x:c r="C850" t="str">
        <x:v>Iris</x:v>
      </x:c>
      <x:c r="D850" t="str">
        <x:v>101/101</x:v>
      </x:c>
      <x:c r="E850" t="str">
        <x:v>Plasma Blast</x:v>
      </x:c>
      <x:c r="F850" t="n">
        <x:v>2013</x:v>
      </x:c>
      <x:c r="G850" t="str">
        <x:v>Full Art Holo Ultra Rare Trainer</x:v>
      </x:c>
      <x:c r="H850" t="str">
        <x:v>2 of 2</x:v>
      </x:c>
      <x:c r="I850" t="n">
        <x:v>90</x:v>
      </x:c>
      <x:c r="J850" t="n">
        <x:v>125</x:v>
      </x:c>
      <x:c r="K850" t="n">
        <x:v>107.5</x:v>
      </x:c>
      <x:c r="L850" t="str">
        <x:v>$20+</x:v>
      </x:c>
      <x:c r="M850" t="str">
        <x:v>Yes</x:v>
      </x:c>
      <x:c r="N850" t="str">
        <x:v>Yes</x:v>
      </x:c>
      <x:c r="O850" t="str">
        <x:v>Yes</x:v>
      </x:c>
      <x:c r="P850" t="str">
        <x:v>Condition not yet reviewed</x:v>
      </x:c>
      <x:c r="Q850" t="n">
        <x:v>90</x:v>
      </x:c>
      <x:c r="R850" t="n">
        <x:v>125</x:v>
      </x:c>
      <x:c r="S850" t="n">
        <x:v>107.5</x:v>
      </x:c>
      <x:c r="T850" t="str">
        <x:v>NEW PHYSICAL COPY from Sokalsky7's Collection.pdf page 12. PriceCharting export allocation = $69.97 per card. Working clean/NM range inherited from the existing exact-printing two-source comp in the collection ($90.00–$125.00).</x:v>
      </x:c>
      <x:c r="U850" t="n">
        <x:v>996</x:v>
      </x:c>
      <x:c r="V850" t="str">
        <x:v>Existing exact-printing TCGplayer + PriceCharting research; new physical copy confirmed by updated Collection.pdf</x:v>
      </x:c>
      <x:c r="W850" t="str">
        <x:v>https://www.pricecharting.com/game/pokemon-plasma-blast/iris-101</x:v>
      </x:c>
    </x:row>
    <x:row r="851">
      <x:c r="A851" t="n">
        <x:v>851</x:v>
      </x:c>
      <x:c r="B851" t="str">
        <x:v>PDF Import / Added Cards</x:v>
      </x:c>
      <x:c r="C851" t="str">
        <x:v>Suicune &amp; Entei LEGEND</x:v>
      </x:c>
      <x:c r="D851" t="str">
        <x:v>95/95</x:v>
      </x:c>
      <x:c r="E851" t="str">
        <x:v>HS—Unleashed</x:v>
      </x:c>
      <x:c r="F851" t="n">
        <x:v>2010</x:v>
      </x:c>
      <x:c r="G851" t="str">
        <x:v>LEGEND Bottom Half Holo Ultra Rare</x:v>
      </x:c>
      <x:c r="H851" t="str">
        <x:v>2 of 2</x:v>
      </x:c>
      <x:c r="I851" t="n">
        <x:v>90</x:v>
      </x:c>
      <x:c r="J851" t="n">
        <x:v>130</x:v>
      </x:c>
      <x:c r="K851" t="n">
        <x:v>110</x:v>
      </x:c>
      <x:c r="L851" t="str">
        <x:v>$20+</x:v>
      </x:c>
      <x:c r="M851" t="str">
        <x:v>Yes</x:v>
      </x:c>
      <x:c r="N851" t="str">
        <x:v>Yes</x:v>
      </x:c>
      <x:c r="O851" t="str">
        <x:v>Yes</x:v>
      </x:c>
      <x:c r="P851" t="str">
        <x:v>Condition not yet reviewed</x:v>
      </x:c>
      <x:c r="Q851" t="n">
        <x:v>90</x:v>
      </x:c>
      <x:c r="R851" t="n">
        <x:v>130</x:v>
      </x:c>
      <x:c r="S851" t="n">
        <x:v>110</x:v>
      </x:c>
      <x:c r="T851" t="str">
        <x:v>NEW PHYSICAL COPY from Sokalsky7's Collection.pdf page 12. PriceCharting export allocation = $95.10 per card. Working clean/NM range inherited from the existing exact-printing two-source comp in the collection ($90.00–$130.00).</x:v>
      </x:c>
      <x:c r="U851" t="n">
        <x:v>996</x:v>
      </x:c>
      <x:c r="V851" t="str">
        <x:v>Existing exact-printing TCGplayer + PriceCharting research; new physical copy confirmed by updated Collection.pdf</x:v>
      </x:c>
      <x:c r="W851" t="str">
        <x:v>https://www.pricecharting.com/game/pokemon-unleashed/suicune-%26-entei-legend-95</x:v>
      </x:c>
    </x:row>
    <x:row r="852">
      <x:c r="A852" t="n">
        <x:v>852</x:v>
      </x:c>
      <x:c r="B852" t="str">
        <x:v>PDF Import / Added Cards</x:v>
      </x:c>
      <x:c r="C852" t="str">
        <x:v>Thundurus-EX</x:v>
      </x:c>
      <x:c r="D852" t="str">
        <x:v>110/116</x:v>
      </x:c>
      <x:c r="E852" t="str">
        <x:v>Plasma Freeze</x:v>
      </x:c>
      <x:c r="F852" t="n">
        <x:v>2013</x:v>
      </x:c>
      <x:c r="G852" t="str">
        <x:v>Full Art Holo Ultra Rare (Team Plasma)</x:v>
      </x:c>
      <x:c r="H852" t="str">
        <x:v>2 of 2</x:v>
      </x:c>
      <x:c r="I852" t="n">
        <x:v>95</x:v>
      </x:c>
      <x:c r="J852" t="n">
        <x:v>130</x:v>
      </x:c>
      <x:c r="K852" t="n">
        <x:v>112.5</x:v>
      </x:c>
      <x:c r="L852" t="str">
        <x:v>$20+</x:v>
      </x:c>
      <x:c r="M852" t="str">
        <x:v>Yes</x:v>
      </x:c>
      <x:c r="N852" t="str">
        <x:v>Yes</x:v>
      </x:c>
      <x:c r="O852" t="str">
        <x:v>Yes</x:v>
      </x:c>
      <x:c r="P852" t="str">
        <x:v>Condition not yet reviewed</x:v>
      </x:c>
      <x:c r="Q852" t="n">
        <x:v>95</x:v>
      </x:c>
      <x:c r="R852" t="n">
        <x:v>130</x:v>
      </x:c>
      <x:c r="S852" t="n">
        <x:v>112.5</x:v>
      </x:c>
      <x:c r="T852" t="str">
        <x:v>NEW PHYSICAL COPY from Sokalsky7's Collection.pdf page 12. PriceCharting export allocation = $86.63 per card. Working clean/NM range inherited from the existing exact-printing two-source comp in the collection ($95.00–$130.00).</x:v>
      </x:c>
      <x:c r="U852" t="n">
        <x:v>996</x:v>
      </x:c>
      <x:c r="V852" t="str">
        <x:v>Existing exact-printing TCGplayer + PriceCharting research; new physical copy confirmed by updated Collection.pdf</x:v>
      </x:c>
      <x:c r="W852" t="str">
        <x:v>https://www.pricecharting.com/game/pokemon-plasma-freeze/thundurus-ex-110</x:v>
      </x:c>
    </x:row>
    <x:row r="853">
      <x:c r="A853" t="n">
        <x:v>853</x:v>
      </x:c>
      <x:c r="B853" t="str">
        <x:v>PDF Import / Added Cards</x:v>
      </x:c>
      <x:c r="C853" t="str">
        <x:v>Palkia &amp; Dialga LEGEND</x:v>
      </x:c>
      <x:c r="D853" t="str">
        <x:v>101/102</x:v>
      </x:c>
      <x:c r="E853" t="str">
        <x:v>HS—Triumphant</x:v>
      </x:c>
      <x:c r="F853" t="n">
        <x:v>2010</x:v>
      </x:c>
      <x:c r="G853" t="str">
        <x:v>LEGEND Top Half Holo Ultra Rare</x:v>
      </x:c>
      <x:c r="H853" t="str">
        <x:v>2 of 2</x:v>
      </x:c>
      <x:c r="I853" t="n">
        <x:v>100</x:v>
      </x:c>
      <x:c r="J853" t="n">
        <x:v>140</x:v>
      </x:c>
      <x:c r="K853" t="n">
        <x:v>120</x:v>
      </x:c>
      <x:c r="L853" t="str">
        <x:v>$20+</x:v>
      </x:c>
      <x:c r="M853" t="str">
        <x:v>Yes</x:v>
      </x:c>
      <x:c r="N853" t="str">
        <x:v>Yes</x:v>
      </x:c>
      <x:c r="O853" t="str">
        <x:v>Yes</x:v>
      </x:c>
      <x:c r="P853" t="str">
        <x:v>Condition not yet reviewed</x:v>
      </x:c>
      <x:c r="Q853" t="n">
        <x:v>100</x:v>
      </x:c>
      <x:c r="R853" t="n">
        <x:v>140</x:v>
      </x:c>
      <x:c r="S853" t="n">
        <x:v>120</x:v>
      </x:c>
      <x:c r="T853" t="str">
        <x:v>NEW PHYSICAL COPY from Sokalsky7's Collection.pdf page 12. PriceCharting export allocation = $114.71 per card. Working clean/NM range inherited from the existing exact-printing two-source comp in the collection ($100.00–$140.00).</x:v>
      </x:c>
      <x:c r="U853" t="n">
        <x:v>996</x:v>
      </x:c>
      <x:c r="V853" t="str">
        <x:v>Existing exact-printing TCGplayer + PriceCharting research; new physical copy confirmed by updated Collection.pdf</x:v>
      </x:c>
      <x:c r="W853" t="str">
        <x:v>https://www.pricecharting.com/game/pokemon-triumphant/palkia-%26-dialga-legend-101</x:v>
      </x:c>
    </x:row>
    <x:row r="854">
      <x:c r="A854" t="n">
        <x:v>854</x:v>
      </x:c>
      <x:c r="B854" t="str">
        <x:v>PDF Import / Added Cards</x:v>
      </x:c>
      <x:c r="C854" t="str">
        <x:v>Genesect-EX</x:v>
      </x:c>
      <x:c r="D854" t="str">
        <x:v>97/101</x:v>
      </x:c>
      <x:c r="E854" t="str">
        <x:v>Plasma Blast</x:v>
      </x:c>
      <x:c r="F854" t="n">
        <x:v>2013</x:v>
      </x:c>
      <x:c r="G854" t="str">
        <x:v>Full Art Holo Ultra Rare (Team Plasma)</x:v>
      </x:c>
      <x:c r="H854" t="str">
        <x:v>2 of 2</x:v>
      </x:c>
      <x:c r="I854" t="n">
        <x:v>90</x:v>
      </x:c>
      <x:c r="J854" t="n">
        <x:v>160</x:v>
      </x:c>
      <x:c r="K854" t="n">
        <x:v>125</x:v>
      </x:c>
      <x:c r="L854" t="str">
        <x:v>$20+</x:v>
      </x:c>
      <x:c r="M854" t="str">
        <x:v>Yes</x:v>
      </x:c>
      <x:c r="N854" t="str">
        <x:v>Yes</x:v>
      </x:c>
      <x:c r="O854" t="str">
        <x:v>Yes</x:v>
      </x:c>
      <x:c r="P854" t="str">
        <x:v>Condition not yet reviewed</x:v>
      </x:c>
      <x:c r="Q854" t="n">
        <x:v>90</x:v>
      </x:c>
      <x:c r="R854" t="n">
        <x:v>160</x:v>
      </x:c>
      <x:c r="S854" t="n">
        <x:v>125</x:v>
      </x:c>
      <x:c r="T854" t="str">
        <x:v>NEW PHYSICAL COPY from Sokalsky7's Collection.pdf page 12. PriceCharting export allocation = $134.51 per card. Working clean/NM range inherited from the existing exact-printing two-source comp in the collection ($90.00–$160.00).</x:v>
      </x:c>
      <x:c r="U854" t="n">
        <x:v>996</x:v>
      </x:c>
      <x:c r="V854" t="str">
        <x:v>Existing exact-printing TCGplayer + PriceCharting research; new physical copy confirmed by updated Collection.pdf</x:v>
      </x:c>
      <x:c r="W854" t="str">
        <x:v>https://www.pricecharting.com/game/pokemon-plasma-blast/genesect-ex-97</x:v>
      </x:c>
    </x:row>
    <x:row r="855">
      <x:c r="A855" t="n">
        <x:v>855</x:v>
      </x:c>
      <x:c r="B855" t="str">
        <x:v>PDF Import / Added Cards</x:v>
      </x:c>
      <x:c r="C855" t="str">
        <x:v>Zekrom</x:v>
      </x:c>
      <x:c r="D855" t="str">
        <x:v>114/114</x:v>
      </x:c>
      <x:c r="E855" t="str">
        <x:v>Black &amp; White</x:v>
      </x:c>
      <x:c r="F855" t="n">
        <x:v>2011</x:v>
      </x:c>
      <x:c r="G855" t="str">
        <x:v>Full Art Holo Ultra Rare</x:v>
      </x:c>
      <x:c r="H855" t="str">
        <x:v>3 of 4</x:v>
      </x:c>
      <x:c r="I855" t="n">
        <x:v>90</x:v>
      </x:c>
      <x:c r="J855" t="n">
        <x:v>180</x:v>
      </x:c>
      <x:c r="K855" t="n">
        <x:v>135</x:v>
      </x:c>
      <x:c r="L855" t="str">
        <x:v>$20+</x:v>
      </x:c>
      <x:c r="M855" t="str">
        <x:v>Yes</x:v>
      </x:c>
      <x:c r="N855" t="str">
        <x:v>Yes</x:v>
      </x:c>
      <x:c r="O855" t="str">
        <x:v>Yes</x:v>
      </x:c>
      <x:c r="P855" t="str">
        <x:v>Condition not yet reviewed</x:v>
      </x:c>
      <x:c r="Q855" t="n">
        <x:v>90</x:v>
      </x:c>
      <x:c r="R855" t="n">
        <x:v>180</x:v>
      </x:c>
      <x:c r="S855" t="n">
        <x:v>135</x:v>
      </x:c>
      <x:c r="T855" t="str">
        <x:v>NEW PHYSICAL COPY from Sokalsky7's Collection.pdf page 12. PriceCharting export allocation = $84.00 per card. Working clean/NM range inherited from the existing exact-printing two-source comp in the collection ($90.00–$180.00).</x:v>
      </x:c>
      <x:c r="U855" t="n">
        <x:v>996</x:v>
      </x:c>
      <x:c r="V855" t="str">
        <x:v>Existing exact-printing TCGplayer + PriceCharting research; new physical copy confirmed by updated Collection.pdf</x:v>
      </x:c>
      <x:c r="W855" t="str">
        <x:v>https://www.pricecharting.com/game/pokemon-black-%26-white/zekrom-114</x:v>
      </x:c>
    </x:row>
    <x:row r="856">
      <x:c r="A856" t="n">
        <x:v>856</x:v>
      </x:c>
      <x:c r="B856" t="str">
        <x:v>PDF Import / Added Cards</x:v>
      </x:c>
      <x:c r="C856" t="str">
        <x:v>Zekrom</x:v>
      </x:c>
      <x:c r="D856" t="str">
        <x:v>114/114</x:v>
      </x:c>
      <x:c r="E856" t="str">
        <x:v>Black &amp; White</x:v>
      </x:c>
      <x:c r="F856" t="n">
        <x:v>2011</x:v>
      </x:c>
      <x:c r="G856" t="str">
        <x:v>Full Art Holo Ultra Rare</x:v>
      </x:c>
      <x:c r="H856" t="str">
        <x:v>4 of 4</x:v>
      </x:c>
      <x:c r="I856" t="n">
        <x:v>90</x:v>
      </x:c>
      <x:c r="J856" t="n">
        <x:v>180</x:v>
      </x:c>
      <x:c r="K856" t="n">
        <x:v>135</x:v>
      </x:c>
      <x:c r="L856" t="str">
        <x:v>$20+</x:v>
      </x:c>
      <x:c r="M856" t="str">
        <x:v>Yes</x:v>
      </x:c>
      <x:c r="N856" t="str">
        <x:v>Yes</x:v>
      </x:c>
      <x:c r="O856" t="str">
        <x:v>Yes</x:v>
      </x:c>
      <x:c r="P856" t="str">
        <x:v>Condition not yet reviewed</x:v>
      </x:c>
      <x:c r="Q856" t="n">
        <x:v>90</x:v>
      </x:c>
      <x:c r="R856" t="n">
        <x:v>180</x:v>
      </x:c>
      <x:c r="S856" t="n">
        <x:v>135</x:v>
      </x:c>
      <x:c r="T856" t="str">
        <x:v>NEW PHYSICAL COPY from Sokalsky7's Collection.pdf page 12. PriceCharting export allocation = $84.00 per card. Working clean/NM range inherited from the existing exact-printing two-source comp in the collection ($90.00–$180.00).</x:v>
      </x:c>
      <x:c r="U856" t="n">
        <x:v>996</x:v>
      </x:c>
      <x:c r="V856" t="str">
        <x:v>Existing exact-printing TCGplayer + PriceCharting research; new physical copy confirmed by updated Collection.pdf</x:v>
      </x:c>
      <x:c r="W856" t="str">
        <x:v>https://www.pricecharting.com/game/pokemon-black-%26-white/zekrom-114</x:v>
      </x:c>
    </x:row>
    <x:row r="857">
      <x:c r="A857" t="n">
        <x:v>857</x:v>
      </x:c>
      <x:c r="B857" t="str">
        <x:v>PDF Import / Added Cards</x:v>
      </x:c>
      <x:c r="C857" t="str">
        <x:v>Charizard-EX</x:v>
      </x:c>
      <x:c r="D857" t="str">
        <x:v>100/106</x:v>
      </x:c>
      <x:c r="E857" t="str">
        <x:v>XY—Flashfire</x:v>
      </x:c>
      <x:c r="F857" t="n">
        <x:v>2014</x:v>
      </x:c>
      <x:c r="G857" t="str">
        <x:v>Full Art Holo Ultra Rare</x:v>
      </x:c>
      <x:c r="H857" t="str">
        <x:v>2 of 2</x:v>
      </x:c>
      <x:c r="I857" t="n">
        <x:v>100</x:v>
      </x:c>
      <x:c r="J857" t="n">
        <x:v>180</x:v>
      </x:c>
      <x:c r="K857" t="n">
        <x:v>140</x:v>
      </x:c>
      <x:c r="L857" t="str">
        <x:v>$20+</x:v>
      </x:c>
      <x:c r="M857" t="str">
        <x:v>Yes</x:v>
      </x:c>
      <x:c r="N857" t="str">
        <x:v>Yes</x:v>
      </x:c>
      <x:c r="O857" t="str">
        <x:v>Yes</x:v>
      </x:c>
      <x:c r="P857" t="str">
        <x:v>Condition not yet reviewed</x:v>
      </x:c>
      <x:c r="Q857" t="n">
        <x:v>100</x:v>
      </x:c>
      <x:c r="R857" t="n">
        <x:v>180</x:v>
      </x:c>
      <x:c r="S857" t="n">
        <x:v>140</x:v>
      </x:c>
      <x:c r="T857" t="str">
        <x:v>NEW PHYSICAL COPY from Sokalsky7's Collection.pdf page 13. PriceCharting export allocation = $150.00 per card. Working clean/NM range inherited from the existing exact-printing two-source comp in the collection ($100.00–$180.00).</x:v>
      </x:c>
      <x:c r="U857" t="n">
        <x:v>996</x:v>
      </x:c>
      <x:c r="V857" t="str">
        <x:v>Existing exact-printing TCGplayer + PriceCharting research; new physical copy confirmed by updated Collection.pdf</x:v>
      </x:c>
      <x:c r="W857" t="str">
        <x:v>https://www.pricecharting.com/game/pokemon-flashfire/charizard-ex-100</x:v>
      </x:c>
    </x:row>
    <x:row r="858">
      <x:c r="A858" t="n">
        <x:v>858</x:v>
      </x:c>
      <x:c r="B858" t="str">
        <x:v>PDF Import / Added Cards</x:v>
      </x:c>
      <x:c r="C858" t="str">
        <x:v>Latios-EX</x:v>
      </x:c>
      <x:c r="D858" t="str">
        <x:v>113/116</x:v>
      </x:c>
      <x:c r="E858" t="str">
        <x:v>Plasma Freeze</x:v>
      </x:c>
      <x:c r="F858" t="n">
        <x:v>2013</x:v>
      </x:c>
      <x:c r="G858" t="str">
        <x:v>Full Art Holo Ultra Rare</x:v>
      </x:c>
      <x:c r="H858" t="str">
        <x:v>2 of 2</x:v>
      </x:c>
      <x:c r="I858" t="n">
        <x:v>120</x:v>
      </x:c>
      <x:c r="J858" t="n">
        <x:v>230</x:v>
      </x:c>
      <x:c r="K858" t="n">
        <x:v>175</x:v>
      </x:c>
      <x:c r="L858" t="str">
        <x:v>$20+</x:v>
      </x:c>
      <x:c r="M858" t="str">
        <x:v>Yes</x:v>
      </x:c>
      <x:c r="N858" t="str">
        <x:v>Yes</x:v>
      </x:c>
      <x:c r="O858" t="str">
        <x:v>Yes</x:v>
      </x:c>
      <x:c r="P858" t="str">
        <x:v>Condition not yet reviewed</x:v>
      </x:c>
      <x:c r="Q858" t="n">
        <x:v>120</x:v>
      </x:c>
      <x:c r="R858" t="n">
        <x:v>230</x:v>
      </x:c>
      <x:c r="S858" t="n">
        <x:v>175</x:v>
      </x:c>
      <x:c r="T858" t="str">
        <x:v>NEW PHYSICAL COPY from Sokalsky7's Collection.pdf page 13. PriceCharting export allocation = $137.38 per card. Working clean/NM range inherited from the existing exact-printing two-source comp in the collection ($120.00–$230.00).</x:v>
      </x:c>
      <x:c r="U858" t="n">
        <x:v>996</x:v>
      </x:c>
      <x:c r="V858" t="str">
        <x:v>Existing exact-printing TCGplayer + PriceCharting research; new physical copy confirmed by updated Collection.pdf</x:v>
      </x:c>
      <x:c r="W858" t="str">
        <x:v>https://www.pricecharting.com/game/pokemon-plasma-freeze/latios-ex-113</x:v>
      </x:c>
    </x:row>
    <x:row r="859">
      <x:c r="A859" t="n">
        <x:v>859</x:v>
      </x:c>
      <x:c r="B859" t="str">
        <x:v>PDF Import / Added Cards</x:v>
      </x:c>
      <x:c r="C859" t="str">
        <x:v>Primal Kyogre-EX</x:v>
      </x:c>
      <x:c r="D859" t="str">
        <x:v>96/98</x:v>
      </x:c>
      <x:c r="E859" t="str">
        <x:v>Ancient Origins</x:v>
      </x:c>
      <x:c r="F859" t="n">
        <x:v>2015</x:v>
      </x:c>
      <x:c r="G859" t="str">
        <x:v>Shiny Full Art Holo Secret Rare</x:v>
      </x:c>
      <x:c r="H859" t="str">
        <x:v>2 of 2</x:v>
      </x:c>
      <x:c r="I859" t="n">
        <x:v>180</x:v>
      </x:c>
      <x:c r="J859" t="n">
        <x:v>450</x:v>
      </x:c>
      <x:c r="K859" t="n">
        <x:v>315</x:v>
      </x:c>
      <x:c r="L859" t="str">
        <x:v>$20+</x:v>
      </x:c>
      <x:c r="M859" t="str">
        <x:v>Yes</x:v>
      </x:c>
      <x:c r="N859" t="str">
        <x:v>Yes</x:v>
      </x:c>
      <x:c r="O859" t="str">
        <x:v>Yes</x:v>
      </x:c>
      <x:c r="P859" t="str">
        <x:v>Condition not yet reviewed</x:v>
      </x:c>
      <x:c r="Q859" t="n">
        <x:v>180</x:v>
      </x:c>
      <x:c r="R859" t="n">
        <x:v>450</x:v>
      </x:c>
      <x:c r="S859" t="n">
        <x:v>315</x:v>
      </x:c>
      <x:c r="T859" t="str">
        <x:v>NEW PHYSICAL COPY from Sokalsky7's Collection.pdf page 13. PriceCharting export allocation = $180.00 per card. Working clean/NM range inherited from the existing exact-printing two-source comp in the collection ($180.00–$450.00).</x:v>
      </x:c>
      <x:c r="U859" t="n">
        <x:v>996</x:v>
      </x:c>
      <x:c r="V859" t="str">
        <x:v>Existing exact-printing TCGplayer + PriceCharting research; new physical copy confirmed by updated Collection.pdf</x:v>
      </x:c>
      <x:c r="W859" t="str">
        <x:v>https://www.pricecharting.com/game/pokemon-ancient-origins/primal-kyogre-ex-96</x:v>
      </x:c>
    </x:row>
    <x:row r="860">
      <x:c r="A860" t="n">
        <x:v>860</x:v>
      </x:c>
      <x:c r="B860" t="str">
        <x:v>Dragon / Dragon Vault</x:v>
      </x:c>
      <x:c r="C860" t="str">
        <x:v>Rayquaza</x:v>
      </x:c>
      <x:c r="D860" t="str">
        <x:v>11/20</x:v>
      </x:c>
      <x:c r="E860" t="str">
        <x:v>Dragon Vault</x:v>
      </x:c>
      <x:c r="F860" t="n">
        <x:v>2012</x:v>
      </x:c>
      <x:c r="G860" t="str">
        <x:v>Normal Holo</x:v>
      </x:c>
      <x:c r="H860" t="str">
        <x:v>3 of 3</x:v>
      </x:c>
      <x:c r="I860" t="n">
        <x:v>35</x:v>
      </x:c>
      <x:c r="J860" t="n">
        <x:v>50</x:v>
      </x:c>
      <x:c r="K860" t="n">
        <x:v>42.5</x:v>
      </x:c>
      <x:c r="L860" t="str">
        <x:v>$20+</x:v>
      </x:c>
      <x:c r="M860" t="str">
        <x:v>Yes</x:v>
      </x:c>
      <x:c r="N860" t="str">
        <x:v>Yes</x:v>
      </x:c>
      <x:c r="O860" t="str">
        <x:v>Yes</x:v>
      </x:c>
      <x:c r="P860" t="str">
        <x:v>Manual pre-grade: PSA 8 most likely</x:v>
      </x:c>
      <x:c r="Q860" t="n">
        <x:v>35</x:v>
      </x:c>
      <x:c r="R860" t="n">
        <x:v>50</x:v>
      </x:c>
      <x:c r="S860" t="n">
        <x:v>42.5</x:v>
      </x:c>
      <x:c r="T860" t="str">
        <x:v>Dragon Vault Rayquaza 11/20 regular holo copy 3 of 3. Manual grading session 2026-08-18: centering PSA 9 (app: 59/41 L-R and 57/43 T-B, essentially at the PSA-9 centering boundary); corners PSA 8–9 due small reverse corner whitening/touches; edges PSA 8 due repeated small reverse bottom-edge chips/flecks plus a few smaller perimeter touches; surface PSA 9–10 with no obvious crease, dent, major scratch, or holo scrape in supplied angles. Overall PSA 8 most likely. Strict odds: PSA 7 ~4%, PSA 8 ~76%, PSA 9 ~20%, PSA 10 ~0%.</x:v>
      </x:c>
      <x:c r="U860" t="n">
        <x:v>997</x:v>
      </x:c>
      <x:c r="V860" t="str">
        <x:v>TCGplayer + PriceCharting + PSA/Collectors, researched 2026-08-18</x:v>
      </x:c>
      <x:c r="W860" t="str">
        <x:v>https://www.pricecharting.com/game/pokemon-dragon-vault/rayquaza-11</x:v>
      </x:c>
    </x:row>
    <x:row r="861">
      <x:c r="A861" t="n">
        <x:v>861</x:v>
      </x:c>
      <x:c r="B861" t="str">
        <x:v>Post-Dragon / Mixed Pokémon</x:v>
      </x:c>
      <x:c r="C861" t="str">
        <x:v>Rayquaza</x:v>
      </x:c>
      <x:c r="D861" t="str">
        <x:v>93/113</x:v>
      </x:c>
      <x:c r="E861" t="str">
        <x:v>Legendary Treasures</x:v>
      </x:c>
      <x:c r="F861" t="n">
        <x:v>2013</x:v>
      </x:c>
      <x:c r="G861" t="str">
        <x:v>Holo Rare</x:v>
      </x:c>
      <x:c r="H861" t="str">
        <x:v>1 of 1</x:v>
      </x:c>
      <x:c r="I861" t="n">
        <x:v>22.53</x:v>
      </x:c>
      <x:c r="J861" t="n">
        <x:v>43.94</x:v>
      </x:c>
      <x:c r="K861" t="n">
        <x:v>33.235</x:v>
      </x:c>
      <x:c r="L861" t="str">
        <x:v>$20+</x:v>
      </x:c>
      <x:c r="M861" t="str">
        <x:v>Yes</x:v>
      </x:c>
      <x:c r="N861" t="str">
        <x:v>Yes</x:v>
      </x:c>
      <x:c r="O861" t="str">
        <x:v>Yes</x:v>
      </x:c>
      <x:c r="P861" t="str">
        <x:v>Manual pre-grade: PSA 8 most likely</x:v>
      </x:c>
      <x:c r="Q861" t="n">
        <x:v>22.53</x:v>
      </x:c>
      <x:c r="R861" t="n">
        <x:v>43.94</x:v>
      </x:c>
      <x:c r="S861" t="n">
        <x:v>33.235</x:v>
      </x:c>
      <x:c r="T861" t="str">
        <x:v>Legendary Treasures Rayquaza 93/113 holo rare. Current approved-source raw references: PriceCharting ungraded about $22.53 and TCGplayer market about $43.94. Manual grading session 2026-08-18: centering PSA 9 (app: 51.1/48.9 L-R and 59.3/40.7 T-B, essentially at the PSA-9 boundary); corners PSA 8–9; edges PSA 8 due multiple small reverse bottom-edge whitening/chips plus a few perimeter touches; surface PSA 9–10 with no obvious crease, dent, major scratch, or holo scrape. Overall PSA 8 most likely. Strict odds: PSA 7 ~3%, PSA 8 ~72%, PSA 9 ~25%, PSA 10 ~0%.</x:v>
      </x:c>
      <x:c r="U861" t="n">
        <x:v>998</x:v>
      </x:c>
      <x:c r="V861" t="str">
        <x:v>TCGplayer + PriceCharting + PSA, researched 2026-08-18</x:v>
      </x:c>
      <x:c r="W861" t="str">
        <x:v>https://www.pricecharting.com/game/pokemon-legendary-treasures/rayquaza-93</x:v>
      </x:c>
    </x:row>
  </x:sheetData>
  <x:conditionalFormatting sqref="N2:N265">
    <x:cfRule type="expression" dxfId="0" priority="1">
      <x:formula>N2="Yes"</x:formula>
    </x:cfRule>
  </x:conditionalFormatting>
  <x:conditionalFormatting sqref="O2:O265">
    <x:cfRule type="expression" dxfId="1" priority="2">
      <x:formula>O2="Yes"</x:formula>
    </x:cfRule>
  </x:conditionalFormatting>
  <x:conditionalFormatting sqref="L2:L265">
    <x:cfRule type="expression" dxfId="2" priority="3">
      <x:formula>L2="$20+"</x:formula>
    </x:cfRule>
  </x:conditionalFormatting>
  <x:pageMargins left="0.7" right="0.7" top="0.75" bottom="0.75" header="0.3" footer="0.3"/>
  <x:tableParts count="1">
    <x:tablePart xmlns:r="http://schemas.openxmlformats.org/officeDocument/2006/relationships" r:id="Rd78acc5177f14499"/>
  </x:tableParts>
</x:worksheet>
</file>

<file path=xl/worksheets/sheet3.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11" hidden="0" customWidth="1"/>
    <x:col min="5" max="5" width="25" hidden="0" customWidth="1"/>
    <x:col min="6" max="6" width="8" hidden="0" customWidth="1"/>
    <x:col min="7" max="7" width="27" hidden="0" customWidth="1"/>
    <x:col min="8" max="8" width="9" hidden="0" customWidth="1"/>
    <x:col min="9" max="9" width="12" hidden="0" customWidth="1"/>
    <x:col min="10" max="10" width="12" hidden="0" customWidth="1"/>
    <x:col min="11" max="11" width="12" hidden="0" customWidth="1"/>
    <x:col min="12" max="12" width="10" hidden="0" customWidth="1"/>
    <x:col min="13" max="13" width="9" hidden="0" customWidth="1"/>
    <x:col min="14" max="14" width="10" hidden="0" customWidth="1"/>
    <x:col min="15" max="15" width="16" hidden="0" customWidth="1"/>
    <x:col min="16" max="16" width="24" hidden="0" customWidth="1"/>
    <x:col min="17" max="17" width="11" hidden="0" customWidth="1"/>
    <x:col min="18" max="18" width="11" hidden="0" customWidth="1"/>
    <x:col min="19" max="19" width="11" hidden="0" customWidth="1"/>
    <x:col min="20" max="20" width="42" hidden="0" customWidth="1"/>
    <x:col min="21" max="21" width="12" hidden="0" customWidth="1"/>
    <x:col min="22" max="22" width="32" hidden="0" customWidth="1"/>
    <x:col min="23" max="23" width="42" hidden="0" customWidth="1"/>
  </x:cols>
  <x:sheetData>
    <x:row r="1" ht="32" customHeight="1">
      <x:c r="A1" s="6" t="str">
        <x:v>ID</x:v>
      </x:c>
      <x:c r="B1" s="6" t="str">
        <x:v>Section</x:v>
      </x:c>
      <x:c r="C1" s="6" t="str">
        <x:v>Card Name</x:v>
      </x:c>
      <x:c r="D1" s="6" t="str">
        <x:v>Card No.</x:v>
      </x:c>
      <x:c r="E1" s="6" t="str">
        <x:v>Set</x:v>
      </x:c>
      <x:c r="F1" s="6" t="str">
        <x:v>Year</x:v>
      </x:c>
      <x:c r="G1" s="6" t="str">
        <x:v>Variant / Printing</x:v>
      </x:c>
      <x:c r="H1" s="6" t="str">
        <x:v>Copy</x:v>
      </x:c>
      <x:c r="I1" s="6" t="str">
        <x:v>Clean Raw Low</x:v>
      </x:c>
      <x:c r="J1" s="6" t="str">
        <x:v>Clean Raw High</x:v>
      </x:c>
      <x:c r="K1" s="6" t="str">
        <x:v>Clean Raw Mid</x:v>
      </x:c>
      <x:c r="L1" s="6" t="str">
        <x:v>Pile</x:v>
      </x:c>
      <x:c r="M1" s="6" t="str">
        <x:v>Sleeve</x:v>
      </x:c>
      <x:c r="N1" s="6" t="str">
        <x:v>Toploader</x:v>
      </x:c>
      <x:c r="O1" s="6" t="str">
        <x:v>Counts Toward $1+</x:v>
      </x:c>
      <x:c r="P1" s="6" t="str">
        <x:v>Condition</x:v>
      </x:c>
      <x:c r="Q1" s="6" t="str">
        <x:v>As-Is Low</x:v>
      </x:c>
      <x:c r="R1" s="6" t="str">
        <x:v>As-Is High</x:v>
      </x:c>
      <x:c r="S1" s="6" t="str">
        <x:v>As-Is Mid</x:v>
      </x:c>
      <x:c r="T1" s="6" t="str">
        <x:v>Notes</x:v>
      </x:c>
      <x:c r="U1" s="6" t="str">
        <x:v>Source Chat Index</x:v>
      </x:c>
      <x:c r="V1" s="6" t="str">
        <x:v>Source Basis</x:v>
      </x:c>
      <x:c r="W1" s="6" t="str">
        <x:v>Research URL</x:v>
      </x:c>
    </x:row>
    <x:row r="2">
      <x:c r="A2" s="18" t="n">
        <x:v>2</x:v>
      </x:c>
      <x:c r="B2" s="14" t="str">
        <x:v>Trainer/Item/Stadium</x:v>
      </x:c>
      <x:c r="C2" s="14" t="str">
        <x:v>Rare Candy</x:v>
      </x:c>
      <x:c r="D2" s="14" t="str">
        <x:v>88/100</x:v>
      </x:c>
      <x:c r="E2" s="14" t="str">
        <x:v>2004 World Championships / EX Sandstorm reprint</x:v>
      </x:c>
      <x:c r="F2" s="18" t="n">
        <x:v>2004</x:v>
      </x:c>
      <x:c r="G2" s="14" t="str">
        <x:v>World Championships</x:v>
      </x:c>
      <x:c r="H2" s="14" t="str">
        <x:v>1 of 1</x:v>
      </x:c>
      <x:c r="I2" s="16" t="n">
        <x:v>1.75</x:v>
      </x:c>
      <x:c r="J2" s="16" t="n">
        <x:v>3.3</x:v>
      </x:c>
      <x:c r="K2" s="16" t="n">
        <x:v>2.525</x:v>
      </x:c>
      <x:c r="L2" s="14" t="str">
        <x:v>$1–5</x:v>
      </x:c>
      <x:c r="M2" s="14" t="str">
        <x:v>Yes</x:v>
      </x:c>
      <x:c r="N2" s="14" t="str">
        <x:v>No</x:v>
      </x:c>
      <x:c r="O2" s="14" t="str">
        <x:v>Yes</x:v>
      </x:c>
      <x:c r="P2" s="14" t="str">
        <x:v>Clean/NM benchmark unless noted</x:v>
      </x:c>
      <x:c r="Q2" s="16" t="n">
        <x:v>1.75</x:v>
      </x:c>
      <x:c r="R2" s="16" t="n">
        <x:v>3.3</x:v>
      </x:c>
      <x:c r="S2" s="16" t="n">
        <x:v>2.525</x:v>
      </x:c>
      <x:c r="T2" s="14"/>
      <x:c r="U2" s="18" t="n">
        <x:v>7</x:v>
      </x:c>
      <x:c r="V2" s="14" t="str">
        <x:v>Uploaded Pokémon chat JSON / prior card-by-card research</x:v>
      </x:c>
      <x:c r="W2" s="14"/>
    </x:row>
    <x:row r="3">
      <x:c r="A3" s="18" t="n">
        <x:v>5</x:v>
      </x:c>
      <x:c r="B3" s="14" t="str">
        <x:v>Trainer/Item/Stadium</x:v>
      </x:c>
      <x:c r="C3" s="14" t="str">
        <x:v>Dome Fossil</x:v>
      </x:c>
      <x:c r="D3" s="14" t="str">
        <x:v>92/99</x:v>
      </x:c>
      <x:c r="E3" s="14" t="str">
        <x:v>Platinum: Arceus</x:v>
      </x:c>
      <x:c r="F3" s="18" t="n">
        <x:v>2009</x:v>
      </x:c>
      <x:c r="G3" s="14" t="str">
        <x:v>Reverse Holo</x:v>
      </x:c>
      <x:c r="H3" s="14" t="str">
        <x:v>1 of 1</x:v>
      </x:c>
      <x:c r="I3" s="16" t="n">
        <x:v>2</x:v>
      </x:c>
      <x:c r="J3" s="16" t="n">
        <x:v>4</x:v>
      </x:c>
      <x:c r="K3" s="16" t="n">
        <x:v>3</x:v>
      </x:c>
      <x:c r="L3" s="14" t="str">
        <x:v>$1–5</x:v>
      </x:c>
      <x:c r="M3" s="14" t="str">
        <x:v>Yes</x:v>
      </x:c>
      <x:c r="N3" s="14" t="str">
        <x:v>No</x:v>
      </x:c>
      <x:c r="O3" s="14" t="str">
        <x:v>Yes</x:v>
      </x:c>
      <x:c r="P3" s="14" t="str">
        <x:v>Clean/NM benchmark unless noted</x:v>
      </x:c>
      <x:c r="Q3" s="16" t="n">
        <x:v>2</x:v>
      </x:c>
      <x:c r="R3" s="16" t="n">
        <x:v>4</x:v>
      </x:c>
      <x:c r="S3" s="16" t="n">
        <x:v>3</x:v>
      </x:c>
      <x:c r="T3" s="14"/>
      <x:c r="U3" s="18" t="n">
        <x:v>22</x:v>
      </x:c>
      <x:c r="V3" s="14" t="str">
        <x:v>Uploaded Pokémon chat JSON / prior card-by-card research</x:v>
      </x:c>
      <x:c r="W3" s="14"/>
    </x:row>
    <x:row r="4">
      <x:c r="A4" s="18" t="n">
        <x:v>7</x:v>
      </x:c>
      <x:c r="B4" s="14" t="str">
        <x:v>Trainer/Item/Stadium</x:v>
      </x:c>
      <x:c r="C4" s="14" t="str">
        <x:v>Dark Patch</x:v>
      </x:c>
      <x:c r="D4" s="14" t="str">
        <x:v>93/108</x:v>
      </x:c>
      <x:c r="E4" s="14" t="str">
        <x:v>Dark Explorers</x:v>
      </x:c>
      <x:c r="F4" s="18" t="n">
        <x:v>2012</x:v>
      </x:c>
      <x:c r="G4" s="14" t="str">
        <x:v>Reverse Holo</x:v>
      </x:c>
      <x:c r="H4" s="14" t="str">
        <x:v>1 of 1</x:v>
      </x:c>
      <x:c r="I4" s="16" t="n">
        <x:v>4.3</x:v>
      </x:c>
      <x:c r="J4" s="16" t="n">
        <x:v>4.3</x:v>
      </x:c>
      <x:c r="K4" s="16" t="n">
        <x:v>4.3</x:v>
      </x:c>
      <x:c r="L4" s="14" t="str">
        <x:v>$1–5</x:v>
      </x:c>
      <x:c r="M4" s="14" t="str">
        <x:v>Yes</x:v>
      </x:c>
      <x:c r="N4" s="14" t="str">
        <x:v>No</x:v>
      </x:c>
      <x:c r="O4" s="14" t="str">
        <x:v>Yes</x:v>
      </x:c>
      <x:c r="P4" s="14" t="str">
        <x:v>Clean/NM benchmark unless noted</x:v>
      </x:c>
      <x:c r="Q4" s="16" t="n">
        <x:v>4.3</x:v>
      </x:c>
      <x:c r="R4" s="16" t="n">
        <x:v>4.3</x:v>
      </x:c>
      <x:c r="S4" s="16" t="n">
        <x:v>4.3</x:v>
      </x:c>
      <x:c r="T4" s="14"/>
      <x:c r="U4" s="18" t="n">
        <x:v>40</x:v>
      </x:c>
      <x:c r="V4" s="14" t="str">
        <x:v>Uploaded Pokémon chat JSON / prior card-by-card research</x:v>
      </x:c>
      <x:c r="W4" s="14"/>
    </x:row>
    <x:row r="5">
      <x:c r="A5" s="18" t="n">
        <x:v>8</x:v>
      </x:c>
      <x:c r="B5" s="14" t="str">
        <x:v>Trainer/Item/Stadium</x:v>
      </x:c>
      <x:c r="C5" s="14" t="str">
        <x:v>Rescue Scarf</x:v>
      </x:c>
      <x:c r="D5" s="14" t="str">
        <x:v>115/124</x:v>
      </x:c>
      <x:c r="E5" s="14" t="str">
        <x:v>Dragons Exalted</x:v>
      </x:c>
      <x:c r="F5" s="18" t="n">
        <x:v>2012</x:v>
      </x:c>
      <x:c r="G5" s="14" t="str">
        <x:v>Reverse Holo</x:v>
      </x:c>
      <x:c r="H5" s="14" t="str">
        <x:v>1 of 1</x:v>
      </x:c>
      <x:c r="I5" s="16" t="n">
        <x:v>2</x:v>
      </x:c>
      <x:c r="J5" s="16" t="n">
        <x:v>3</x:v>
      </x:c>
      <x:c r="K5" s="16" t="n">
        <x:v>2.5</x:v>
      </x:c>
      <x:c r="L5" s="14" t="str">
        <x:v>$1–5</x:v>
      </x:c>
      <x:c r="M5" s="14" t="str">
        <x:v>Yes</x:v>
      </x:c>
      <x:c r="N5" s="14" t="str">
        <x:v>No</x:v>
      </x:c>
      <x:c r="O5" s="14" t="str">
        <x:v>Yes</x:v>
      </x:c>
      <x:c r="P5" s="14" t="str">
        <x:v>Clean/NM benchmark unless noted</x:v>
      </x:c>
      <x:c r="Q5" s="16" t="n">
        <x:v>2</x:v>
      </x:c>
      <x:c r="R5" s="16" t="n">
        <x:v>3</x:v>
      </x:c>
      <x:c r="S5" s="16" t="n">
        <x:v>2.5</x:v>
      </x:c>
      <x:c r="T5" s="14"/>
      <x:c r="U5" s="18" t="n">
        <x:v>46</x:v>
      </x:c>
      <x:c r="V5" s="14" t="str">
        <x:v>Uploaded Pokémon chat JSON / prior card-by-card research</x:v>
      </x:c>
      <x:c r="W5" s="14"/>
    </x:row>
    <x:row r="6">
      <x:c r="A6" s="18" t="n">
        <x:v>9</x:v>
      </x:c>
      <x:c r="B6" s="14" t="str">
        <x:v>Trainer/Item/Stadium</x:v>
      </x:c>
      <x:c r="C6" s="14" t="str">
        <x:v>Recycle</x:v>
      </x:c>
      <x:c r="D6" s="14" t="str">
        <x:v>96/98</x:v>
      </x:c>
      <x:c r="E6" s="14" t="str">
        <x:v>Emerging Powers</x:v>
      </x:c>
      <x:c r="F6" s="18" t="n">
        <x:v>2011</x:v>
      </x:c>
      <x:c r="G6" s="14" t="str">
        <x:v>Reverse Holo</x:v>
      </x:c>
      <x:c r="H6" s="14" t="str">
        <x:v>1 of 1</x:v>
      </x:c>
      <x:c r="I6" s="16" t="n">
        <x:v>0.9</x:v>
      </x:c>
      <x:c r="J6" s="16" t="n">
        <x:v>1.05</x:v>
      </x:c>
      <x:c r="K6" s="16" t="n">
        <x:v>0.9750000000000001</x:v>
      </x:c>
      <x:c r="L6" s="14" t="str">
        <x:v>$1–5</x:v>
      </x:c>
      <x:c r="M6" s="14" t="str">
        <x:v>Yes</x:v>
      </x:c>
      <x:c r="N6" s="14" t="str">
        <x:v>No</x:v>
      </x:c>
      <x:c r="O6" s="14" t="str">
        <x:v>Yes</x:v>
      </x:c>
      <x:c r="P6" s="14" t="str">
        <x:v>Clean/NM benchmark unless noted</x:v>
      </x:c>
      <x:c r="Q6" s="16" t="n">
        <x:v>0.9</x:v>
      </x:c>
      <x:c r="R6" s="16" t="n">
        <x:v>1.05</x:v>
      </x:c>
      <x:c r="S6" s="16" t="n">
        <x:v>0.9750000000000001</x:v>
      </x:c>
      <x:c r="T6" s="14" t="str">
        <x:v>Borderline $1.</x:v>
      </x:c>
      <x:c r="U6" s="18" t="n">
        <x:v>52</x:v>
      </x:c>
      <x:c r="V6" s="14" t="str">
        <x:v>Uploaded Pokémon chat JSON / prior card-by-card research</x:v>
      </x:c>
      <x:c r="W6" s="14"/>
    </x:row>
    <x:row r="7">
      <x:c r="A7" s="18" t="n">
        <x:v>10</x:v>
      </x:c>
      <x:c r="B7" s="14" t="str">
        <x:v>Trainer/Item/Stadium</x:v>
      </x:c>
      <x:c r="C7" s="14" t="str">
        <x:v>Rare Candy</x:v>
      </x:c>
      <x:c r="D7" s="14" t="str">
        <x:v>85/101</x:v>
      </x:c>
      <x:c r="E7" s="14" t="str">
        <x:v>Plasma Blast</x:v>
      </x:c>
      <x:c r="F7" s="18" t="n">
        <x:v>2013</x:v>
      </x:c>
      <x:c r="G7" s="14" t="str">
        <x:v>Reverse Holo</x:v>
      </x:c>
      <x:c r="H7" s="14" t="str">
        <x:v>1 of 1</x:v>
      </x:c>
      <x:c r="I7" s="16" t="n">
        <x:v>2</x:v>
      </x:c>
      <x:c r="J7" s="16" t="n">
        <x:v>3</x:v>
      </x:c>
      <x:c r="K7" s="16" t="n">
        <x:v>2.5</x:v>
      </x:c>
      <x:c r="L7" s="14" t="str">
        <x:v>$1–5</x:v>
      </x:c>
      <x:c r="M7" s="14" t="str">
        <x:v>Yes</x:v>
      </x:c>
      <x:c r="N7" s="14" t="str">
        <x:v>No</x:v>
      </x:c>
      <x:c r="O7" s="14" t="str">
        <x:v>Yes</x:v>
      </x:c>
      <x:c r="P7" s="14" t="str">
        <x:v>Clean/NM benchmark unless noted</x:v>
      </x:c>
      <x:c r="Q7" s="16" t="n">
        <x:v>2</x:v>
      </x:c>
      <x:c r="R7" s="16" t="n">
        <x:v>3</x:v>
      </x:c>
      <x:c r="S7" s="16" t="n">
        <x:v>2.5</x:v>
      </x:c>
      <x:c r="T7" s="14"/>
      <x:c r="U7" s="18" t="n">
        <x:v>58</x:v>
      </x:c>
      <x:c r="V7" s="14" t="str">
        <x:v>Uploaded Pokémon chat JSON / prior card-by-card research</x:v>
      </x:c>
      <x:c r="W7" s="14"/>
    </x:row>
    <x:row r="8">
      <x:c r="A8" s="18" t="n">
        <x:v>12</x:v>
      </x:c>
      <x:c r="B8" s="14" t="str">
        <x:v>Trainer/Item/Stadium</x:v>
      </x:c>
      <x:c r="C8" s="14" t="str">
        <x:v>Computer Search</x:v>
      </x:c>
      <x:c r="D8" s="14" t="str">
        <x:v>137/149</x:v>
      </x:c>
      <x:c r="E8" s="14" t="str">
        <x:v>Boundaries Crossed</x:v>
      </x:c>
      <x:c r="F8" s="18" t="n">
        <x:v>2012</x:v>
      </x:c>
      <x:c r="G8" s="14" t="str">
        <x:v>ACE SPEC Holo</x:v>
      </x:c>
      <x:c r="H8" s="14" t="str">
        <x:v>1 of 1</x:v>
      </x:c>
      <x:c r="I8" s="16" t="n">
        <x:v>13</x:v>
      </x:c>
      <x:c r="J8" s="16" t="n">
        <x:v>18</x:v>
      </x:c>
      <x:c r="K8" s="16" t="n">
        <x:v>15.5</x:v>
      </x:c>
      <x:c r="L8" s="14" t="str">
        <x:v>$5–20</x:v>
      </x:c>
      <x:c r="M8" s="14" t="str">
        <x:v>Yes</x:v>
      </x:c>
      <x:c r="N8" s="14" t="str">
        <x:v>Yes</x:v>
      </x:c>
      <x:c r="O8" s="14" t="str">
        <x:v>Yes</x:v>
      </x:c>
      <x:c r="P8" s="14" t="str">
        <x:v>Clean/NM benchmark unless noted</x:v>
      </x:c>
      <x:c r="Q8" s="16" t="n">
        <x:v>13</x:v>
      </x:c>
      <x:c r="R8" s="16" t="n">
        <x:v>18</x:v>
      </x:c>
      <x:c r="S8" s="16" t="n">
        <x:v>15.5</x:v>
      </x:c>
      <x:c r="T8" s="14"/>
      <x:c r="U8" s="18" t="n">
        <x:v>71</x:v>
      </x:c>
      <x:c r="V8" s="14" t="str">
        <x:v>Uploaded Pokémon chat JSON / prior card-by-card research</x:v>
      </x:c>
      <x:c r="W8" s="14"/>
    </x:row>
    <x:row r="9">
      <x:c r="A9" s="18" t="n">
        <x:v>13</x:v>
      </x:c>
      <x:c r="B9" s="14" t="str">
        <x:v>Trainer/Item/Stadium</x:v>
      </x:c>
      <x:c r="C9" s="14" t="str">
        <x:v>Computer Search</x:v>
      </x:c>
      <x:c r="D9" s="14" t="str">
        <x:v>101/130</x:v>
      </x:c>
      <x:c r="E9" s="14" t="str">
        <x:v>Base Set 2</x:v>
      </x:c>
      <x:c r="F9" s="18" t="n">
        <x:v>2000</x:v>
      </x:c>
      <x:c r="G9" s="14" t="str">
        <x:v>Regular Rare</x:v>
      </x:c>
      <x:c r="H9" s="14" t="str">
        <x:v>1 of 1</x:v>
      </x:c>
      <x:c r="I9" s="16" t="n">
        <x:v>2.5</x:v>
      </x:c>
      <x:c r="J9" s="16" t="n">
        <x:v>5</x:v>
      </x:c>
      <x:c r="K9" s="16" t="n">
        <x:v>3.75</x:v>
      </x:c>
      <x:c r="L9" s="14" t="str">
        <x:v>$1–5</x:v>
      </x:c>
      <x:c r="M9" s="14" t="str">
        <x:v>Yes</x:v>
      </x:c>
      <x:c r="N9" s="14" t="str">
        <x:v>No</x:v>
      </x:c>
      <x:c r="O9" s="14" t="str">
        <x:v>Yes</x:v>
      </x:c>
      <x:c r="P9" s="14" t="str">
        <x:v>Clean/NM benchmark unless noted</x:v>
      </x:c>
      <x:c r="Q9" s="16" t="n">
        <x:v>2.5</x:v>
      </x:c>
      <x:c r="R9" s="16" t="n">
        <x:v>5</x:v>
      </x:c>
      <x:c r="S9" s="16" t="n">
        <x:v>3.75</x:v>
      </x:c>
      <x:c r="T9" s="14"/>
      <x:c r="U9" s="18" t="n">
        <x:v>80</x:v>
      </x:c>
      <x:c r="V9" s="14" t="str">
        <x:v>Uploaded Pokémon chat JSON / prior card-by-card research</x:v>
      </x:c>
      <x:c r="W9" s="14"/>
    </x:row>
    <x:row r="10">
      <x:c r="A10" s="18" t="n">
        <x:v>15</x:v>
      </x:c>
      <x:c r="B10" s="14" t="str">
        <x:v>Trainer/Item/Stadium</x:v>
      </x:c>
      <x:c r="C10" s="14" t="str">
        <x:v>Crystal Edge</x:v>
      </x:c>
      <x:c r="D10" s="14" t="str">
        <x:v>138/149</x:v>
      </x:c>
      <x:c r="E10" s="14" t="str">
        <x:v>Boundaries Crossed</x:v>
      </x:c>
      <x:c r="F10" s="18" t="n">
        <x:v>2012</x:v>
      </x:c>
      <x:c r="G10" s="14" t="str">
        <x:v>ACE SPEC Holo</x:v>
      </x:c>
      <x:c r="H10" s="14" t="str">
        <x:v>1 of 1</x:v>
      </x:c>
      <x:c r="I10" s="16" t="n">
        <x:v>2.5</x:v>
      </x:c>
      <x:c r="J10" s="16" t="n">
        <x:v>3.5</x:v>
      </x:c>
      <x:c r="K10" s="16" t="n">
        <x:v>3</x:v>
      </x:c>
      <x:c r="L10" s="14" t="str">
        <x:v>$1–5</x:v>
      </x:c>
      <x:c r="M10" s="14" t="str">
        <x:v>Yes</x:v>
      </x:c>
      <x:c r="N10" s="14" t="str">
        <x:v>No</x:v>
      </x:c>
      <x:c r="O10" s="14" t="str">
        <x:v>Yes</x:v>
      </x:c>
      <x:c r="P10" s="14" t="str">
        <x:v>Clean/NM benchmark unless noted</x:v>
      </x:c>
      <x:c r="Q10" s="16" t="n">
        <x:v>2.5</x:v>
      </x:c>
      <x:c r="R10" s="16" t="n">
        <x:v>3.5</x:v>
      </x:c>
      <x:c r="S10" s="16" t="n">
        <x:v>3</x:v>
      </x:c>
      <x:c r="T10" s="14"/>
      <x:c r="U10" s="18" t="n">
        <x:v>92</x:v>
      </x:c>
      <x:c r="V10" s="14" t="str">
        <x:v>Uploaded Pokémon chat JSON / prior card-by-card research</x:v>
      </x:c>
      <x:c r="W10" s="14"/>
    </x:row>
    <x:row r="11">
      <x:c r="A11" s="18" t="n">
        <x:v>17</x:v>
      </x:c>
      <x:c r="B11" s="14" t="str">
        <x:v>Trainer/Item/Stadium</x:v>
      </x:c>
      <x:c r="C11" s="14" t="str">
        <x:v>Crystal Wall</x:v>
      </x:c>
      <x:c r="D11" s="14" t="str">
        <x:v>139/149</x:v>
      </x:c>
      <x:c r="E11" s="14" t="str">
        <x:v>Boundaries Crossed</x:v>
      </x:c>
      <x:c r="F11" s="18" t="n">
        <x:v>2012</x:v>
      </x:c>
      <x:c r="G11" s="14" t="str">
        <x:v>ACE SPEC Holo</x:v>
      </x:c>
      <x:c r="H11" s="14" t="str">
        <x:v>1 of 1</x:v>
      </x:c>
      <x:c r="I11" s="16" t="n">
        <x:v>2.6</x:v>
      </x:c>
      <x:c r="J11" s="16" t="n">
        <x:v>3</x:v>
      </x:c>
      <x:c r="K11" s="16" t="n">
        <x:v>2.8</x:v>
      </x:c>
      <x:c r="L11" s="14" t="str">
        <x:v>$1–5</x:v>
      </x:c>
      <x:c r="M11" s="14" t="str">
        <x:v>Yes</x:v>
      </x:c>
      <x:c r="N11" s="14" t="str">
        <x:v>No</x:v>
      </x:c>
      <x:c r="O11" s="14" t="str">
        <x:v>Yes</x:v>
      </x:c>
      <x:c r="P11" s="14" t="str">
        <x:v>Clean/NM benchmark unless noted</x:v>
      </x:c>
      <x:c r="Q11" s="16" t="n">
        <x:v>2.6</x:v>
      </x:c>
      <x:c r="R11" s="16" t="n">
        <x:v>3</x:v>
      </x:c>
      <x:c r="S11" s="16" t="n">
        <x:v>2.8</x:v>
      </x:c>
      <x:c r="T11" s="14"/>
      <x:c r="U11" s="18" t="n">
        <x:v>104</x:v>
      </x:c>
      <x:c r="V11" s="14" t="str">
        <x:v>Uploaded Pokémon chat JSON / prior card-by-card research</x:v>
      </x:c>
      <x:c r="W11" s="14"/>
    </x:row>
    <x:row r="12">
      <x:c r="A12" s="18" t="n">
        <x:v>20</x:v>
      </x:c>
      <x:c r="B12" s="14" t="str">
        <x:v>Trainer/Item/Stadium</x:v>
      </x:c>
      <x:c r="C12" s="14" t="str">
        <x:v>Energy Search</x:v>
      </x:c>
      <x:c r="D12" s="14" t="str">
        <x:v>128/149</x:v>
      </x:c>
      <x:c r="E12" s="14" t="str">
        <x:v>Boundaries Crossed</x:v>
      </x:c>
      <x:c r="F12" s="18" t="n">
        <x:v>2012</x:v>
      </x:c>
      <x:c r="G12" s="14" t="str">
        <x:v>Reverse Holo</x:v>
      </x:c>
      <x:c r="H12" s="14" t="str">
        <x:v>1 of 1</x:v>
      </x:c>
      <x:c r="I12" s="16" t="n">
        <x:v>1.49</x:v>
      </x:c>
      <x:c r="J12" s="16" t="n">
        <x:v>1.5</x:v>
      </x:c>
      <x:c r="K12" s="16" t="n">
        <x:v>1.495</x:v>
      </x:c>
      <x:c r="L12" s="14" t="str">
        <x:v>$1–5</x:v>
      </x:c>
      <x:c r="M12" s="14" t="str">
        <x:v>Yes</x:v>
      </x:c>
      <x:c r="N12" s="14" t="str">
        <x:v>No</x:v>
      </x:c>
      <x:c r="O12" s="14" t="str">
        <x:v>Yes</x:v>
      </x:c>
      <x:c r="P12" s="14" t="str">
        <x:v>Clean/NM benchmark unless noted</x:v>
      </x:c>
      <x:c r="Q12" s="16" t="n">
        <x:v>1.49</x:v>
      </x:c>
      <x:c r="R12" s="16" t="n">
        <x:v>1.5</x:v>
      </x:c>
      <x:c r="S12" s="16" t="n">
        <x:v>1.495</x:v>
      </x:c>
      <x:c r="T12" s="14"/>
      <x:c r="U12" s="18" t="n">
        <x:v>122</x:v>
      </x:c>
      <x:c r="V12" s="14" t="str">
        <x:v>Uploaded Pokémon chat JSON / prior card-by-card research</x:v>
      </x:c>
      <x:c r="W12" s="14"/>
    </x:row>
    <x:row r="13">
      <x:c r="A13" s="18" t="n">
        <x:v>25</x:v>
      </x:c>
      <x:c r="B13" s="14" t="str">
        <x:v>Trainer/Item/Stadium</x:v>
      </x:c>
      <x:c r="C13" s="14" t="str">
        <x:v>Gold Potion</x:v>
      </x:c>
      <x:c r="D13" s="14" t="str">
        <x:v>140/149</x:v>
      </x:c>
      <x:c r="E13" s="14" t="str">
        <x:v>Boundaries Crossed</x:v>
      </x:c>
      <x:c r="F13" s="18" t="n">
        <x:v>2012</x:v>
      </x:c>
      <x:c r="G13" s="14" t="str">
        <x:v>ACE SPEC Holo</x:v>
      </x:c>
      <x:c r="H13" s="14" t="str">
        <x:v>1 of 1</x:v>
      </x:c>
      <x:c r="I13" s="16" t="n">
        <x:v>7.47</x:v>
      </x:c>
      <x:c r="J13" s="16" t="n">
        <x:v>7.62</x:v>
      </x:c>
      <x:c r="K13" s="16" t="n">
        <x:v>7.545</x:v>
      </x:c>
      <x:c r="L13" s="14" t="str">
        <x:v>$5–20</x:v>
      </x:c>
      <x:c r="M13" s="14" t="str">
        <x:v>Yes</x:v>
      </x:c>
      <x:c r="N13" s="14" t="str">
        <x:v>Yes</x:v>
      </x:c>
      <x:c r="O13" s="14" t="str">
        <x:v>Yes</x:v>
      </x:c>
      <x:c r="P13" s="14" t="str">
        <x:v>Clean/NM benchmark unless noted</x:v>
      </x:c>
      <x:c r="Q13" s="16" t="n">
        <x:v>7.47</x:v>
      </x:c>
      <x:c r="R13" s="16" t="n">
        <x:v>7.62</x:v>
      </x:c>
      <x:c r="S13" s="16" t="n">
        <x:v>7.545</x:v>
      </x:c>
      <x:c r="T13" s="14" t="str">
        <x:v>Old chat recommended top loader despite clean raw below later $10 rule; retained historical call.</x:v>
      </x:c>
      <x:c r="U13" s="18" t="n">
        <x:v>152</x:v>
      </x:c>
      <x:c r="V13" s="14" t="str">
        <x:v>Uploaded Pokémon chat JSON / prior card-by-card research</x:v>
      </x:c>
      <x:c r="W13" s="14"/>
    </x:row>
    <x:row r="14">
      <x:c r="A14" s="18" t="n">
        <x:v>26</x:v>
      </x:c>
      <x:c r="B14" s="14" t="str">
        <x:v>Trainer/Item/Stadium</x:v>
      </x:c>
      <x:c r="C14" s="14" t="str">
        <x:v>Good Manners</x:v>
      </x:c>
      <x:c r="D14" s="14" t="str">
        <x:v>111/132</x:v>
      </x:c>
      <x:c r="E14" s="14" t="str">
        <x:v>Gym Heroes</x:v>
      </x:c>
      <x:c r="F14" s="18" t="n">
        <x:v>2000</x:v>
      </x:c>
      <x:c r="G14" s="14" t="str">
        <x:v>Unlimited Regular</x:v>
      </x:c>
      <x:c r="H14" s="14" t="str">
        <x:v>1 of 1</x:v>
      </x:c>
      <x:c r="I14" s="16" t="n">
        <x:v>3.5</x:v>
      </x:c>
      <x:c r="J14" s="16" t="n">
        <x:v>5.5</x:v>
      </x:c>
      <x:c r="K14" s="16" t="n">
        <x:v>4.5</x:v>
      </x:c>
      <x:c r="L14" s="14" t="str">
        <x:v>$1–5</x:v>
      </x:c>
      <x:c r="M14" s="14" t="str">
        <x:v>Yes</x:v>
      </x:c>
      <x:c r="N14" s="14" t="str">
        <x:v>No</x:v>
      </x:c>
      <x:c r="O14" s="14" t="str">
        <x:v>Yes</x:v>
      </x:c>
      <x:c r="P14" s="14" t="str">
        <x:v>Clean/NM benchmark unless noted</x:v>
      </x:c>
      <x:c r="Q14" s="16" t="n">
        <x:v>3.5</x:v>
      </x:c>
      <x:c r="R14" s="16" t="n">
        <x:v>5.5</x:v>
      </x:c>
      <x:c r="S14" s="16" t="n">
        <x:v>4.5</x:v>
      </x:c>
      <x:c r="T14" s="14"/>
      <x:c r="U14" s="18" t="n">
        <x:v>158</x:v>
      </x:c>
      <x:c r="V14" s="14" t="str">
        <x:v>Uploaded Pokémon chat JSON / prior card-by-card research</x:v>
      </x:c>
      <x:c r="W14" s="14"/>
    </x:row>
    <x:row r="15">
      <x:c r="A15" s="18" t="n">
        <x:v>27</x:v>
      </x:c>
      <x:c r="B15" s="14" t="str">
        <x:v>Trainer/Item/Stadium</x:v>
      </x:c>
      <x:c r="C15" s="14" t="str">
        <x:v>Here Comes Team Rocket!</x:v>
      </x:c>
      <x:c r="D15" s="14" t="str">
        <x:v>15/82</x:v>
      </x:c>
      <x:c r="E15" s="14" t="str">
        <x:v>Team Rocket</x:v>
      </x:c>
      <x:c r="F15" s="18" t="n">
        <x:v>2000</x:v>
      </x:c>
      <x:c r="G15" s="14" t="str">
        <x:v>Holo Rare Unlimited</x:v>
      </x:c>
      <x:c r="H15" s="14" t="str">
        <x:v>1 of 1</x:v>
      </x:c>
      <x:c r="I15" s="16" t="n">
        <x:v>20</x:v>
      </x:c>
      <x:c r="J15" s="16" t="n">
        <x:v>25</x:v>
      </x:c>
      <x:c r="K15" s="16" t="n">
        <x:v>22.5</x:v>
      </x:c>
      <x:c r="L15" s="14" t="str">
        <x:v>$20+</x:v>
      </x:c>
      <x:c r="M15" s="14" t="str">
        <x:v>Yes</x:v>
      </x:c>
      <x:c r="N15" s="14" t="str">
        <x:v>Yes</x:v>
      </x:c>
      <x:c r="O15" s="14" t="str">
        <x:v>Yes</x:v>
      </x:c>
      <x:c r="P15" s="14" t="str">
        <x:v>Clean/NM benchmark unless noted</x:v>
      </x:c>
      <x:c r="Q15" s="16" t="n">
        <x:v>20</x:v>
      </x:c>
      <x:c r="R15" s="16" t="n">
        <x:v>25</x:v>
      </x:c>
      <x:c r="S15" s="16" t="n">
        <x:v>22.5</x:v>
      </x:c>
      <x:c r="T15" s="14"/>
      <x:c r="U15" s="18" t="n">
        <x:v>164</x:v>
      </x:c>
      <x:c r="V15" s="14" t="str">
        <x:v>Uploaded Pokémon chat JSON / prior card-by-card research</x:v>
      </x:c>
      <x:c r="W15" s="14"/>
    </x:row>
    <x:row r="16">
      <x:c r="A16" s="18" t="n">
        <x:v>29</x:v>
      </x:c>
      <x:c r="B16" s="14" t="str">
        <x:v>Trainer/Item/Stadium</x:v>
      </x:c>
      <x:c r="C16" s="14" t="str">
        <x:v>Hypnotoxic Laser</x:v>
      </x:c>
      <x:c r="D16" s="14" t="str">
        <x:v>123/135</x:v>
      </x:c>
      <x:c r="E16" s="14" t="str">
        <x:v>Plasma Storm</x:v>
      </x:c>
      <x:c r="F16" s="18" t="n">
        <x:v>2013</x:v>
      </x:c>
      <x:c r="G16" s="14" t="str">
        <x:v>Team Plasma Regular</x:v>
      </x:c>
      <x:c r="H16" s="14" t="str">
        <x:v>1 of 1</x:v>
      </x:c>
      <x:c r="I16" s="16" t="n">
        <x:v>2.25</x:v>
      </x:c>
      <x:c r="J16" s="16" t="n">
        <x:v>2.5</x:v>
      </x:c>
      <x:c r="K16" s="16" t="n">
        <x:v>2.375</x:v>
      </x:c>
      <x:c r="L16" s="14" t="str">
        <x:v>$1–5</x:v>
      </x:c>
      <x:c r="M16" s="14" t="str">
        <x:v>Yes</x:v>
      </x:c>
      <x:c r="N16" s="14" t="str">
        <x:v>No</x:v>
      </x:c>
      <x:c r="O16" s="14" t="str">
        <x:v>Yes</x:v>
      </x:c>
      <x:c r="P16" s="14" t="str">
        <x:v>Clean/NM benchmark unless noted</x:v>
      </x:c>
      <x:c r="Q16" s="16" t="n">
        <x:v>2.25</x:v>
      </x:c>
      <x:c r="R16" s="16" t="n">
        <x:v>2.5</x:v>
      </x:c>
      <x:c r="S16" s="16" t="n">
        <x:v>2.375</x:v>
      </x:c>
      <x:c r="T16" s="14"/>
      <x:c r="U16" s="18" t="n">
        <x:v>176</x:v>
      </x:c>
      <x:c r="V16" s="14" t="str">
        <x:v>Uploaded Pokémon chat JSON / prior card-by-card research</x:v>
      </x:c>
      <x:c r="W16" s="14"/>
    </x:row>
    <x:row r="17">
      <x:c r="A17" s="18" t="n">
        <x:v>30</x:v>
      </x:c>
      <x:c r="B17" s="14" t="str">
        <x:v>Trainer/Item/Stadium</x:v>
      </x:c>
      <x:c r="C17" s="14" t="str">
        <x:v>Master Ball</x:v>
      </x:c>
      <x:c r="D17" s="14" t="str">
        <x:v>116/132</x:v>
      </x:c>
      <x:c r="E17" s="14" t="str">
        <x:v>Gym Challenge</x:v>
      </x:c>
      <x:c r="F17" s="18" t="n">
        <x:v>2000</x:v>
      </x:c>
      <x:c r="G17" s="14" t="str">
        <x:v>Unlimited Regular</x:v>
      </x:c>
      <x:c r="H17" s="14" t="str">
        <x:v>1 of 1</x:v>
      </x:c>
      <x:c r="I17" s="16" t="n">
        <x:v>3</x:v>
      </x:c>
      <x:c r="J17" s="16" t="n">
        <x:v>6</x:v>
      </x:c>
      <x:c r="K17" s="16" t="n">
        <x:v>4.5</x:v>
      </x:c>
      <x:c r="L17" s="14" t="str">
        <x:v>$1–5</x:v>
      </x:c>
      <x:c r="M17" s="14" t="str">
        <x:v>Yes</x:v>
      </x:c>
      <x:c r="N17" s="14" t="str">
        <x:v>No</x:v>
      </x:c>
      <x:c r="O17" s="14" t="str">
        <x:v>Yes</x:v>
      </x:c>
      <x:c r="P17" s="14" t="str">
        <x:v>Clean/NM benchmark unless noted</x:v>
      </x:c>
      <x:c r="Q17" s="16" t="n">
        <x:v>3</x:v>
      </x:c>
      <x:c r="R17" s="16" t="n">
        <x:v>6</x:v>
      </x:c>
      <x:c r="S17" s="16" t="n">
        <x:v>4.5</x:v>
      </x:c>
      <x:c r="T17" s="14" t="str">
        <x:v>User said 115/132; assistant corrected to 116/132.</x:v>
      </x:c>
      <x:c r="U17" s="18" t="n">
        <x:v>182</x:v>
      </x:c>
      <x:c r="V17" s="14" t="str">
        <x:v>Uploaded Pokémon chat JSON / prior card-by-card research</x:v>
      </x:c>
      <x:c r="W17" s="14"/>
    </x:row>
    <x:row r="18">
      <x:c r="A18" s="18" t="n">
        <x:v>31</x:v>
      </x:c>
      <x:c r="B18" s="14" t="str">
        <x:v>Trainer/Item/Stadium</x:v>
      </x:c>
      <x:c r="C18" s="14" t="str">
        <x:v>Maintenance</x:v>
      </x:c>
      <x:c r="D18" s="14" t="str">
        <x:v>112/130</x:v>
      </x:c>
      <x:c r="E18" s="14" t="str">
        <x:v>Base Set 2</x:v>
      </x:c>
      <x:c r="F18" s="18" t="n">
        <x:v>2000</x:v>
      </x:c>
      <x:c r="G18" s="14" t="str">
        <x:v>Regular</x:v>
      </x:c>
      <x:c r="H18" s="14" t="str">
        <x:v>1 of 1</x:v>
      </x:c>
      <x:c r="I18" s="16" t="n">
        <x:v>0.75</x:v>
      </x:c>
      <x:c r="J18" s="16" t="n">
        <x:v>1.1</x:v>
      </x:c>
      <x:c r="K18" s="16" t="n">
        <x:v>0.925</x:v>
      </x:c>
      <x:c r="L18" s="14" t="str">
        <x:v>$1–5</x:v>
      </x:c>
      <x:c r="M18" s="14" t="str">
        <x:v>Yes</x:v>
      </x:c>
      <x:c r="N18" s="14" t="str">
        <x:v>No</x:v>
      </x:c>
      <x:c r="O18" s="14" t="str">
        <x:v>Yes</x:v>
      </x:c>
      <x:c r="P18" s="14" t="str">
        <x:v>Clean/NM benchmark unless noted</x:v>
      </x:c>
      <x:c r="Q18" s="16" t="n">
        <x:v>0.75</x:v>
      </x:c>
      <x:c r="R18" s="16" t="n">
        <x:v>1.1</x:v>
      </x:c>
      <x:c r="S18" s="16" t="n">
        <x:v>0.925</x:v>
      </x:c>
      <x:c r="T18" s="14"/>
      <x:c r="U18" s="18" t="n">
        <x:v>188</x:v>
      </x:c>
      <x:c r="V18" s="14" t="str">
        <x:v>Uploaded Pokémon chat JSON / prior card-by-card research</x:v>
      </x:c>
      <x:c r="W18" s="14"/>
    </x:row>
    <x:row r="19">
      <x:c r="A19" s="18" t="n">
        <x:v>32</x:v>
      </x:c>
      <x:c r="B19" s="14" t="str">
        <x:v>Trainer/Item/Stadium</x:v>
      </x:c>
      <x:c r="C19" s="14" t="str">
        <x:v>Lum Berry</x:v>
      </x:c>
      <x:c r="D19" s="14" t="str">
        <x:v>84/109</x:v>
      </x:c>
      <x:c r="E19" s="14" t="str">
        <x:v>EX Ruby &amp; Sapphire</x:v>
      </x:c>
      <x:c r="F19" s="18" t="n">
        <x:v>2003</x:v>
      </x:c>
      <x:c r="G19" s="14" t="str">
        <x:v>Reverse Holo</x:v>
      </x:c>
      <x:c r="H19" s="14" t="str">
        <x:v>1 of 1</x:v>
      </x:c>
      <x:c r="I19" s="16" t="n">
        <x:v>2.9</x:v>
      </x:c>
      <x:c r="J19" s="16" t="n">
        <x:v>3</x:v>
      </x:c>
      <x:c r="K19" s="16" t="n">
        <x:v>2.95</x:v>
      </x:c>
      <x:c r="L19" s="14" t="str">
        <x:v>$1–5</x:v>
      </x:c>
      <x:c r="M19" s="14" t="str">
        <x:v>Yes</x:v>
      </x:c>
      <x:c r="N19" s="14" t="str">
        <x:v>No</x:v>
      </x:c>
      <x:c r="O19" s="14" t="str">
        <x:v>Yes</x:v>
      </x:c>
      <x:c r="P19" s="14" t="str">
        <x:v>Clean/NM benchmark unless noted</x:v>
      </x:c>
      <x:c r="Q19" s="16" t="n">
        <x:v>2.9</x:v>
      </x:c>
      <x:c r="R19" s="16" t="n">
        <x:v>3</x:v>
      </x:c>
      <x:c r="S19" s="16" t="n">
        <x:v>2.95</x:v>
      </x:c>
      <x:c r="T19" s="14"/>
      <x:c r="U19" s="18" t="n">
        <x:v>194</x:v>
      </x:c>
      <x:c r="V19" s="14" t="str">
        <x:v>Uploaded Pokémon chat JSON / prior card-by-card research</x:v>
      </x:c>
      <x:c r="W19" s="14"/>
    </x:row>
    <x:row r="20">
      <x:c r="A20" s="18" t="n">
        <x:v>34</x:v>
      </x:c>
      <x:c r="B20" s="14" t="str">
        <x:v>Trainer/Item/Stadium</x:v>
      </x:c>
      <x:c r="C20" s="14" t="str">
        <x:v>Lost Remover</x:v>
      </x:c>
      <x:c r="D20" s="14" t="str">
        <x:v>80/95</x:v>
      </x:c>
      <x:c r="E20" s="14" t="str">
        <x:v>Call of Legends</x:v>
      </x:c>
      <x:c r="F20" s="18" t="n">
        <x:v>2011</x:v>
      </x:c>
      <x:c r="G20" s="14" t="str">
        <x:v>Reverse Holo</x:v>
      </x:c>
      <x:c r="H20" s="14" t="str">
        <x:v>1 of 1</x:v>
      </x:c>
      <x:c r="I20" s="16" t="n">
        <x:v>3</x:v>
      </x:c>
      <x:c r="J20" s="16" t="n">
        <x:v>3.5</x:v>
      </x:c>
      <x:c r="K20" s="16" t="n">
        <x:v>3.25</x:v>
      </x:c>
      <x:c r="L20" s="14" t="str">
        <x:v>$1–5</x:v>
      </x:c>
      <x:c r="M20" s="14" t="str">
        <x:v>Yes</x:v>
      </x:c>
      <x:c r="N20" s="14" t="str">
        <x:v>No</x:v>
      </x:c>
      <x:c r="O20" s="14" t="str">
        <x:v>Yes</x:v>
      </x:c>
      <x:c r="P20" s="14" t="str">
        <x:v>Clean/NM benchmark unless noted</x:v>
      </x:c>
      <x:c r="Q20" s="16" t="n">
        <x:v>3</x:v>
      </x:c>
      <x:c r="R20" s="16" t="n">
        <x:v>3.5</x:v>
      </x:c>
      <x:c r="S20" s="16" t="n">
        <x:v>3.25</x:v>
      </x:c>
      <x:c r="T20" s="14"/>
      <x:c r="U20" s="18" t="n">
        <x:v>200</x:v>
      </x:c>
      <x:c r="V20" s="14" t="str">
        <x:v>Uploaded Pokémon chat JSON / prior card-by-card research</x:v>
      </x:c>
      <x:c r="W20" s="14"/>
    </x:row>
    <x:row r="21">
      <x:c r="A21" s="18" t="n">
        <x:v>35</x:v>
      </x:c>
      <x:c r="B21" s="14" t="str">
        <x:v>Trainer/Item/Stadium</x:v>
      </x:c>
      <x:c r="C21" s="14" t="str">
        <x:v>Level Max</x:v>
      </x:c>
      <x:c r="D21" s="14" t="str">
        <x:v>107/127</x:v>
      </x:c>
      <x:c r="E21" s="14" t="str">
        <x:v>Platinum</x:v>
      </x:c>
      <x:c r="F21" s="18" t="n">
        <x:v>2009</x:v>
      </x:c>
      <x:c r="G21" s="14" t="str">
        <x:v>Reverse Holo</x:v>
      </x:c>
      <x:c r="H21" s="14" t="str">
        <x:v>1 of 1</x:v>
      </x:c>
      <x:c r="I21" s="16" t="n">
        <x:v>1</x:v>
      </x:c>
      <x:c r="J21" s="16" t="n">
        <x:v>1.5</x:v>
      </x:c>
      <x:c r="K21" s="16" t="n">
        <x:v>1.25</x:v>
      </x:c>
      <x:c r="L21" s="14" t="str">
        <x:v>$1–5</x:v>
      </x:c>
      <x:c r="M21" s="14" t="str">
        <x:v>Yes</x:v>
      </x:c>
      <x:c r="N21" s="14" t="str">
        <x:v>No</x:v>
      </x:c>
      <x:c r="O21" s="14" t="str">
        <x:v>Yes</x:v>
      </x:c>
      <x:c r="P21" s="14" t="str">
        <x:v>Clean/NM benchmark unless noted</x:v>
      </x:c>
      <x:c r="Q21" s="16" t="n">
        <x:v>1</x:v>
      </x:c>
      <x:c r="R21" s="16" t="n">
        <x:v>1.5</x:v>
      </x:c>
      <x:c r="S21" s="16" t="n">
        <x:v>1.25</x:v>
      </x:c>
      <x:c r="T21" s="14"/>
      <x:c r="U21" s="18" t="n">
        <x:v>206</x:v>
      </x:c>
      <x:c r="V21" s="14" t="str">
        <x:v>Uploaded Pokémon chat JSON / prior card-by-card research</x:v>
      </x:c>
      <x:c r="W21" s="14"/>
    </x:row>
    <x:row r="22">
      <x:c r="A22" s="18" t="n">
        <x:v>36</x:v>
      </x:c>
      <x:c r="B22" s="14" t="str">
        <x:v>Trainer/Item/Stadium</x:v>
      </x:c>
      <x:c r="C22" s="14" t="str">
        <x:v>Level Ball</x:v>
      </x:c>
      <x:c r="D22" s="14" t="str">
        <x:v>89/99</x:v>
      </x:c>
      <x:c r="E22" s="14" t="str">
        <x:v>Next Destinies</x:v>
      </x:c>
      <x:c r="F22" s="18" t="n">
        <x:v>2012</x:v>
      </x:c>
      <x:c r="G22" s="14" t="str">
        <x:v>Reverse Holo</x:v>
      </x:c>
      <x:c r="H22" s="14" t="str">
        <x:v>1 of 3</x:v>
      </x:c>
      <x:c r="I22" s="16" t="n">
        <x:v>3</x:v>
      </x:c>
      <x:c r="J22" s="16" t="n">
        <x:v>3.5</x:v>
      </x:c>
      <x:c r="K22" s="16" t="n">
        <x:v>3.25</x:v>
      </x:c>
      <x:c r="L22" s="14" t="str">
        <x:v>$1–5</x:v>
      </x:c>
      <x:c r="M22" s="14" t="str">
        <x:v>Yes</x:v>
      </x:c>
      <x:c r="N22" s="14" t="str">
        <x:v>No</x:v>
      </x:c>
      <x:c r="O22" s="14" t="str">
        <x:v>Yes</x:v>
      </x:c>
      <x:c r="P22" s="14" t="str">
        <x:v>Clean/NM benchmark unless noted</x:v>
      </x:c>
      <x:c r="Q22" s="16" t="n">
        <x:v>3</x:v>
      </x:c>
      <x:c r="R22" s="16" t="n">
        <x:v>3.5</x:v>
      </x:c>
      <x:c r="S22" s="16" t="n">
        <x:v>3.25</x:v>
      </x:c>
      <x:c r="T22" s="14"/>
      <x:c r="U22" s="18" t="n">
        <x:v>212</x:v>
      </x:c>
      <x:c r="V22" s="14" t="str">
        <x:v>Uploaded Pokémon chat JSON / prior card-by-card research</x:v>
      </x:c>
      <x:c r="W22" s="14"/>
    </x:row>
    <x:row r="23">
      <x:c r="A23" s="18" t="n">
        <x:v>37</x:v>
      </x:c>
      <x:c r="B23" s="14" t="str">
        <x:v>Trainer/Item/Stadium</x:v>
      </x:c>
      <x:c r="C23" s="14" t="str">
        <x:v>Level Ball</x:v>
      </x:c>
      <x:c r="D23" s="14" t="str">
        <x:v>89/99</x:v>
      </x:c>
      <x:c r="E23" s="14" t="str">
        <x:v>Next Destinies</x:v>
      </x:c>
      <x:c r="F23" s="18" t="n">
        <x:v>2012</x:v>
      </x:c>
      <x:c r="G23" s="14" t="str">
        <x:v>Reverse Holo</x:v>
      </x:c>
      <x:c r="H23" s="14" t="str">
        <x:v>2 of 3</x:v>
      </x:c>
      <x:c r="I23" s="16" t="n">
        <x:v>3</x:v>
      </x:c>
      <x:c r="J23" s="16" t="n">
        <x:v>3.5</x:v>
      </x:c>
      <x:c r="K23" s="16" t="n">
        <x:v>3.25</x:v>
      </x:c>
      <x:c r="L23" s="14" t="str">
        <x:v>$1–5</x:v>
      </x:c>
      <x:c r="M23" s="14" t="str">
        <x:v>Yes</x:v>
      </x:c>
      <x:c r="N23" s="14" t="str">
        <x:v>No</x:v>
      </x:c>
      <x:c r="O23" s="14" t="str">
        <x:v>Yes</x:v>
      </x:c>
      <x:c r="P23" s="14" t="str">
        <x:v>Clean/NM benchmark unless noted</x:v>
      </x:c>
      <x:c r="Q23" s="16" t="n">
        <x:v>3</x:v>
      </x:c>
      <x:c r="R23" s="16" t="n">
        <x:v>3.5</x:v>
      </x:c>
      <x:c r="S23" s="16" t="n">
        <x:v>3.25</x:v>
      </x:c>
      <x:c r="T23" s="14"/>
      <x:c r="U23" s="18" t="n">
        <x:v>212</x:v>
      </x:c>
      <x:c r="V23" s="14" t="str">
        <x:v>Uploaded Pokémon chat JSON / prior card-by-card research</x:v>
      </x:c>
      <x:c r="W23" s="14"/>
    </x:row>
    <x:row r="24">
      <x:c r="A24" s="18" t="n">
        <x:v>38</x:v>
      </x:c>
      <x:c r="B24" s="14" t="str">
        <x:v>Trainer/Item/Stadium</x:v>
      </x:c>
      <x:c r="C24" s="14" t="str">
        <x:v>Level Ball</x:v>
      </x:c>
      <x:c r="D24" s="14" t="str">
        <x:v>89/99</x:v>
      </x:c>
      <x:c r="E24" s="14" t="str">
        <x:v>Next Destinies</x:v>
      </x:c>
      <x:c r="F24" s="18" t="n">
        <x:v>2012</x:v>
      </x:c>
      <x:c r="G24" s="14" t="str">
        <x:v>Reverse Holo</x:v>
      </x:c>
      <x:c r="H24" s="14" t="str">
        <x:v>3 of 3</x:v>
      </x:c>
      <x:c r="I24" s="16" t="n">
        <x:v>3</x:v>
      </x:c>
      <x:c r="J24" s="16" t="n">
        <x:v>3.5</x:v>
      </x:c>
      <x:c r="K24" s="16" t="n">
        <x:v>3.25</x:v>
      </x:c>
      <x:c r="L24" s="14" t="str">
        <x:v>$1–5</x:v>
      </x:c>
      <x:c r="M24" s="14" t="str">
        <x:v>Yes</x:v>
      </x:c>
      <x:c r="N24" s="14" t="str">
        <x:v>No</x:v>
      </x:c>
      <x:c r="O24" s="14" t="str">
        <x:v>Yes</x:v>
      </x:c>
      <x:c r="P24" s="14" t="str">
        <x:v>Clean/NM benchmark unless noted</x:v>
      </x:c>
      <x:c r="Q24" s="16" t="n">
        <x:v>3</x:v>
      </x:c>
      <x:c r="R24" s="16" t="n">
        <x:v>3.5</x:v>
      </x:c>
      <x:c r="S24" s="16" t="n">
        <x:v>3.25</x:v>
      </x:c>
      <x:c r="T24" s="14"/>
      <x:c r="U24" s="18" t="n">
        <x:v>212</x:v>
      </x:c>
      <x:c r="V24" s="14" t="str">
        <x:v>Uploaded Pokémon chat JSON / prior card-by-card research</x:v>
      </x:c>
      <x:c r="W24" s="14"/>
    </x:row>
    <x:row r="25">
      <x:c r="A25" s="18" t="n">
        <x:v>39</x:v>
      </x:c>
      <x:c r="B25" s="14" t="str">
        <x:v>Trainer/Item/Stadium</x:v>
      </x:c>
      <x:c r="C25" s="14" t="str">
        <x:v>Lass</x:v>
      </x:c>
      <x:c r="D25" s="14" t="str">
        <x:v>104/130</x:v>
      </x:c>
      <x:c r="E25" s="14" t="str">
        <x:v>Base Set 2</x:v>
      </x:c>
      <x:c r="F25" s="18" t="n">
        <x:v>2000</x:v>
      </x:c>
      <x:c r="G25" s="14" t="str">
        <x:v>Rare Regular</x:v>
      </x:c>
      <x:c r="H25" s="14" t="str">
        <x:v>1 of 1</x:v>
      </x:c>
      <x:c r="I25" s="16" t="n">
        <x:v>2.75</x:v>
      </x:c>
      <x:c r="J25" s="16" t="n">
        <x:v>3</x:v>
      </x:c>
      <x:c r="K25" s="16" t="n">
        <x:v>2.875</x:v>
      </x:c>
      <x:c r="L25" s="14" t="str">
        <x:v>$1–5</x:v>
      </x:c>
      <x:c r="M25" s="14" t="str">
        <x:v>Yes</x:v>
      </x:c>
      <x:c r="N25" s="14" t="str">
        <x:v>No</x:v>
      </x:c>
      <x:c r="O25" s="14" t="str">
        <x:v>Yes</x:v>
      </x:c>
      <x:c r="P25" s="14" t="str">
        <x:v>Clean/NM benchmark unless noted</x:v>
      </x:c>
      <x:c r="Q25" s="16" t="n">
        <x:v>2.75</x:v>
      </x:c>
      <x:c r="R25" s="16" t="n">
        <x:v>3</x:v>
      </x:c>
      <x:c r="S25" s="16" t="n">
        <x:v>2.875</x:v>
      </x:c>
      <x:c r="T25" s="14"/>
      <x:c r="U25" s="18" t="n">
        <x:v>218</x:v>
      </x:c>
      <x:c r="V25" s="14" t="str">
        <x:v>Uploaded Pokémon chat JSON / prior card-by-card research</x:v>
      </x:c>
      <x:c r="W25" s="14"/>
    </x:row>
    <x:row r="26">
      <x:c r="A26" s="18" t="n">
        <x:v>40</x:v>
      </x:c>
      <x:c r="B26" s="14" t="str">
        <x:v>Trainer/Item/Stadium</x:v>
      </x:c>
      <x:c r="C26" s="14" t="str">
        <x:v>Max Revive</x:v>
      </x:c>
      <x:c r="D26" s="14" t="str">
        <x:v>3/8</x:v>
      </x:c>
      <x:c r="E26" s="14" t="str">
        <x:v>Pokémon Trading Figure Game: Next Quest</x:v>
      </x:c>
      <x:c r="F26" s="18" t="n">
        <x:v>2007</x:v>
      </x:c>
      <x:c r="G26" s="14" t="str">
        <x:v>Sideways TFG Trainer</x:v>
      </x:c>
      <x:c r="H26" s="14" t="str">
        <x:v>1 of 1</x:v>
      </x:c>
      <x:c r="I26" s="16" t="n">
        <x:v>20</x:v>
      </x:c>
      <x:c r="J26" s="16" t="n">
        <x:v>24</x:v>
      </x:c>
      <x:c r="K26" s="16" t="n">
        <x:v>22</x:v>
      </x:c>
      <x:c r="L26" s="14" t="str">
        <x:v>$5–20</x:v>
      </x:c>
      <x:c r="M26" s="14" t="str">
        <x:v>Yes</x:v>
      </x:c>
      <x:c r="N26" s="14" t="str">
        <x:v>Yes</x:v>
      </x:c>
      <x:c r="O26" s="14" t="str">
        <x:v>Yes</x:v>
      </x:c>
      <x:c r="P26" s="14" t="str">
        <x:v>Damaged</x:v>
      </x:c>
      <x:c r="Q26" s="16" t="n">
        <x:v>5</x:v>
      </x:c>
      <x:c r="R26" s="16" t="n">
        <x:v>10</x:v>
      </x:c>
      <x:c r="S26" s="16" t="n">
        <x:v>7.5</x:v>
      </x:c>
      <x:c r="T26" s="14" t="str">
        <x:v>Thin market; damaged but still collectible. Clean raw &gt;$10.</x:v>
      </x:c>
      <x:c r="U26" s="18" t="n">
        <x:v>224</x:v>
      </x:c>
      <x:c r="V26" s="14" t="str">
        <x:v>Uploaded Pokémon chat JSON / prior card-by-card research</x:v>
      </x:c>
      <x:c r="W26" s="14"/>
    </x:row>
    <x:row r="27">
      <x:c r="A27" s="18" t="n">
        <x:v>43</x:v>
      </x:c>
      <x:c r="B27" s="14" t="str">
        <x:v>Trainer/Item/Stadium</x:v>
      </x:c>
      <x:c r="C27" s="14" t="str">
        <x:v>PlusPower</x:v>
      </x:c>
      <x:c r="D27" s="14" t="str">
        <x:v>80/95</x:v>
      </x:c>
      <x:c r="E27" s="14" t="str">
        <x:v>Unleashed</x:v>
      </x:c>
      <x:c r="F27" s="18" t="n">
        <x:v>2010</x:v>
      </x:c>
      <x:c r="G27" s="14" t="str">
        <x:v>Reverse Holo</x:v>
      </x:c>
      <x:c r="H27" s="14" t="str">
        <x:v>1 of 1</x:v>
      </x:c>
      <x:c r="I27" s="16" t="n">
        <x:v>2</x:v>
      </x:c>
      <x:c r="J27" s="16" t="n">
        <x:v>3</x:v>
      </x:c>
      <x:c r="K27" s="16" t="n">
        <x:v>2.5</x:v>
      </x:c>
      <x:c r="L27" s="14" t="str">
        <x:v>$1–5</x:v>
      </x:c>
      <x:c r="M27" s="14" t="str">
        <x:v>Yes</x:v>
      </x:c>
      <x:c r="N27" s="14" t="str">
        <x:v>No</x:v>
      </x:c>
      <x:c r="O27" s="14" t="str">
        <x:v>Yes</x:v>
      </x:c>
      <x:c r="P27" s="14" t="str">
        <x:v>Clean/NM benchmark unless noted</x:v>
      </x:c>
      <x:c r="Q27" s="16" t="n">
        <x:v>2</x:v>
      </x:c>
      <x:c r="R27" s="16" t="n">
        <x:v>3</x:v>
      </x:c>
      <x:c r="S27" s="16" t="n">
        <x:v>2.5</x:v>
      </x:c>
      <x:c r="T27" s="14"/>
      <x:c r="U27" s="18" t="n">
        <x:v>236</x:v>
      </x:c>
      <x:c r="V27" s="14" t="str">
        <x:v>Uploaded Pokémon chat JSON / prior card-by-card research</x:v>
      </x:c>
      <x:c r="W27" s="14"/>
    </x:row>
    <x:row r="28">
      <x:c r="A28" s="18" t="n">
        <x:v>45</x:v>
      </x:c>
      <x:c r="B28" s="14" t="str">
        <x:v>Trainer/Item/Stadium</x:v>
      </x:c>
      <x:c r="C28" s="14" t="str">
        <x:v>Mr. Fuji</x:v>
      </x:c>
      <x:c r="D28" s="14" t="str">
        <x:v>58/62</x:v>
      </x:c>
      <x:c r="E28" s="14" t="str">
        <x:v>Fossil</x:v>
      </x:c>
      <x:c r="F28" s="18" t="n">
        <x:v>1999</x:v>
      </x:c>
      <x:c r="G28" s="14" t="str">
        <x:v>Unlimited Regular</x:v>
      </x:c>
      <x:c r="H28" s="14" t="str">
        <x:v>1 of 1</x:v>
      </x:c>
      <x:c r="I28" s="16" t="n">
        <x:v>0.93</x:v>
      </x:c>
      <x:c r="J28" s="16" t="n">
        <x:v>2</x:v>
      </x:c>
      <x:c r="K28" s="16" t="n">
        <x:v>1.465</x:v>
      </x:c>
      <x:c r="L28" s="14" t="str">
        <x:v>$1–5</x:v>
      </x:c>
      <x:c r="M28" s="14" t="str">
        <x:v>Yes</x:v>
      </x:c>
      <x:c r="N28" s="14" t="str">
        <x:v>No</x:v>
      </x:c>
      <x:c r="O28" s="14" t="str">
        <x:v>Yes</x:v>
      </x:c>
      <x:c r="P28" s="14" t="str">
        <x:v>Clean/NM benchmark unless noted</x:v>
      </x:c>
      <x:c r="Q28" s="16" t="n">
        <x:v>0.93</x:v>
      </x:c>
      <x:c r="R28" s="16" t="n">
        <x:v>2</x:v>
      </x:c>
      <x:c r="S28" s="16" t="n">
        <x:v>1.465</x:v>
      </x:c>
      <x:c r="T28" s="14"/>
      <x:c r="U28" s="18" t="n">
        <x:v>248</x:v>
      </x:c>
      <x:c r="V28" s="14" t="str">
        <x:v>Uploaded Pokémon chat JSON / prior card-by-card research</x:v>
      </x:c>
      <x:c r="W28" s="14"/>
    </x:row>
    <x:row r="29">
      <x:c r="A29" s="18" t="n">
        <x:v>46</x:v>
      </x:c>
      <x:c r="B29" s="14" t="str">
        <x:v>Trainer/Item/Stadium</x:v>
      </x:c>
      <x:c r="C29" s="14" t="str">
        <x:v>Potion</x:v>
      </x:c>
      <x:c r="D29" s="14" t="str">
        <x:v>132/149</x:v>
      </x:c>
      <x:c r="E29" s="14" t="str">
        <x:v>Boundaries Crossed</x:v>
      </x:c>
      <x:c r="F29" s="18" t="n">
        <x:v>2012</x:v>
      </x:c>
      <x:c r="G29" s="14" t="str">
        <x:v>Reverse Holo</x:v>
      </x:c>
      <x:c r="H29" s="14" t="str">
        <x:v>1 of 2</x:v>
      </x:c>
      <x:c r="I29" s="16" t="n">
        <x:v>2</x:v>
      </x:c>
      <x:c r="J29" s="16" t="n">
        <x:v>2.5</x:v>
      </x:c>
      <x:c r="K29" s="16" t="n">
        <x:v>2.25</x:v>
      </x:c>
      <x:c r="L29" s="14" t="str">
        <x:v>$1–5</x:v>
      </x:c>
      <x:c r="M29" s="14" t="str">
        <x:v>Yes</x:v>
      </x:c>
      <x:c r="N29" s="14" t="str">
        <x:v>No</x:v>
      </x:c>
      <x:c r="O29" s="14" t="str">
        <x:v>Yes</x:v>
      </x:c>
      <x:c r="P29" s="14" t="str">
        <x:v>Clean/NM benchmark unless noted</x:v>
      </x:c>
      <x:c r="Q29" s="16" t="n">
        <x:v>2</x:v>
      </x:c>
      <x:c r="R29" s="16" t="n">
        <x:v>2.5</x:v>
      </x:c>
      <x:c r="S29" s="16" t="n">
        <x:v>2.25</x:v>
      </x:c>
      <x:c r="T29" s="14" t="str">
        <x:v>Second physical copy sent again at index 266.</x:v>
      </x:c>
      <x:c r="U29" s="18" t="n">
        <x:v>254</x:v>
      </x:c>
      <x:c r="V29" s="14" t="str">
        <x:v>Uploaded Pokémon chat JSON / prior card-by-card research</x:v>
      </x:c>
      <x:c r="W29" s="14"/>
    </x:row>
    <x:row r="30">
      <x:c r="A30" s="18" t="n">
        <x:v>47</x:v>
      </x:c>
      <x:c r="B30" s="14" t="str">
        <x:v>Trainer/Item/Stadium</x:v>
      </x:c>
      <x:c r="C30" s="14" t="str">
        <x:v>Potion</x:v>
      </x:c>
      <x:c r="D30" s="14" t="str">
        <x:v>132/149</x:v>
      </x:c>
      <x:c r="E30" s="14" t="str">
        <x:v>Boundaries Crossed</x:v>
      </x:c>
      <x:c r="F30" s="18" t="n">
        <x:v>2012</x:v>
      </x:c>
      <x:c r="G30" s="14" t="str">
        <x:v>Reverse Holo</x:v>
      </x:c>
      <x:c r="H30" s="14" t="str">
        <x:v>2 of 2</x:v>
      </x:c>
      <x:c r="I30" s="16" t="n">
        <x:v>2</x:v>
      </x:c>
      <x:c r="J30" s="16" t="n">
        <x:v>2.5</x:v>
      </x:c>
      <x:c r="K30" s="16" t="n">
        <x:v>2.25</x:v>
      </x:c>
      <x:c r="L30" s="14" t="str">
        <x:v>$1–5</x:v>
      </x:c>
      <x:c r="M30" s="14" t="str">
        <x:v>Yes</x:v>
      </x:c>
      <x:c r="N30" s="14" t="str">
        <x:v>No</x:v>
      </x:c>
      <x:c r="O30" s="14" t="str">
        <x:v>Yes</x:v>
      </x:c>
      <x:c r="P30" s="14" t="str">
        <x:v>Clean/NM benchmark unless noted</x:v>
      </x:c>
      <x:c r="Q30" s="16" t="n">
        <x:v>2</x:v>
      </x:c>
      <x:c r="R30" s="16" t="n">
        <x:v>2.5</x:v>
      </x:c>
      <x:c r="S30" s="16" t="n">
        <x:v>2.25</x:v>
      </x:c>
      <x:c r="T30" s="14" t="str">
        <x:v>Second physical copy sent again at index 266.</x:v>
      </x:c>
      <x:c r="U30" s="18" t="n">
        <x:v>254</x:v>
      </x:c>
      <x:c r="V30" s="14" t="str">
        <x:v>Uploaded Pokémon chat JSON / prior card-by-card research</x:v>
      </x:c>
      <x:c r="W30" s="14"/>
    </x:row>
    <x:row r="31">
      <x:c r="A31" s="18" t="n">
        <x:v>48</x:v>
      </x:c>
      <x:c r="B31" s="14" t="str">
        <x:v>Trainer/Item/Stadium</x:v>
      </x:c>
      <x:c r="C31" s="14" t="str">
        <x:v>Root Fossil Lileep</x:v>
      </x:c>
      <x:c r="D31" s="14" t="str">
        <x:v>87/101</x:v>
      </x:c>
      <x:c r="E31" s="14" t="str">
        <x:v>Plasma Blast</x:v>
      </x:c>
      <x:c r="F31" s="18" t="n">
        <x:v>2013</x:v>
      </x:c>
      <x:c r="G31" s="14" t="str">
        <x:v>Reverse Holo</x:v>
      </x:c>
      <x:c r="H31" s="14" t="str">
        <x:v>1 of 1</x:v>
      </x:c>
      <x:c r="I31" s="16" t="n">
        <x:v>1.49</x:v>
      </x:c>
      <x:c r="J31" s="16" t="n">
        <x:v>2</x:v>
      </x:c>
      <x:c r="K31" s="16" t="n">
        <x:v>1.745</x:v>
      </x:c>
      <x:c r="L31" s="14" t="str">
        <x:v>$1–5</x:v>
      </x:c>
      <x:c r="M31" s="14" t="str">
        <x:v>Yes</x:v>
      </x:c>
      <x:c r="N31" s="14" t="str">
        <x:v>No</x:v>
      </x:c>
      <x:c r="O31" s="14" t="str">
        <x:v>Yes</x:v>
      </x:c>
      <x:c r="P31" s="14" t="str">
        <x:v>Clean/NM benchmark unless noted</x:v>
      </x:c>
      <x:c r="Q31" s="16" t="n">
        <x:v>1.49</x:v>
      </x:c>
      <x:c r="R31" s="16" t="n">
        <x:v>2</x:v>
      </x:c>
      <x:c r="S31" s="16" t="n">
        <x:v>1.745</x:v>
      </x:c>
      <x:c r="T31" s="14"/>
      <x:c r="U31" s="18" t="n">
        <x:v>260</x:v>
      </x:c>
      <x:c r="V31" s="14" t="str">
        <x:v>Uploaded Pokémon chat JSON / prior card-by-card research</x:v>
      </x:c>
      <x:c r="W31" s="14"/>
    </x:row>
    <x:row r="32">
      <x:c r="A32" s="18" t="n">
        <x:v>50</x:v>
      </x:c>
      <x:c r="B32" s="14" t="str">
        <x:v>Trainer/Item/Stadium</x:v>
      </x:c>
      <x:c r="C32" s="14" t="str">
        <x:v>Pokémon Communication</x:v>
      </x:c>
      <x:c r="D32" s="14" t="str">
        <x:v>99/114</x:v>
      </x:c>
      <x:c r="E32" s="14" t="str">
        <x:v>Black &amp; White</x:v>
      </x:c>
      <x:c r="F32" s="18" t="n">
        <x:v>2011</x:v>
      </x:c>
      <x:c r="G32" s="14" t="str">
        <x:v>Reverse Holo</x:v>
      </x:c>
      <x:c r="H32" s="14" t="str">
        <x:v>1 of 1</x:v>
      </x:c>
      <x:c r="I32" s="16" t="n">
        <x:v>1</x:v>
      </x:c>
      <x:c r="J32" s="16" t="n">
        <x:v>2</x:v>
      </x:c>
      <x:c r="K32" s="16" t="n">
        <x:v>1.5</x:v>
      </x:c>
      <x:c r="L32" s="14" t="str">
        <x:v>$1–5</x:v>
      </x:c>
      <x:c r="M32" s="14" t="str">
        <x:v>Yes</x:v>
      </x:c>
      <x:c r="N32" s="14" t="str">
        <x:v>No</x:v>
      </x:c>
      <x:c r="O32" s="14" t="str">
        <x:v>Yes</x:v>
      </x:c>
      <x:c r="P32" s="14" t="str">
        <x:v>Clean/NM benchmark unless noted</x:v>
      </x:c>
      <x:c r="Q32" s="16" t="n">
        <x:v>1</x:v>
      </x:c>
      <x:c r="R32" s="16" t="n">
        <x:v>2</x:v>
      </x:c>
      <x:c r="S32" s="16" t="n">
        <x:v>1.5</x:v>
      </x:c>
      <x:c r="T32" s="14"/>
      <x:c r="U32" s="18" t="n">
        <x:v>273</x:v>
      </x:c>
      <x:c r="V32" s="14" t="str">
        <x:v>Uploaded Pokémon chat JSON / prior card-by-card research</x:v>
      </x:c>
      <x:c r="W32" s="14"/>
    </x:row>
    <x:row r="33">
      <x:c r="A33" s="18" t="n">
        <x:v>51</x:v>
      </x:c>
      <x:c r="B33" s="14" t="str">
        <x:v>Trainer/Item/Stadium</x:v>
      </x:c>
      <x:c r="C33" s="14" t="str">
        <x:v>Pokémon Communication</x:v>
      </x:c>
      <x:c r="D33" s="14" t="str">
        <x:v>99/114</x:v>
      </x:c>
      <x:c r="E33" s="14" t="str">
        <x:v>2011 World Championships</x:v>
      </x:c>
      <x:c r="F33" s="18" t="n">
        <x:v>2011</x:v>
      </x:c>
      <x:c r="G33" s="14" t="str">
        <x:v>Gray-border WC</x:v>
      </x:c>
      <x:c r="H33" s="14" t="str">
        <x:v>1 of 3</x:v>
      </x:c>
      <x:c r="I33" s="16" t="n">
        <x:v>1</x:v>
      </x:c>
      <x:c r="J33" s="16" t="n">
        <x:v>1</x:v>
      </x:c>
      <x:c r="K33" s="16" t="n">
        <x:v>1</x:v>
      </x:c>
      <x:c r="L33" s="14" t="str">
        <x:v>$1–5</x:v>
      </x:c>
      <x:c r="M33" s="14" t="str">
        <x:v>Yes</x:v>
      </x:c>
      <x:c r="N33" s="14" t="str">
        <x:v>No</x:v>
      </x:c>
      <x:c r="O33" s="14" t="str">
        <x:v>Yes</x:v>
      </x:c>
      <x:c r="P33" s="14" t="str">
        <x:v>Clean/NM benchmark unless noted</x:v>
      </x:c>
      <x:c r="Q33" s="16" t="n">
        <x:v>1</x:v>
      </x:c>
      <x:c r="R33" s="16" t="n">
        <x:v>1</x:v>
      </x:c>
      <x:c r="S33" s="16" t="n">
        <x:v>1</x:v>
      </x:c>
      <x:c r="T33" s="14"/>
      <x:c r="U33" s="18" t="n">
        <x:v>284</x:v>
      </x:c>
      <x:c r="V33" s="14" t="str">
        <x:v>Uploaded Pokémon chat JSON / prior card-by-card research</x:v>
      </x:c>
      <x:c r="W33" s="14"/>
    </x:row>
    <x:row r="34">
      <x:c r="A34" s="18" t="n">
        <x:v>52</x:v>
      </x:c>
      <x:c r="B34" s="14" t="str">
        <x:v>Trainer/Item/Stadium</x:v>
      </x:c>
      <x:c r="C34" s="14" t="str">
        <x:v>Pokémon Communication</x:v>
      </x:c>
      <x:c r="D34" s="14" t="str">
        <x:v>99/114</x:v>
      </x:c>
      <x:c r="E34" s="14" t="str">
        <x:v>2011 World Championships</x:v>
      </x:c>
      <x:c r="F34" s="18" t="n">
        <x:v>2011</x:v>
      </x:c>
      <x:c r="G34" s="14" t="str">
        <x:v>Gray-border WC</x:v>
      </x:c>
      <x:c r="H34" s="14" t="str">
        <x:v>2 of 3</x:v>
      </x:c>
      <x:c r="I34" s="16" t="n">
        <x:v>1</x:v>
      </x:c>
      <x:c r="J34" s="16" t="n">
        <x:v>1</x:v>
      </x:c>
      <x:c r="K34" s="16" t="n">
        <x:v>1</x:v>
      </x:c>
      <x:c r="L34" s="14" t="str">
        <x:v>$1–5</x:v>
      </x:c>
      <x:c r="M34" s="14" t="str">
        <x:v>Yes</x:v>
      </x:c>
      <x:c r="N34" s="14" t="str">
        <x:v>No</x:v>
      </x:c>
      <x:c r="O34" s="14" t="str">
        <x:v>Yes</x:v>
      </x:c>
      <x:c r="P34" s="14" t="str">
        <x:v>Clean/NM benchmark unless noted</x:v>
      </x:c>
      <x:c r="Q34" s="16" t="n">
        <x:v>1</x:v>
      </x:c>
      <x:c r="R34" s="16" t="n">
        <x:v>1</x:v>
      </x:c>
      <x:c r="S34" s="16" t="n">
        <x:v>1</x:v>
      </x:c>
      <x:c r="T34" s="14"/>
      <x:c r="U34" s="18" t="n">
        <x:v>284</x:v>
      </x:c>
      <x:c r="V34" s="14" t="str">
        <x:v>Uploaded Pokémon chat JSON / prior card-by-card research</x:v>
      </x:c>
      <x:c r="W34" s="14"/>
    </x:row>
    <x:row r="35">
      <x:c r="A35" s="18" t="n">
        <x:v>53</x:v>
      </x:c>
      <x:c r="B35" s="14" t="str">
        <x:v>Trainer/Item/Stadium</x:v>
      </x:c>
      <x:c r="C35" s="14" t="str">
        <x:v>Pokémon Communication</x:v>
      </x:c>
      <x:c r="D35" s="14" t="str">
        <x:v>99/114</x:v>
      </x:c>
      <x:c r="E35" s="14" t="str">
        <x:v>2011 World Championships</x:v>
      </x:c>
      <x:c r="F35" s="18" t="n">
        <x:v>2011</x:v>
      </x:c>
      <x:c r="G35" s="14" t="str">
        <x:v>Gray-border WC</x:v>
      </x:c>
      <x:c r="H35" s="14" t="str">
        <x:v>3 of 3</x:v>
      </x:c>
      <x:c r="I35" s="16" t="n">
        <x:v>1</x:v>
      </x:c>
      <x:c r="J35" s="16" t="n">
        <x:v>1</x:v>
      </x:c>
      <x:c r="K35" s="16" t="n">
        <x:v>1</x:v>
      </x:c>
      <x:c r="L35" s="14" t="str">
        <x:v>$1–5</x:v>
      </x:c>
      <x:c r="M35" s="14" t="str">
        <x:v>Yes</x:v>
      </x:c>
      <x:c r="N35" s="14" t="str">
        <x:v>No</x:v>
      </x:c>
      <x:c r="O35" s="14" t="str">
        <x:v>Yes</x:v>
      </x:c>
      <x:c r="P35" s="14" t="str">
        <x:v>Clean/NM benchmark unless noted</x:v>
      </x:c>
      <x:c r="Q35" s="16" t="n">
        <x:v>1</x:v>
      </x:c>
      <x:c r="R35" s="16" t="n">
        <x:v>1</x:v>
      </x:c>
      <x:c r="S35" s="16" t="n">
        <x:v>1</x:v>
      </x:c>
      <x:c r="T35" s="14"/>
      <x:c r="U35" s="18" t="n">
        <x:v>284</x:v>
      </x:c>
      <x:c r="V35" s="14" t="str">
        <x:v>Uploaded Pokémon chat JSON / prior card-by-card research</x:v>
      </x:c>
      <x:c r="W35" s="14"/>
    </x:row>
    <x:row r="36">
      <x:c r="A36" s="18" t="n">
        <x:v>54</x:v>
      </x:c>
      <x:c r="B36" s="14" t="str">
        <x:v>Trainer/Item/Stadium</x:v>
      </x:c>
      <x:c r="C36" s="14" t="str">
        <x:v>Pokémon Center</x:v>
      </x:c>
      <x:c r="D36" s="14" t="str">
        <x:v>114/130</x:v>
      </x:c>
      <x:c r="E36" s="14" t="str">
        <x:v>Base Set 2</x:v>
      </x:c>
      <x:c r="F36" s="18" t="n">
        <x:v>2000</x:v>
      </x:c>
      <x:c r="G36" s="14" t="str">
        <x:v>Regular</x:v>
      </x:c>
      <x:c r="H36" s="14" t="str">
        <x:v>1 of 1</x:v>
      </x:c>
      <x:c r="I36" s="16" t="n">
        <x:v>1.15</x:v>
      </x:c>
      <x:c r="J36" s="16" t="n">
        <x:v>1.15</x:v>
      </x:c>
      <x:c r="K36" s="16" t="n">
        <x:v>1.15</x:v>
      </x:c>
      <x:c r="L36" s="14" t="str">
        <x:v>$1–5</x:v>
      </x:c>
      <x:c r="M36" s="14" t="str">
        <x:v>Yes</x:v>
      </x:c>
      <x:c r="N36" s="14" t="str">
        <x:v>No</x:v>
      </x:c>
      <x:c r="O36" s="14" t="str">
        <x:v>Yes</x:v>
      </x:c>
      <x:c r="P36" s="14" t="str">
        <x:v>Clean/NM benchmark unless noted</x:v>
      </x:c>
      <x:c r="Q36" s="16" t="n">
        <x:v>1.15</x:v>
      </x:c>
      <x:c r="R36" s="16" t="n">
        <x:v>1.15</x:v>
      </x:c>
      <x:c r="S36" s="16" t="n">
        <x:v>1.15</x:v>
      </x:c>
      <x:c r="T36" s="14"/>
      <x:c r="U36" s="18" t="n">
        <x:v>287</x:v>
      </x:c>
      <x:c r="V36" s="14" t="str">
        <x:v>Uploaded Pokémon chat JSON / prior card-by-card research</x:v>
      </x:c>
      <x:c r="W36" s="14"/>
    </x:row>
    <x:row r="37">
      <x:c r="A37" s="18" t="n">
        <x:v>55</x:v>
      </x:c>
      <x:c r="B37" s="14" t="str">
        <x:v>Trainer/Item/Stadium</x:v>
      </x:c>
      <x:c r="C37" s="14" t="str">
        <x:v>Pokémon Breeder</x:v>
      </x:c>
      <x:c r="D37" s="14" t="str">
        <x:v>76/102</x:v>
      </x:c>
      <x:c r="E37" s="14" t="str">
        <x:v>Base Set</x:v>
      </x:c>
      <x:c r="F37" s="18" t="n">
        <x:v>1999</x:v>
      </x:c>
      <x:c r="G37" s="14" t="str">
        <x:v>Unlimited Rare</x:v>
      </x:c>
      <x:c r="H37" s="14" t="str">
        <x:v>1 of 1</x:v>
      </x:c>
      <x:c r="I37" s="16" t="n">
        <x:v>6</x:v>
      </x:c>
      <x:c r="J37" s="16" t="n">
        <x:v>7</x:v>
      </x:c>
      <x:c r="K37" s="16" t="n">
        <x:v>6.5</x:v>
      </x:c>
      <x:c r="L37" s="14" t="str">
        <x:v>$1–5</x:v>
      </x:c>
      <x:c r="M37" s="14" t="str">
        <x:v>Yes</x:v>
      </x:c>
      <x:c r="N37" s="14" t="str">
        <x:v>No</x:v>
      </x:c>
      <x:c r="O37" s="14" t="str">
        <x:v>Yes</x:v>
      </x:c>
      <x:c r="P37" s="14" t="str">
        <x:v>LP/MP / not great condition</x:v>
      </x:c>
      <x:c r="Q37" s="16" t="n">
        <x:v>3</x:v>
      </x:c>
      <x:c r="R37" s="16" t="n">
        <x:v>5</x:v>
      </x:c>
      <x:c r="S37" s="16" t="n">
        <x:v>4</x:v>
      </x:c>
      <x:c r="T37" s="14" t="str">
        <x:v>Shadow present, so normal Unlimited; actual condition-adjusted value lower.</x:v>
      </x:c>
      <x:c r="U37" s="18" t="n">
        <x:v>291</x:v>
      </x:c>
      <x:c r="V37" s="14" t="str">
        <x:v>Uploaded Pokémon chat JSON / prior card-by-card research</x:v>
      </x:c>
      <x:c r="W37" s="14"/>
    </x:row>
    <x:row r="38">
      <x:c r="A38" s="18" t="n">
        <x:v>56</x:v>
      </x:c>
      <x:c r="B38" s="14" t="str">
        <x:v>Trainer/Item/Stadium</x:v>
      </x:c>
      <x:c r="C38" s="14" t="str">
        <x:v>Pokémon Breeder</x:v>
      </x:c>
      <x:c r="D38" s="14" t="str">
        <x:v>105/130</x:v>
      </x:c>
      <x:c r="E38" s="14" t="str">
        <x:v>Base Set 2</x:v>
      </x:c>
      <x:c r="F38" s="18" t="n">
        <x:v>2000</x:v>
      </x:c>
      <x:c r="G38" s="14" t="str">
        <x:v>Rare Regular</x:v>
      </x:c>
      <x:c r="H38" s="14" t="str">
        <x:v>1 of 1</x:v>
      </x:c>
      <x:c r="I38" s="16" t="n">
        <x:v>4.25</x:v>
      </x:c>
      <x:c r="J38" s="16" t="n">
        <x:v>4.5</x:v>
      </x:c>
      <x:c r="K38" s="16" t="n">
        <x:v>4.375</x:v>
      </x:c>
      <x:c r="L38" s="14" t="str">
        <x:v>$1–5</x:v>
      </x:c>
      <x:c r="M38" s="14" t="str">
        <x:v>Yes</x:v>
      </x:c>
      <x:c r="N38" s="14" t="str">
        <x:v>No</x:v>
      </x:c>
      <x:c r="O38" s="14" t="str">
        <x:v>Yes</x:v>
      </x:c>
      <x:c r="P38" s="14" t="str">
        <x:v>Clean/NM benchmark unless noted</x:v>
      </x:c>
      <x:c r="Q38" s="16" t="n">
        <x:v>4.25</x:v>
      </x:c>
      <x:c r="R38" s="16" t="n">
        <x:v>4.5</x:v>
      </x:c>
      <x:c r="S38" s="16" t="n">
        <x:v>4.375</x:v>
      </x:c>
      <x:c r="T38" s="14"/>
      <x:c r="U38" s="18" t="n">
        <x:v>291</x:v>
      </x:c>
      <x:c r="V38" s="14" t="str">
        <x:v>Uploaded Pokémon chat JSON / prior card-by-card research</x:v>
      </x:c>
      <x:c r="W38" s="14"/>
    </x:row>
    <x:row r="39">
      <x:c r="A39" s="18" t="n">
        <x:v>58</x:v>
      </x:c>
      <x:c r="B39" s="14" t="str">
        <x:v>Trainer/Item/Stadium</x:v>
      </x:c>
      <x:c r="C39" s="14" t="str">
        <x:v>Team Galactic’s Invention G-105 Poké Turn</x:v>
      </x:c>
      <x:c r="D39" s="14" t="str">
        <x:v>118/127</x:v>
      </x:c>
      <x:c r="E39" s="14" t="str">
        <x:v>Platinum</x:v>
      </x:c>
      <x:c r="F39" s="18" t="n">
        <x:v>2009</x:v>
      </x:c>
      <x:c r="G39" s="14" t="str">
        <x:v>Regular</x:v>
      </x:c>
      <x:c r="H39" s="14" t="str">
        <x:v>1 of 1</x:v>
      </x:c>
      <x:c r="I39" s="16" t="n">
        <x:v>4.5</x:v>
      </x:c>
      <x:c r="J39" s="16" t="n">
        <x:v>5</x:v>
      </x:c>
      <x:c r="K39" s="16" t="n">
        <x:v>4.75</x:v>
      </x:c>
      <x:c r="L39" s="14" t="str">
        <x:v>$1–5</x:v>
      </x:c>
      <x:c r="M39" s="14" t="str">
        <x:v>Yes</x:v>
      </x:c>
      <x:c r="N39" s="14" t="str">
        <x:v>No</x:v>
      </x:c>
      <x:c r="O39" s="14" t="str">
        <x:v>Yes</x:v>
      </x:c>
      <x:c r="P39" s="14" t="str">
        <x:v>Clean/NM benchmark unless noted</x:v>
      </x:c>
      <x:c r="Q39" s="16" t="n">
        <x:v>4.5</x:v>
      </x:c>
      <x:c r="R39" s="16" t="n">
        <x:v>5</x:v>
      </x:c>
      <x:c r="S39" s="16" t="n">
        <x:v>4.75</x:v>
      </x:c>
      <x:c r="T39" s="14"/>
      <x:c r="U39" s="18" t="n">
        <x:v>303</x:v>
      </x:c>
      <x:c r="V39" s="14" t="str">
        <x:v>Uploaded Pokémon chat JSON / prior card-by-card research</x:v>
      </x:c>
      <x:c r="W39" s="14"/>
    </x:row>
    <x:row r="40">
      <x:c r="A40" s="18" t="n">
        <x:v>60</x:v>
      </x:c>
      <x:c r="B40" s="14" t="str">
        <x:v>Trainer/Item/Stadium</x:v>
      </x:c>
      <x:c r="C40" s="14" t="str">
        <x:v>Super Rod</x:v>
      </x:c>
      <x:c r="D40" s="14" t="str">
        <x:v>20/20</x:v>
      </x:c>
      <x:c r="E40" s="14" t="str">
        <x:v>Dragon Vault</x:v>
      </x:c>
      <x:c r="F40" s="18" t="n">
        <x:v>2012</x:v>
      </x:c>
      <x:c r="G40" s="14" t="str">
        <x:v>Holo Rare</x:v>
      </x:c>
      <x:c r="H40" s="14" t="str">
        <x:v>1 of 2</x:v>
      </x:c>
      <x:c r="I40" s="16" t="n">
        <x:v>6</x:v>
      </x:c>
      <x:c r="J40" s="16" t="n">
        <x:v>6.25</x:v>
      </x:c>
      <x:c r="K40" s="16" t="n">
        <x:v>6.125</x:v>
      </x:c>
      <x:c r="L40" s="14" t="str">
        <x:v>$5–20</x:v>
      </x:c>
      <x:c r="M40" s="14" t="str">
        <x:v>Yes</x:v>
      </x:c>
      <x:c r="N40" s="14" t="str">
        <x:v>No</x:v>
      </x:c>
      <x:c r="O40" s="14" t="str">
        <x:v>Yes</x:v>
      </x:c>
      <x:c r="P40" s="14" t="str">
        <x:v>Clean/NM benchmark unless noted</x:v>
      </x:c>
      <x:c r="Q40" s="16" t="n">
        <x:v>6</x:v>
      </x:c>
      <x:c r="R40" s="16" t="n">
        <x:v>6.25</x:v>
      </x:c>
      <x:c r="S40" s="16" t="n">
        <x:v>6.125</x:v>
      </x:c>
      <x:c r="T40" s="14"/>
      <x:c r="U40" s="18" t="n">
        <x:v>309</x:v>
      </x:c>
      <x:c r="V40" s="14" t="str">
        <x:v>Uploaded Pokémon chat JSON / prior card-by-card research</x:v>
      </x:c>
      <x:c r="W40" s="14"/>
    </x:row>
    <x:row r="41">
      <x:c r="A41" s="18" t="n">
        <x:v>61</x:v>
      </x:c>
      <x:c r="B41" s="14" t="str">
        <x:v>Trainer/Item/Stadium</x:v>
      </x:c>
      <x:c r="C41" s="14" t="str">
        <x:v>Super Rod</x:v>
      </x:c>
      <x:c r="D41" s="14" t="str">
        <x:v>20/20</x:v>
      </x:c>
      <x:c r="E41" s="14" t="str">
        <x:v>Dragon Vault</x:v>
      </x:c>
      <x:c r="F41" s="18" t="n">
        <x:v>2012</x:v>
      </x:c>
      <x:c r="G41" s="14" t="str">
        <x:v>Holo Rare</x:v>
      </x:c>
      <x:c r="H41" s="14" t="str">
        <x:v>2 of 2</x:v>
      </x:c>
      <x:c r="I41" s="16" t="n">
        <x:v>6</x:v>
      </x:c>
      <x:c r="J41" s="16" t="n">
        <x:v>6.25</x:v>
      </x:c>
      <x:c r="K41" s="16" t="n">
        <x:v>6.125</x:v>
      </x:c>
      <x:c r="L41" s="14" t="str">
        <x:v>$5–20</x:v>
      </x:c>
      <x:c r="M41" s="14" t="str">
        <x:v>Yes</x:v>
      </x:c>
      <x:c r="N41" s="14" t="str">
        <x:v>No</x:v>
      </x:c>
      <x:c r="O41" s="14" t="str">
        <x:v>Yes</x:v>
      </x:c>
      <x:c r="P41" s="14" t="str">
        <x:v>Clean/NM benchmark unless noted</x:v>
      </x:c>
      <x:c r="Q41" s="16" t="n">
        <x:v>6</x:v>
      </x:c>
      <x:c r="R41" s="16" t="n">
        <x:v>6.25</x:v>
      </x:c>
      <x:c r="S41" s="16" t="n">
        <x:v>6.125</x:v>
      </x:c>
      <x:c r="T41" s="14"/>
      <x:c r="U41" s="18" t="n">
        <x:v>309</x:v>
      </x:c>
      <x:c r="V41" s="14" t="str">
        <x:v>Uploaded Pokémon chat JSON / prior card-by-card research</x:v>
      </x:c>
      <x:c r="W41" s="14"/>
    </x:row>
    <x:row r="42">
      <x:c r="A42" s="18" t="n">
        <x:v>62</x:v>
      </x:c>
      <x:c r="B42" s="14" t="str">
        <x:v>Trainer/Item/Stadium</x:v>
      </x:c>
      <x:c r="C42" s="14" t="str">
        <x:v>Super Rod</x:v>
      </x:c>
      <x:c r="D42" s="14" t="str">
        <x:v>95/101</x:v>
      </x:c>
      <x:c r="E42" s="14" t="str">
        <x:v>Noble Victories</x:v>
      </x:c>
      <x:c r="F42" s="18" t="n">
        <x:v>2011</x:v>
      </x:c>
      <x:c r="G42" s="14" t="str">
        <x:v>Reverse Holo</x:v>
      </x:c>
      <x:c r="H42" s="14" t="str">
        <x:v>1 of 2</x:v>
      </x:c>
      <x:c r="I42" s="16" t="n">
        <x:v>3.2</x:v>
      </x:c>
      <x:c r="J42" s="16" t="n">
        <x:v>3.23</x:v>
      </x:c>
      <x:c r="K42" s="16" t="n">
        <x:v>3.215</x:v>
      </x:c>
      <x:c r="L42" s="14" t="str">
        <x:v>$1–5</x:v>
      </x:c>
      <x:c r="M42" s="14" t="str">
        <x:v>Yes</x:v>
      </x:c>
      <x:c r="N42" s="14" t="str">
        <x:v>No</x:v>
      </x:c>
      <x:c r="O42" s="14" t="str">
        <x:v>Yes</x:v>
      </x:c>
      <x:c r="P42" s="14" t="str">
        <x:v>Clean/NM benchmark unless noted</x:v>
      </x:c>
      <x:c r="Q42" s="16" t="n">
        <x:v>3.2</x:v>
      </x:c>
      <x:c r="R42" s="16" t="n">
        <x:v>3.23</x:v>
      </x:c>
      <x:c r="S42" s="16" t="n">
        <x:v>3.215</x:v>
      </x:c>
      <x:c r="T42" s="14"/>
      <x:c r="U42" s="18" t="n">
        <x:v>315</x:v>
      </x:c>
      <x:c r="V42" s="14" t="str">
        <x:v>Uploaded Pokémon chat JSON / prior card-by-card research</x:v>
      </x:c>
      <x:c r="W42" s="14"/>
    </x:row>
    <x:row r="43">
      <x:c r="A43" s="18" t="n">
        <x:v>63</x:v>
      </x:c>
      <x:c r="B43" s="14" t="str">
        <x:v>Trainer/Item/Stadium</x:v>
      </x:c>
      <x:c r="C43" s="14" t="str">
        <x:v>Super Rod</x:v>
      </x:c>
      <x:c r="D43" s="14" t="str">
        <x:v>95/101</x:v>
      </x:c>
      <x:c r="E43" s="14" t="str">
        <x:v>Noble Victories</x:v>
      </x:c>
      <x:c r="F43" s="18" t="n">
        <x:v>2011</x:v>
      </x:c>
      <x:c r="G43" s="14" t="str">
        <x:v>Reverse Holo</x:v>
      </x:c>
      <x:c r="H43" s="14" t="str">
        <x:v>2 of 2</x:v>
      </x:c>
      <x:c r="I43" s="16" t="n">
        <x:v>3.2</x:v>
      </x:c>
      <x:c r="J43" s="16" t="n">
        <x:v>3.23</x:v>
      </x:c>
      <x:c r="K43" s="16" t="n">
        <x:v>3.215</x:v>
      </x:c>
      <x:c r="L43" s="14" t="str">
        <x:v>$1–5</x:v>
      </x:c>
      <x:c r="M43" s="14" t="str">
        <x:v>Yes</x:v>
      </x:c>
      <x:c r="N43" s="14" t="str">
        <x:v>No</x:v>
      </x:c>
      <x:c r="O43" s="14" t="str">
        <x:v>Yes</x:v>
      </x:c>
      <x:c r="P43" s="14" t="str">
        <x:v>Clean/NM benchmark unless noted</x:v>
      </x:c>
      <x:c r="Q43" s="16" t="n">
        <x:v>3.2</x:v>
      </x:c>
      <x:c r="R43" s="16" t="n">
        <x:v>3.23</x:v>
      </x:c>
      <x:c r="S43" s="16" t="n">
        <x:v>3.215</x:v>
      </x:c>
      <x:c r="T43" s="14"/>
      <x:c r="U43" s="18" t="n">
        <x:v>315</x:v>
      </x:c>
      <x:c r="V43" s="14" t="str">
        <x:v>Uploaded Pokémon chat JSON / prior card-by-card research</x:v>
      </x:c>
      <x:c r="W43" s="14"/>
    </x:row>
    <x:row r="44">
      <x:c r="A44" s="18" t="n">
        <x:v>67</x:v>
      </x:c>
      <x:c r="B44" s="14" t="str">
        <x:v>Trainer/Item/Stadium</x:v>
      </x:c>
      <x:c r="C44" s="14" t="str">
        <x:v>Switch</x:v>
      </x:c>
      <x:c r="D44" s="14" t="str">
        <x:v>92/109</x:v>
      </x:c>
      <x:c r="E44" s="14" t="str">
        <x:v>2004 World Championships</x:v>
      </x:c>
      <x:c r="F44" s="18" t="n">
        <x:v>2004</x:v>
      </x:c>
      <x:c r="G44" s="14" t="str">
        <x:v>World Championships</x:v>
      </x:c>
      <x:c r="H44" s="14" t="str">
        <x:v>1 of 1</x:v>
      </x:c>
      <x:c r="I44" s="16" t="n">
        <x:v>2.3</x:v>
      </x:c>
      <x:c r="J44" s="16" t="n">
        <x:v>2.33</x:v>
      </x:c>
      <x:c r="K44" s="16" t="n">
        <x:v>2.315</x:v>
      </x:c>
      <x:c r="L44" s="14" t="str">
        <x:v>$1–5</x:v>
      </x:c>
      <x:c r="M44" s="14" t="str">
        <x:v>Yes</x:v>
      </x:c>
      <x:c r="N44" s="14" t="str">
        <x:v>No</x:v>
      </x:c>
      <x:c r="O44" s="14" t="str">
        <x:v>Yes</x:v>
      </x:c>
      <x:c r="P44" s="14" t="str">
        <x:v>Clean/NM benchmark unless noted</x:v>
      </x:c>
      <x:c r="Q44" s="16" t="n">
        <x:v>2.3</x:v>
      </x:c>
      <x:c r="R44" s="16" t="n">
        <x:v>2.33</x:v>
      </x:c>
      <x:c r="S44" s="16" t="n">
        <x:v>2.315</x:v>
      </x:c>
      <x:c r="T44" s="14"/>
      <x:c r="U44" s="18" t="n">
        <x:v>327</x:v>
      </x:c>
      <x:c r="V44" s="14" t="str">
        <x:v>Uploaded Pokémon chat JSON / prior card-by-card research</x:v>
      </x:c>
      <x:c r="W44" s="14"/>
    </x:row>
    <x:row r="45">
      <x:c r="A45" s="18" t="n">
        <x:v>68</x:v>
      </x:c>
      <x:c r="B45" s="14" t="str">
        <x:v>Trainer/Item/Stadium</x:v>
      </x:c>
      <x:c r="C45" s="14" t="str">
        <x:v>Switch</x:v>
      </x:c>
      <x:c r="D45" s="14" t="str">
        <x:v>6/8</x:v>
      </x:c>
      <x:c r="E45" s="14" t="str">
        <x:v>Pokémon Trading Figure Game: Next Quest</x:v>
      </x:c>
      <x:c r="F45" s="18" t="n">
        <x:v>2007</x:v>
      </x:c>
      <x:c r="G45" s="14" t="str">
        <x:v>Sideways TFG Trainer</x:v>
      </x:c>
      <x:c r="H45" s="14" t="str">
        <x:v>1 of 1</x:v>
      </x:c>
      <x:c r="I45" s="16" t="n">
        <x:v>20</x:v>
      </x:c>
      <x:c r="J45" s="16" t="n">
        <x:v>20</x:v>
      </x:c>
      <x:c r="K45" s="16" t="n">
        <x:v>20</x:v>
      </x:c>
      <x:c r="L45" s="14" t="str">
        <x:v>$5–20</x:v>
      </x:c>
      <x:c r="M45" s="14" t="str">
        <x:v>Yes</x:v>
      </x:c>
      <x:c r="N45" s="14" t="str">
        <x:v>Yes</x:v>
      </x:c>
      <x:c r="O45" s="14" t="str">
        <x:v>Yes</x:v>
      </x:c>
      <x:c r="P45" s="14" t="str">
        <x:v>Heavily played / damaged</x:v>
      </x:c>
      <x:c r="Q45" s="16" t="n">
        <x:v>7</x:v>
      </x:c>
      <x:c r="R45" s="16" t="n">
        <x:v>12</x:v>
      </x:c>
      <x:c r="S45" s="16" t="n">
        <x:v>9.5</x:v>
      </x:c>
      <x:c r="T45" s="14" t="str">
        <x:v>Discolored/scratched back. Toploader based on clean raw &gt;$10.</x:v>
      </x:c>
      <x:c r="U45" s="18" t="n">
        <x:v>333</x:v>
      </x:c>
      <x:c r="V45" s="14" t="str">
        <x:v>Uploaded Pokémon chat JSON / prior card-by-card research</x:v>
      </x:c>
      <x:c r="W45" s="14"/>
    </x:row>
    <x:row r="46">
      <x:c r="A46" s="18" t="n">
        <x:v>71</x:v>
      </x:c>
      <x:c r="B46" s="14" t="str">
        <x:v>Trainer/Item/Stadium</x:v>
      </x:c>
      <x:c r="C46" s="14" t="str">
        <x:v>Super Scoop Up</x:v>
      </x:c>
      <x:c r="D46" s="14" t="str">
        <x:v>83/95</x:v>
      </x:c>
      <x:c r="E46" s="14" t="str">
        <x:v>Unleashed</x:v>
      </x:c>
      <x:c r="F46" s="18" t="n">
        <x:v>2010</x:v>
      </x:c>
      <x:c r="G46" s="14" t="str">
        <x:v>Reverse Holo</x:v>
      </x:c>
      <x:c r="H46" s="14" t="str">
        <x:v>1 of 1</x:v>
      </x:c>
      <x:c r="I46" s="16" t="n">
        <x:v>2.5</x:v>
      </x:c>
      <x:c r="J46" s="16" t="n">
        <x:v>3</x:v>
      </x:c>
      <x:c r="K46" s="16" t="n">
        <x:v>2.75</x:v>
      </x:c>
      <x:c r="L46" s="14" t="str">
        <x:v>$1–5</x:v>
      </x:c>
      <x:c r="M46" s="14" t="str">
        <x:v>Yes</x:v>
      </x:c>
      <x:c r="N46" s="14" t="str">
        <x:v>No</x:v>
      </x:c>
      <x:c r="O46" s="14" t="str">
        <x:v>Yes</x:v>
      </x:c>
      <x:c r="P46" s="14" t="str">
        <x:v>Clean/NM benchmark unless noted</x:v>
      </x:c>
      <x:c r="Q46" s="16" t="n">
        <x:v>2.5</x:v>
      </x:c>
      <x:c r="R46" s="16" t="n">
        <x:v>3</x:v>
      </x:c>
      <x:c r="S46" s="16" t="n">
        <x:v>2.75</x:v>
      </x:c>
      <x:c r="T46" s="14"/>
      <x:c r="U46" s="18" t="n">
        <x:v>345</x:v>
      </x:c>
      <x:c r="V46" s="14" t="str">
        <x:v>Uploaded Pokémon chat JSON / prior card-by-card research</x:v>
      </x:c>
      <x:c r="W46" s="14"/>
    </x:row>
    <x:row r="47">
      <x:c r="A47" s="18" t="n">
        <x:v>73</x:v>
      </x:c>
      <x:c r="B47" s="14" t="str">
        <x:v>Trainer/Item/Stadium</x:v>
      </x:c>
      <x:c r="C47" s="14" t="str">
        <x:v>Skull Fossil</x:v>
      </x:c>
      <x:c r="D47" s="14" t="str">
        <x:v>120/127</x:v>
      </x:c>
      <x:c r="E47" s="14" t="str">
        <x:v>Platinum</x:v>
      </x:c>
      <x:c r="F47" s="18" t="n">
        <x:v>2009</x:v>
      </x:c>
      <x:c r="G47" s="14" t="str">
        <x:v>Reverse Holo</x:v>
      </x:c>
      <x:c r="H47" s="14" t="str">
        <x:v>1 of 1</x:v>
      </x:c>
      <x:c r="I47" s="16" t="n">
        <x:v>1.25</x:v>
      </x:c>
      <x:c r="J47" s="16" t="n">
        <x:v>1.5</x:v>
      </x:c>
      <x:c r="K47" s="16" t="n">
        <x:v>1.375</x:v>
      </x:c>
      <x:c r="L47" s="14" t="str">
        <x:v>$1–5</x:v>
      </x:c>
      <x:c r="M47" s="14" t="str">
        <x:v>Yes</x:v>
      </x:c>
      <x:c r="N47" s="14" t="str">
        <x:v>No</x:v>
      </x:c>
      <x:c r="O47" s="14" t="str">
        <x:v>Yes</x:v>
      </x:c>
      <x:c r="P47" s="14" t="str">
        <x:v>Clean/NM benchmark unless noted</x:v>
      </x:c>
      <x:c r="Q47" s="16" t="n">
        <x:v>1.25</x:v>
      </x:c>
      <x:c r="R47" s="16" t="n">
        <x:v>1.5</x:v>
      </x:c>
      <x:c r="S47" s="16" t="n">
        <x:v>1.375</x:v>
      </x:c>
      <x:c r="T47" s="14"/>
      <x:c r="U47" s="18" t="n">
        <x:v>352</x:v>
      </x:c>
      <x:c r="V47" s="14" t="str">
        <x:v>Uploaded Pokémon chat JSON / prior card-by-card research</x:v>
      </x:c>
      <x:c r="W47" s="14"/>
    </x:row>
    <x:row r="48">
      <x:c r="A48" s="18" t="n">
        <x:v>74</x:v>
      </x:c>
      <x:c r="B48" s="14" t="str">
        <x:v>Trainer/Item/Stadium</x:v>
      </x:c>
      <x:c r="C48" s="14" t="str">
        <x:v>Skull Fossil</x:v>
      </x:c>
      <x:c r="D48" s="14" t="str">
        <x:v>117/123</x:v>
      </x:c>
      <x:c r="E48" s="14" t="str">
        <x:v>Mysterious Treasures</x:v>
      </x:c>
      <x:c r="F48" s="18" t="n">
        <x:v>2007</x:v>
      </x:c>
      <x:c r="G48" s="14" t="str">
        <x:v>Reverse Holo</x:v>
      </x:c>
      <x:c r="H48" s="14" t="str">
        <x:v>1 of 1</x:v>
      </x:c>
      <x:c r="I48" s="16" t="n">
        <x:v>1</x:v>
      </x:c>
      <x:c r="J48" s="16" t="n">
        <x:v>1.5</x:v>
      </x:c>
      <x:c r="K48" s="16" t="n">
        <x:v>1.25</x:v>
      </x:c>
      <x:c r="L48" s="14" t="str">
        <x:v>$1–5</x:v>
      </x:c>
      <x:c r="M48" s="14" t="str">
        <x:v>Yes</x:v>
      </x:c>
      <x:c r="N48" s="14" t="str">
        <x:v>No</x:v>
      </x:c>
      <x:c r="O48" s="14" t="str">
        <x:v>Yes</x:v>
      </x:c>
      <x:c r="P48" s="14" t="str">
        <x:v>Clean/NM benchmark unless noted</x:v>
      </x:c>
      <x:c r="Q48" s="16" t="n">
        <x:v>1</x:v>
      </x:c>
      <x:c r="R48" s="16" t="n">
        <x:v>1.5</x:v>
      </x:c>
      <x:c r="S48" s="16" t="n">
        <x:v>1.25</x:v>
      </x:c>
      <x:c r="T48" s="14"/>
      <x:c r="U48" s="18" t="n">
        <x:v>352</x:v>
      </x:c>
      <x:c r="V48" s="14" t="str">
        <x:v>Uploaded Pokémon chat JSON / prior card-by-card research</x:v>
      </x:c>
      <x:c r="W48" s="14"/>
    </x:row>
    <x:row r="49">
      <x:c r="A49" s="18" t="n">
        <x:v>75</x:v>
      </x:c>
      <x:c r="B49" s="14" t="str">
        <x:v>Trainer/Item/Stadium</x:v>
      </x:c>
      <x:c r="C49" s="14" t="str">
        <x:v>Ruin Wall</x:v>
      </x:c>
      <x:c r="D49" s="14" t="str">
        <x:v>74/75</x:v>
      </x:c>
      <x:c r="E49" s="14" t="str">
        <x:v>Neo Discovery</x:v>
      </x:c>
      <x:c r="F49" s="18" t="n">
        <x:v>2001</x:v>
      </x:c>
      <x:c r="G49" s="14" t="str">
        <x:v>Unlimited Regular</x:v>
      </x:c>
      <x:c r="H49" s="14" t="str">
        <x:v>1 of 1</x:v>
      </x:c>
      <x:c r="I49" s="16" t="n">
        <x:v>1</x:v>
      </x:c>
      <x:c r="J49" s="16" t="n">
        <x:v>1.5</x:v>
      </x:c>
      <x:c r="K49" s="16" t="n">
        <x:v>1.25</x:v>
      </x:c>
      <x:c r="L49" s="14" t="str">
        <x:v>$1–5</x:v>
      </x:c>
      <x:c r="M49" s="14" t="str">
        <x:v>Yes</x:v>
      </x:c>
      <x:c r="N49" s="14" t="str">
        <x:v>No</x:v>
      </x:c>
      <x:c r="O49" s="14" t="str">
        <x:v>Yes</x:v>
      </x:c>
      <x:c r="P49" s="14" t="str">
        <x:v>Clean/NM benchmark unless noted</x:v>
      </x:c>
      <x:c r="Q49" s="16" t="n">
        <x:v>1</x:v>
      </x:c>
      <x:c r="R49" s="16" t="n">
        <x:v>1.5</x:v>
      </x:c>
      <x:c r="S49" s="16" t="n">
        <x:v>1.25</x:v>
      </x:c>
      <x:c r="T49" s="14"/>
      <x:c r="U49" s="18" t="n">
        <x:v>364</x:v>
      </x:c>
      <x:c r="V49" s="14" t="str">
        <x:v>Uploaded Pokémon chat JSON / prior card-by-card research</x:v>
      </x:c>
      <x:c r="W49" s="14"/>
    </x:row>
    <x:row r="50">
      <x:c r="A50" s="18" t="n">
        <x:v>76</x:v>
      </x:c>
      <x:c r="B50" s="14" t="str">
        <x:v>Trainer/Item/Stadium</x:v>
      </x:c>
      <x:c r="C50" s="14" t="str">
        <x:v>Secret Mission</x:v>
      </x:c>
      <x:c r="D50" s="14" t="str">
        <x:v>118/132</x:v>
      </x:c>
      <x:c r="E50" s="14" t="str">
        <x:v>Gym Heroes</x:v>
      </x:c>
      <x:c r="F50" s="18" t="n">
        <x:v>2000</x:v>
      </x:c>
      <x:c r="G50" s="14" t="str">
        <x:v>Unlimited Regular</x:v>
      </x:c>
      <x:c r="H50" s="14" t="str">
        <x:v>1 of 1</x:v>
      </x:c>
      <x:c r="I50" s="16" t="n">
        <x:v>2</x:v>
      </x:c>
      <x:c r="J50" s="16" t="n">
        <x:v>3</x:v>
      </x:c>
      <x:c r="K50" s="16" t="n">
        <x:v>2.5</x:v>
      </x:c>
      <x:c r="L50" s="14" t="str">
        <x:v>$1–5</x:v>
      </x:c>
      <x:c r="M50" s="14" t="str">
        <x:v>Yes</x:v>
      </x:c>
      <x:c r="N50" s="14" t="str">
        <x:v>No</x:v>
      </x:c>
      <x:c r="O50" s="14" t="str">
        <x:v>Yes</x:v>
      </x:c>
      <x:c r="P50" s="14" t="str">
        <x:v>Clean/NM benchmark unless noted</x:v>
      </x:c>
      <x:c r="Q50" s="16" t="n">
        <x:v>2</x:v>
      </x:c>
      <x:c r="R50" s="16" t="n">
        <x:v>3</x:v>
      </x:c>
      <x:c r="S50" s="16" t="n">
        <x:v>2.5</x:v>
      </x:c>
      <x:c r="T50" s="14"/>
      <x:c r="U50" s="18" t="n">
        <x:v>370</x:v>
      </x:c>
      <x:c r="V50" s="14" t="str">
        <x:v>Uploaded Pokémon chat JSON / prior card-by-card research</x:v>
      </x:c>
      <x:c r="W50" s="14"/>
    </x:row>
    <x:row r="51">
      <x:c r="A51" s="18" t="n">
        <x:v>77</x:v>
      </x:c>
      <x:c r="B51" s="14" t="str">
        <x:v>Trainer/Item/Stadium</x:v>
      </x:c>
      <x:c r="C51" s="14" t="str">
        <x:v>X Attack</x:v>
      </x:c>
      <x:c r="D51" s="14" t="str">
        <x:v>8/8</x:v>
      </x:c>
      <x:c r="E51" s="14" t="str">
        <x:v>Pokémon Trading Figure Game: Next Quest</x:v>
      </x:c>
      <x:c r="F51" s="18" t="n">
        <x:v>2007</x:v>
      </x:c>
      <x:c r="G51" s="14" t="str">
        <x:v>Sideways TFG Trainer</x:v>
      </x:c>
      <x:c r="H51" s="14" t="str">
        <x:v>1 of 1</x:v>
      </x:c>
      <x:c r="I51" s="16" t="n">
        <x:v>12</x:v>
      </x:c>
      <x:c r="J51" s="16" t="n">
        <x:v>18</x:v>
      </x:c>
      <x:c r="K51" s="16" t="n">
        <x:v>15</x:v>
      </x:c>
      <x:c r="L51" s="14" t="str">
        <x:v>$5–20</x:v>
      </x:c>
      <x:c r="M51" s="14" t="str">
        <x:v>Yes</x:v>
      </x:c>
      <x:c r="N51" s="14" t="str">
        <x:v>Yes</x:v>
      </x:c>
      <x:c r="O51" s="14" t="str">
        <x:v>Yes</x:v>
      </x:c>
      <x:c r="P51" s="14" t="str">
        <x:v>Heavily played / damaged</x:v>
      </x:c>
      <x:c r="Q51" s="16" t="n">
        <x:v>5</x:v>
      </x:c>
      <x:c r="R51" s="16" t="n">
        <x:v>8</x:v>
      </x:c>
      <x:c r="S51" s="16" t="n">
        <x:v>6.5</x:v>
      </x:c>
      <x:c r="T51" s="14" t="str">
        <x:v>Toploader by user rule based on clean raw &gt;$10.</x:v>
      </x:c>
      <x:c r="U51" s="18" t="n">
        <x:v>376</x:v>
      </x:c>
      <x:c r="V51" s="14" t="str">
        <x:v>Uploaded Pokémon chat JSON / prior card-by-card research</x:v>
      </x:c>
      <x:c r="W51" s="14"/>
    </x:row>
    <x:row r="52">
      <x:c r="A52" s="18" t="n">
        <x:v>78</x:v>
      </x:c>
      <x:c r="B52" s="14" t="str">
        <x:v>Trainer/Item/Stadium</x:v>
      </x:c>
      <x:c r="C52" s="14" t="str">
        <x:v>Ultra Ball</x:v>
      </x:c>
      <x:c r="D52" s="14" t="str">
        <x:v>90/101</x:v>
      </x:c>
      <x:c r="E52" s="14" t="str">
        <x:v>Plasma Blast</x:v>
      </x:c>
      <x:c r="F52" s="18" t="n">
        <x:v>2013</x:v>
      </x:c>
      <x:c r="G52" s="14" t="str">
        <x:v>Reverse Holo</x:v>
      </x:c>
      <x:c r="H52" s="14" t="str">
        <x:v>1 of 1</x:v>
      </x:c>
      <x:c r="I52" s="16" t="n">
        <x:v>6</x:v>
      </x:c>
      <x:c r="J52" s="16" t="n">
        <x:v>7</x:v>
      </x:c>
      <x:c r="K52" s="16" t="n">
        <x:v>6.5</x:v>
      </x:c>
      <x:c r="L52" s="14" t="str">
        <x:v>$5–20</x:v>
      </x:c>
      <x:c r="M52" s="14" t="str">
        <x:v>Yes</x:v>
      </x:c>
      <x:c r="N52" s="14" t="str">
        <x:v>No</x:v>
      </x:c>
      <x:c r="O52" s="14" t="str">
        <x:v>Yes</x:v>
      </x:c>
      <x:c r="P52" s="14" t="str">
        <x:v>Clean/NM benchmark unless noted</x:v>
      </x:c>
      <x:c r="Q52" s="16" t="n">
        <x:v>6</x:v>
      </x:c>
      <x:c r="R52" s="16" t="n">
        <x:v>7</x:v>
      </x:c>
      <x:c r="S52" s="16" t="n">
        <x:v>6.5</x:v>
      </x:c>
      <x:c r="T52" s="14"/>
      <x:c r="U52" s="18" t="n">
        <x:v>388</x:v>
      </x:c>
      <x:c r="V52" s="14" t="str">
        <x:v>Uploaded Pokémon chat JSON / prior card-by-card research</x:v>
      </x:c>
      <x:c r="W52" s="14"/>
    </x:row>
    <x:row r="53">
      <x:c r="A53" s="18" t="n">
        <x:v>79</x:v>
      </x:c>
      <x:c r="B53" s="14" t="str">
        <x:v>Trainer/Item/Stadium</x:v>
      </x:c>
      <x:c r="C53" s="14" t="str">
        <x:v>Vermilion City Gym</x:v>
      </x:c>
      <x:c r="D53" s="14" t="str">
        <x:v>120/132</x:v>
      </x:c>
      <x:c r="E53" s="14" t="str">
        <x:v>Gym Heroes</x:v>
      </x:c>
      <x:c r="F53" s="18" t="n">
        <x:v>2000</x:v>
      </x:c>
      <x:c r="G53" s="14" t="str">
        <x:v>Unlimited Regular</x:v>
      </x:c>
      <x:c r="H53" s="14" t="str">
        <x:v>1 of 1</x:v>
      </x:c>
      <x:c r="I53" s="16" t="n">
        <x:v>2</x:v>
      </x:c>
      <x:c r="J53" s="16" t="n">
        <x:v>2.13</x:v>
      </x:c>
      <x:c r="K53" s="16" t="n">
        <x:v>2.065</x:v>
      </x:c>
      <x:c r="L53" s="14" t="str">
        <x:v>$1–5</x:v>
      </x:c>
      <x:c r="M53" s="14" t="str">
        <x:v>Yes</x:v>
      </x:c>
      <x:c r="N53" s="14" t="str">
        <x:v>No</x:v>
      </x:c>
      <x:c r="O53" s="14" t="str">
        <x:v>Yes</x:v>
      </x:c>
      <x:c r="P53" s="14" t="str">
        <x:v>Clean/NM benchmark unless noted</x:v>
      </x:c>
      <x:c r="Q53" s="16" t="n">
        <x:v>2</x:v>
      </x:c>
      <x:c r="R53" s="16" t="n">
        <x:v>2.13</x:v>
      </x:c>
      <x:c r="S53" s="16" t="n">
        <x:v>2.065</x:v>
      </x:c>
      <x:c r="T53" s="14"/>
      <x:c r="U53" s="18" t="n">
        <x:v>394</x:v>
      </x:c>
      <x:c r="V53" s="14" t="str">
        <x:v>Uploaded Pokémon chat JSON / prior card-by-card research</x:v>
      </x:c>
      <x:c r="W53" s="14"/>
    </x:row>
    <x:row r="54">
      <x:c r="A54" s="18" t="n">
        <x:v>80</x:v>
      </x:c>
      <x:c r="B54" s="14" t="str">
        <x:v>Trainer/Item/Stadium</x:v>
      </x:c>
      <x:c r="C54" s="14" t="str">
        <x:v>Tropical Beach</x:v>
      </x:c>
      <x:c r="D54" s="14" t="str">
        <x:v>BW28</x:v>
      </x:c>
      <x:c r="E54" s="14" t="str">
        <x:v>2011 World Championships</x:v>
      </x:c>
      <x:c r="F54" s="18" t="n">
        <x:v>2011</x:v>
      </x:c>
      <x:c r="G54" s="14" t="str">
        <x:v>Gray-border WC deck version</x:v>
      </x:c>
      <x:c r="H54" s="14" t="str">
        <x:v>1 of 1</x:v>
      </x:c>
      <x:c r="I54" s="16" t="n">
        <x:v>40</x:v>
      </x:c>
      <x:c r="J54" s="16" t="n">
        <x:v>70</x:v>
      </x:c>
      <x:c r="K54" s="16" t="n">
        <x:v>55</x:v>
      </x:c>
      <x:c r="L54" s="14" t="str">
        <x:v>$20+</x:v>
      </x:c>
      <x:c r="M54" s="14" t="str">
        <x:v>Yes</x:v>
      </x:c>
      <x:c r="N54" s="14" t="str">
        <x:v>Yes</x:v>
      </x:c>
      <x:c r="O54" s="14" t="str">
        <x:v>Yes</x:v>
      </x:c>
      <x:c r="P54" s="14" t="str">
        <x:v>Clean/NM benchmark unless noted</x:v>
      </x:c>
      <x:c r="Q54" s="16" t="n">
        <x:v>40</x:v>
      </x:c>
      <x:c r="R54" s="16" t="n">
        <x:v>70</x:v>
      </x:c>
      <x:c r="S54" s="16" t="n">
        <x:v>55</x:v>
      </x:c>
      <x:c r="T54" s="14"/>
      <x:c r="U54" s="18" t="n">
        <x:v>400</x:v>
      </x:c>
      <x:c r="V54" s="14" t="str">
        <x:v>Uploaded Pokémon chat JSON / prior card-by-card research</x:v>
      </x:c>
      <x:c r="W54" s="14"/>
    </x:row>
    <x:row r="55">
      <x:c r="A55" s="18" t="n">
        <x:v>81</x:v>
      </x:c>
      <x:c r="B55" s="14" t="str">
        <x:v>Trainer/Item/Stadium</x:v>
      </x:c>
      <x:c r="C55" s="14" t="str">
        <x:v>Strange Cave</x:v>
      </x:c>
      <x:c r="D55" s="14" t="str">
        <x:v>77/92</x:v>
      </x:c>
      <x:c r="E55" s="14" t="str">
        <x:v>EX Legend Maker</x:v>
      </x:c>
      <x:c r="F55" s="18" t="n">
        <x:v>2006</x:v>
      </x:c>
      <x:c r="G55" s="14" t="str">
        <x:v>Reverse Holo / stamped</x:v>
      </x:c>
      <x:c r="H55" s="14" t="str">
        <x:v>1 of 1</x:v>
      </x:c>
      <x:c r="I55" s="16" t="n">
        <x:v>10</x:v>
      </x:c>
      <x:c r="J55" s="16" t="n">
        <x:v>11</x:v>
      </x:c>
      <x:c r="K55" s="16" t="n">
        <x:v>10.5</x:v>
      </x:c>
      <x:c r="L55" s="14" t="str">
        <x:v>$5–20</x:v>
      </x:c>
      <x:c r="M55" s="14" t="str">
        <x:v>Yes</x:v>
      </x:c>
      <x:c r="N55" s="14" t="str">
        <x:v>Yes</x:v>
      </x:c>
      <x:c r="O55" s="14" t="str">
        <x:v>Yes</x:v>
      </x:c>
      <x:c r="P55" s="14" t="str">
        <x:v>Clean/NM benchmark unless noted</x:v>
      </x:c>
      <x:c r="Q55" s="16" t="n">
        <x:v>10</x:v>
      </x:c>
      <x:c r="R55" s="16" t="n">
        <x:v>11</x:v>
      </x:c>
      <x:c r="S55" s="16" t="n">
        <x:v>10.5</x:v>
      </x:c>
      <x:c r="T55" s="14"/>
      <x:c r="U55" s="18" t="n">
        <x:v>406</x:v>
      </x:c>
      <x:c r="V55" s="14" t="str">
        <x:v>Uploaded Pokémon chat JSON / prior card-by-card research</x:v>
      </x:c>
      <x:c r="W55" s="14"/>
    </x:row>
    <x:row r="56">
      <x:c r="A56" s="18" t="n">
        <x:v>82</x:v>
      </x:c>
      <x:c r="B56" s="14" t="str">
        <x:v>Trainer/Item/Stadium</x:v>
      </x:c>
      <x:c r="C56" s="14" t="str">
        <x:v>Power Tree</x:v>
      </x:c>
      <x:c r="D56" s="14" t="str">
        <x:v>76/92</x:v>
      </x:c>
      <x:c r="E56" s="14" t="str">
        <x:v>EX Legend Maker</x:v>
      </x:c>
      <x:c r="F56" s="18" t="n">
        <x:v>2006</x:v>
      </x:c>
      <x:c r="G56" s="14" t="str">
        <x:v>Reverse Holo / stamped</x:v>
      </x:c>
      <x:c r="H56" s="14" t="str">
        <x:v>1 of 1</x:v>
      </x:c>
      <x:c r="I56" s="16" t="n">
        <x:v>5.9</x:v>
      </x:c>
      <x:c r="J56" s="16" t="n">
        <x:v>8.23</x:v>
      </x:c>
      <x:c r="K56" s="16" t="n">
        <x:v>7.065</x:v>
      </x:c>
      <x:c r="L56" s="14" t="str">
        <x:v>$5–20</x:v>
      </x:c>
      <x:c r="M56" s="14" t="str">
        <x:v>Yes</x:v>
      </x:c>
      <x:c r="N56" s="14" t="str">
        <x:v>No</x:v>
      </x:c>
      <x:c r="O56" s="14" t="str">
        <x:v>Yes</x:v>
      </x:c>
      <x:c r="P56" s="14" t="str">
        <x:v>Clean/NM benchmark unless noted</x:v>
      </x:c>
      <x:c r="Q56" s="16" t="n">
        <x:v>5.9</x:v>
      </x:c>
      <x:c r="R56" s="16" t="n">
        <x:v>8.23</x:v>
      </x:c>
      <x:c r="S56" s="16" t="n">
        <x:v>7.065</x:v>
      </x:c>
      <x:c r="T56" s="14"/>
      <x:c r="U56" s="18" t="n">
        <x:v>406</x:v>
      </x:c>
      <x:c r="V56" s="14" t="str">
        <x:v>Uploaded Pokémon chat JSON / prior card-by-card research</x:v>
      </x:c>
      <x:c r="W56" s="14"/>
    </x:row>
    <x:row r="57">
      <x:c r="A57" s="18" t="n">
        <x:v>83</x:v>
      </x:c>
      <x:c r="B57" s="14" t="str">
        <x:v>Trainer/Item/Stadium</x:v>
      </x:c>
      <x:c r="C57" s="14" t="str">
        <x:v>Miasma Valley</x:v>
      </x:c>
      <x:c r="D57" s="14" t="str">
        <x:v>111/127</x:v>
      </x:c>
      <x:c r="E57" s="14" t="str">
        <x:v>Platinum</x:v>
      </x:c>
      <x:c r="F57" s="18" t="n">
        <x:v>2009</x:v>
      </x:c>
      <x:c r="G57" s="14" t="str">
        <x:v>Reverse Holo</x:v>
      </x:c>
      <x:c r="H57" s="14" t="str">
        <x:v>1 of 1</x:v>
      </x:c>
      <x:c r="I57" s="16" t="n">
        <x:v>1.5</x:v>
      </x:c>
      <x:c r="J57" s="16" t="n">
        <x:v>2</x:v>
      </x:c>
      <x:c r="K57" s="16" t="n">
        <x:v>1.75</x:v>
      </x:c>
      <x:c r="L57" s="14" t="str">
        <x:v>$1–5</x:v>
      </x:c>
      <x:c r="M57" s="14" t="str">
        <x:v>Yes</x:v>
      </x:c>
      <x:c r="N57" s="14" t="str">
        <x:v>No</x:v>
      </x:c>
      <x:c r="O57" s="14" t="str">
        <x:v>Yes</x:v>
      </x:c>
      <x:c r="P57" s="14" t="str">
        <x:v>Clean/NM benchmark unless noted</x:v>
      </x:c>
      <x:c r="Q57" s="16" t="n">
        <x:v>1.5</x:v>
      </x:c>
      <x:c r="R57" s="16" t="n">
        <x:v>2</x:v>
      </x:c>
      <x:c r="S57" s="16" t="n">
        <x:v>1.75</x:v>
      </x:c>
      <x:c r="T57" s="14"/>
      <x:c r="U57" s="18" t="n">
        <x:v>412</x:v>
      </x:c>
      <x:c r="V57" s="14" t="str">
        <x:v>Uploaded Pokémon chat JSON / prior card-by-card research</x:v>
      </x:c>
      <x:c r="W57" s="14"/>
    </x:row>
    <x:row r="58">
      <x:c r="A58" s="18" t="n">
        <x:v>84</x:v>
      </x:c>
      <x:c r="B58" s="14" t="str">
        <x:v>Trainer/Item/Stadium</x:v>
      </x:c>
      <x:c r="C58" s="14" t="str">
        <x:v>Holon Circle</x:v>
      </x:c>
      <x:c r="D58" s="14" t="str">
        <x:v>79/100</x:v>
      </x:c>
      <x:c r="E58" s="14" t="str">
        <x:v>EX Crystal Guardians</x:v>
      </x:c>
      <x:c r="F58" s="18" t="n">
        <x:v>2006</x:v>
      </x:c>
      <x:c r="G58" s="14" t="str">
        <x:v>Reverse Holo / stamped</x:v>
      </x:c>
      <x:c r="H58" s="14" t="str">
        <x:v>1 of 1</x:v>
      </x:c>
      <x:c r="I58" s="16" t="n">
        <x:v>3</x:v>
      </x:c>
      <x:c r="J58" s="16" t="n">
        <x:v>5</x:v>
      </x:c>
      <x:c r="K58" s="16" t="n">
        <x:v>4</x:v>
      </x:c>
      <x:c r="L58" s="14" t="str">
        <x:v>$1–5</x:v>
      </x:c>
      <x:c r="M58" s="14" t="str">
        <x:v>Yes</x:v>
      </x:c>
      <x:c r="N58" s="14" t="str">
        <x:v>No</x:v>
      </x:c>
      <x:c r="O58" s="14" t="str">
        <x:v>Yes</x:v>
      </x:c>
      <x:c r="P58" s="14" t="str">
        <x:v>Clean/NM benchmark unless noted</x:v>
      </x:c>
      <x:c r="Q58" s="16" t="n">
        <x:v>3</x:v>
      </x:c>
      <x:c r="R58" s="16" t="n">
        <x:v>5</x:v>
      </x:c>
      <x:c r="S58" s="16" t="n">
        <x:v>4</x:v>
      </x:c>
      <x:c r="T58" s="14"/>
      <x:c r="U58" s="18" t="n">
        <x:v>412</x:v>
      </x:c>
      <x:c r="V58" s="14" t="str">
        <x:v>Uploaded Pokémon chat JSON / prior card-by-card research</x:v>
      </x:c>
      <x:c r="W58" s="14"/>
    </x:row>
    <x:row r="59">
      <x:c r="A59" s="18" t="n">
        <x:v>85</x:v>
      </x:c>
      <x:c r="B59" s="14" t="str">
        <x:v>Trainer/Item/Stadium</x:v>
      </x:c>
      <x:c r="C59" s="14" t="str">
        <x:v>Frozen City</x:v>
      </x:c>
      <x:c r="D59" s="14" t="str">
        <x:v>100/116</x:v>
      </x:c>
      <x:c r="E59" s="14" t="str">
        <x:v>Plasma Freeze</x:v>
      </x:c>
      <x:c r="F59" s="18" t="n">
        <x:v>2013</x:v>
      </x:c>
      <x:c r="G59" s="14" t="str">
        <x:v>Team Plasma regular</x:v>
      </x:c>
      <x:c r="H59" s="14" t="str">
        <x:v>1 of 1</x:v>
      </x:c>
      <x:c r="I59" s="16" t="n">
        <x:v>1.25</x:v>
      </x:c>
      <x:c r="J59" s="16" t="n">
        <x:v>1.5</x:v>
      </x:c>
      <x:c r="K59" s="16" t="n">
        <x:v>1.375</x:v>
      </x:c>
      <x:c r="L59" s="14" t="str">
        <x:v>$1–5</x:v>
      </x:c>
      <x:c r="M59" s="14" t="str">
        <x:v>Yes</x:v>
      </x:c>
      <x:c r="N59" s="14" t="str">
        <x:v>No</x:v>
      </x:c>
      <x:c r="O59" s="14" t="str">
        <x:v>Yes</x:v>
      </x:c>
      <x:c r="P59" s="14" t="str">
        <x:v>Clean/NM benchmark unless noted</x:v>
      </x:c>
      <x:c r="Q59" s="16" t="n">
        <x:v>1.25</x:v>
      </x:c>
      <x:c r="R59" s="16" t="n">
        <x:v>1.5</x:v>
      </x:c>
      <x:c r="S59" s="16" t="n">
        <x:v>1.375</x:v>
      </x:c>
      <x:c r="T59" s="14"/>
      <x:c r="U59" s="18" t="n">
        <x:v>418</x:v>
      </x:c>
      <x:c r="V59" s="14" t="str">
        <x:v>Uploaded Pokémon chat JSON / prior card-by-card research</x:v>
      </x:c>
      <x:c r="W59" s="14"/>
    </x:row>
    <x:row r="60">
      <x:c r="A60" s="18" t="n">
        <x:v>86</x:v>
      </x:c>
      <x:c r="B60" s="14" t="str">
        <x:v>Trainer/Item/Stadium</x:v>
      </x:c>
      <x:c r="C60" s="14" t="str">
        <x:v>Desert Ruins</x:v>
      </x:c>
      <x:c r="D60" s="14" t="str">
        <x:v>88/101</x:v>
      </x:c>
      <x:c r="E60" s="14" t="str">
        <x:v>2006 World Championships</x:v>
      </x:c>
      <x:c r="F60" s="18" t="n">
        <x:v>2006</x:v>
      </x:c>
      <x:c r="G60" s="14" t="str">
        <x:v>Miska Saari gray-border</x:v>
      </x:c>
      <x:c r="H60" s="14" t="str">
        <x:v>1 of 1</x:v>
      </x:c>
      <x:c r="I60" s="16" t="n">
        <x:v>1.2</x:v>
      </x:c>
      <x:c r="J60" s="16" t="n">
        <x:v>1.5</x:v>
      </x:c>
      <x:c r="K60" s="16" t="n">
        <x:v>1.35</x:v>
      </x:c>
      <x:c r="L60" s="14" t="str">
        <x:v>$1–5</x:v>
      </x:c>
      <x:c r="M60" s="14" t="str">
        <x:v>Yes</x:v>
      </x:c>
      <x:c r="N60" s="14" t="str">
        <x:v>No</x:v>
      </x:c>
      <x:c r="O60" s="14" t="str">
        <x:v>Yes</x:v>
      </x:c>
      <x:c r="P60" s="14" t="str">
        <x:v>Clean/NM benchmark unless noted</x:v>
      </x:c>
      <x:c r="Q60" s="16" t="n">
        <x:v>1.2</x:v>
      </x:c>
      <x:c r="R60" s="16" t="n">
        <x:v>1.5</x:v>
      </x:c>
      <x:c r="S60" s="16" t="n">
        <x:v>1.35</x:v>
      </x:c>
      <x:c r="T60" s="14"/>
      <x:c r="U60" s="18" t="n">
        <x:v>424</x:v>
      </x:c>
      <x:c r="V60" s="14" t="str">
        <x:v>Uploaded Pokémon chat JSON / prior card-by-card research</x:v>
      </x:c>
      <x:c r="W60" s="14"/>
    </x:row>
    <x:row r="61">
      <x:c r="A61" s="18" t="n">
        <x:v>87</x:v>
      </x:c>
      <x:c r="B61" s="14" t="str">
        <x:v>Trainer/Item/Stadium</x:v>
      </x:c>
      <x:c r="C61" s="14" t="str">
        <x:v>Celadon City Gym</x:v>
      </x:c>
      <x:c r="D61" s="14" t="str">
        <x:v>107/132</x:v>
      </x:c>
      <x:c r="E61" s="14" t="str">
        <x:v>Gym Heroes</x:v>
      </x:c>
      <x:c r="F61" s="18" t="n">
        <x:v>2000</x:v>
      </x:c>
      <x:c r="G61" s="14" t="str">
        <x:v>Unlimited Regular</x:v>
      </x:c>
      <x:c r="H61" s="14" t="str">
        <x:v>1 of 1</x:v>
      </x:c>
      <x:c r="I61" s="16" t="n">
        <x:v>2</x:v>
      </x:c>
      <x:c r="J61" s="16" t="n">
        <x:v>2.25</x:v>
      </x:c>
      <x:c r="K61" s="16" t="n">
        <x:v>2.125</x:v>
      </x:c>
      <x:c r="L61" s="14" t="str">
        <x:v>$1–5</x:v>
      </x:c>
      <x:c r="M61" s="14" t="str">
        <x:v>Yes</x:v>
      </x:c>
      <x:c r="N61" s="14" t="str">
        <x:v>No</x:v>
      </x:c>
      <x:c r="O61" s="14" t="str">
        <x:v>Yes</x:v>
      </x:c>
      <x:c r="P61" s="14" t="str">
        <x:v>Clean/NM benchmark unless noted</x:v>
      </x:c>
      <x:c r="Q61" s="16" t="n">
        <x:v>2</x:v>
      </x:c>
      <x:c r="R61" s="16" t="n">
        <x:v>2.25</x:v>
      </x:c>
      <x:c r="S61" s="16" t="n">
        <x:v>2.125</x:v>
      </x:c>
      <x:c r="T61" s="14"/>
      <x:c r="U61" s="18" t="n">
        <x:v>436</x:v>
      </x:c>
      <x:c r="V61" s="14" t="str">
        <x:v>Uploaded Pokémon chat JSON / prior card-by-card research</x:v>
      </x:c>
      <x:c r="W61" s="14"/>
    </x:row>
    <x:row r="62">
      <x:c r="A62" s="18" t="n">
        <x:v>88</x:v>
      </x:c>
      <x:c r="B62" s="14" t="str">
        <x:v>Trainer/Item/Stadium</x:v>
      </x:c>
      <x:c r="C62" s="14" t="str">
        <x:v>Chaos Gym</x:v>
      </x:c>
      <x:c r="D62" s="14" t="str">
        <x:v>102/132</x:v>
      </x:c>
      <x:c r="E62" s="14" t="str">
        <x:v>Gym Challenge</x:v>
      </x:c>
      <x:c r="F62" s="18" t="n">
        <x:v>2000</x:v>
      </x:c>
      <x:c r="G62" s="14" t="str">
        <x:v>Rare Unlimited</x:v>
      </x:c>
      <x:c r="H62" s="14" t="str">
        <x:v>1 of 1</x:v>
      </x:c>
      <x:c r="I62" s="16" t="n">
        <x:v>10</x:v>
      </x:c>
      <x:c r="J62" s="16" t="n">
        <x:v>12</x:v>
      </x:c>
      <x:c r="K62" s="16" t="n">
        <x:v>11</x:v>
      </x:c>
      <x:c r="L62" s="14" t="str">
        <x:v>$5–20</x:v>
      </x:c>
      <x:c r="M62" s="14" t="str">
        <x:v>Yes</x:v>
      </x:c>
      <x:c r="N62" s="14" t="str">
        <x:v>Yes</x:v>
      </x:c>
      <x:c r="O62" s="14" t="str">
        <x:v>Yes</x:v>
      </x:c>
      <x:c r="P62" s="14" t="str">
        <x:v>Clean/NM benchmark unless noted</x:v>
      </x:c>
      <x:c r="Q62" s="16" t="n">
        <x:v>10</x:v>
      </x:c>
      <x:c r="R62" s="16" t="n">
        <x:v>12</x:v>
      </x:c>
      <x:c r="S62" s="16" t="n">
        <x:v>11</x:v>
      </x:c>
      <x:c r="T62" s="14"/>
      <x:c r="U62" s="18" t="n">
        <x:v>436</x:v>
      </x:c>
      <x:c r="V62" s="14" t="str">
        <x:v>Uploaded Pokémon chat JSON / prior card-by-card research</x:v>
      </x:c>
      <x:c r="W62" s="14"/>
    </x:row>
    <x:row r="63">
      <x:c r="A63" s="18" t="n">
        <x:v>89</x:v>
      </x:c>
      <x:c r="B63" s="14" t="str">
        <x:v>Trainer/Item/Stadium</x:v>
      </x:c>
      <x:c r="C63" s="14" t="str">
        <x:v>Aspertia City Gym</x:v>
      </x:c>
      <x:c r="D63" s="14" t="str">
        <x:v>127/149</x:v>
      </x:c>
      <x:c r="E63" s="14" t="str">
        <x:v>Boundaries Crossed</x:v>
      </x:c>
      <x:c r="F63" s="18" t="n">
        <x:v>2012</x:v>
      </x:c>
      <x:c r="G63" s="14" t="str">
        <x:v>Reverse Holo</x:v>
      </x:c>
      <x:c r="H63" s="14" t="str">
        <x:v>1 of 2</x:v>
      </x:c>
      <x:c r="I63" s="16" t="n">
        <x:v>1.2</x:v>
      </x:c>
      <x:c r="J63" s="16" t="n">
        <x:v>1.2</x:v>
      </x:c>
      <x:c r="K63" s="16" t="n">
        <x:v>1.2</x:v>
      </x:c>
      <x:c r="L63" s="14" t="str">
        <x:v>$1–5</x:v>
      </x:c>
      <x:c r="M63" s="14" t="str">
        <x:v>Yes</x:v>
      </x:c>
      <x:c r="N63" s="14" t="str">
        <x:v>No</x:v>
      </x:c>
      <x:c r="O63" s="14" t="str">
        <x:v>Yes</x:v>
      </x:c>
      <x:c r="P63" s="14" t="str">
        <x:v>Clean/NM benchmark unless noted</x:v>
      </x:c>
      <x:c r="Q63" s="16" t="n">
        <x:v>1.2</x:v>
      </x:c>
      <x:c r="R63" s="16" t="n">
        <x:v>1.2</x:v>
      </x:c>
      <x:c r="S63" s="16" t="n">
        <x:v>1.2</x:v>
      </x:c>
      <x:c r="T63" s="14"/>
      <x:c r="U63" s="18" t="n">
        <x:v>442</x:v>
      </x:c>
      <x:c r="V63" s="14" t="str">
        <x:v>Uploaded Pokémon chat JSON / prior card-by-card research</x:v>
      </x:c>
      <x:c r="W63" s="14"/>
    </x:row>
    <x:row r="64">
      <x:c r="A64" s="18" t="n">
        <x:v>90</x:v>
      </x:c>
      <x:c r="B64" s="14" t="str">
        <x:v>Trainer/Item/Stadium</x:v>
      </x:c>
      <x:c r="C64" s="14" t="str">
        <x:v>Aspertia City Gym</x:v>
      </x:c>
      <x:c r="D64" s="14" t="str">
        <x:v>127/149</x:v>
      </x:c>
      <x:c r="E64" s="14" t="str">
        <x:v>Boundaries Crossed</x:v>
      </x:c>
      <x:c r="F64" s="18" t="n">
        <x:v>2012</x:v>
      </x:c>
      <x:c r="G64" s="14" t="str">
        <x:v>Reverse Holo</x:v>
      </x:c>
      <x:c r="H64" s="14" t="str">
        <x:v>2 of 2</x:v>
      </x:c>
      <x:c r="I64" s="16" t="n">
        <x:v>1.2</x:v>
      </x:c>
      <x:c r="J64" s="16" t="n">
        <x:v>1.2</x:v>
      </x:c>
      <x:c r="K64" s="16" t="n">
        <x:v>1.2</x:v>
      </x:c>
      <x:c r="L64" s="14" t="str">
        <x:v>$1–5</x:v>
      </x:c>
      <x:c r="M64" s="14" t="str">
        <x:v>Yes</x:v>
      </x:c>
      <x:c r="N64" s="14" t="str">
        <x:v>No</x:v>
      </x:c>
      <x:c r="O64" s="14" t="str">
        <x:v>Yes</x:v>
      </x:c>
      <x:c r="P64" s="14" t="str">
        <x:v>Clean/NM benchmark unless noted</x:v>
      </x:c>
      <x:c r="Q64" s="16" t="n">
        <x:v>1.2</x:v>
      </x:c>
      <x:c r="R64" s="16" t="n">
        <x:v>1.2</x:v>
      </x:c>
      <x:c r="S64" s="16" t="n">
        <x:v>1.2</x:v>
      </x:c>
      <x:c r="T64" s="14"/>
      <x:c r="U64" s="18" t="n">
        <x:v>442</x:v>
      </x:c>
      <x:c r="V64" s="14" t="str">
        <x:v>Uploaded Pokémon chat JSON / prior card-by-card research</x:v>
      </x:c>
      <x:c r="W64" s="14"/>
    </x:row>
    <x:row r="65">
      <x:c r="A65" s="18" t="n">
        <x:v>96</x:v>
      </x:c>
      <x:c r="B65" s="14" t="str">
        <x:v>Trainer/Item/Stadium</x:v>
      </x:c>
      <x:c r="C65" s="14" t="str">
        <x:v>Steven’s Advice</x:v>
      </x:c>
      <x:c r="D65" s="14" t="str">
        <x:v>92/101</x:v>
      </x:c>
      <x:c r="E65" s="14" t="str">
        <x:v>2004 World Championships</x:v>
      </x:c>
      <x:c r="F65" s="18" t="n">
        <x:v>2004</x:v>
      </x:c>
      <x:c r="G65" s="14" t="str">
        <x:v>Chris Fulop gray-border</x:v>
      </x:c>
      <x:c r="H65" s="14" t="str">
        <x:v>1 of 3</x:v>
      </x:c>
      <x:c r="I65" s="16" t="n">
        <x:v>5.25</x:v>
      </x:c>
      <x:c r="J65" s="16" t="n">
        <x:v>5.5</x:v>
      </x:c>
      <x:c r="K65" s="16" t="n">
        <x:v>5.375</x:v>
      </x:c>
      <x:c r="L65" s="14" t="str">
        <x:v>$5–20</x:v>
      </x:c>
      <x:c r="M65" s="14" t="str">
        <x:v>Yes</x:v>
      </x:c>
      <x:c r="N65" s="14" t="str">
        <x:v>No</x:v>
      </x:c>
      <x:c r="O65" s="14" t="str">
        <x:v>Yes</x:v>
      </x:c>
      <x:c r="P65" s="14" t="str">
        <x:v>Clean/NM benchmark unless noted</x:v>
      </x:c>
      <x:c r="Q65" s="16" t="n">
        <x:v>5.25</x:v>
      </x:c>
      <x:c r="R65" s="16" t="n">
        <x:v>5.5</x:v>
      </x:c>
      <x:c r="S65" s="16" t="n">
        <x:v>5.375</x:v>
      </x:c>
      <x:c r="T65" s="14"/>
      <x:c r="U65" s="18" t="n">
        <x:v>454</x:v>
      </x:c>
      <x:c r="V65" s="14" t="str">
        <x:v>Uploaded Pokémon chat JSON / prior card-by-card research</x:v>
      </x:c>
      <x:c r="W65" s="14"/>
    </x:row>
    <x:row r="66">
      <x:c r="A66" s="18" t="n">
        <x:v>97</x:v>
      </x:c>
      <x:c r="B66" s="14" t="str">
        <x:v>Trainer/Item/Stadium</x:v>
      </x:c>
      <x:c r="C66" s="14" t="str">
        <x:v>Steven’s Advice</x:v>
      </x:c>
      <x:c r="D66" s="14" t="str">
        <x:v>92/101</x:v>
      </x:c>
      <x:c r="E66" s="14" t="str">
        <x:v>2004 World Championships</x:v>
      </x:c>
      <x:c r="F66" s="18" t="n">
        <x:v>2004</x:v>
      </x:c>
      <x:c r="G66" s="14" t="str">
        <x:v>Chris Fulop gray-border</x:v>
      </x:c>
      <x:c r="H66" s="14" t="str">
        <x:v>2 of 3</x:v>
      </x:c>
      <x:c r="I66" s="16" t="n">
        <x:v>5.25</x:v>
      </x:c>
      <x:c r="J66" s="16" t="n">
        <x:v>5.5</x:v>
      </x:c>
      <x:c r="K66" s="16" t="n">
        <x:v>5.375</x:v>
      </x:c>
      <x:c r="L66" s="14" t="str">
        <x:v>$5–20</x:v>
      </x:c>
      <x:c r="M66" s="14" t="str">
        <x:v>Yes</x:v>
      </x:c>
      <x:c r="N66" s="14" t="str">
        <x:v>No</x:v>
      </x:c>
      <x:c r="O66" s="14" t="str">
        <x:v>Yes</x:v>
      </x:c>
      <x:c r="P66" s="14" t="str">
        <x:v>Clean/NM benchmark unless noted</x:v>
      </x:c>
      <x:c r="Q66" s="16" t="n">
        <x:v>5.25</x:v>
      </x:c>
      <x:c r="R66" s="16" t="n">
        <x:v>5.5</x:v>
      </x:c>
      <x:c r="S66" s="16" t="n">
        <x:v>5.375</x:v>
      </x:c>
      <x:c r="T66" s="14"/>
      <x:c r="U66" s="18" t="n">
        <x:v>454</x:v>
      </x:c>
      <x:c r="V66" s="14" t="str">
        <x:v>Uploaded Pokémon chat JSON / prior card-by-card research</x:v>
      </x:c>
      <x:c r="W66" s="14"/>
    </x:row>
    <x:row r="67">
      <x:c r="A67" s="18" t="n">
        <x:v>98</x:v>
      </x:c>
      <x:c r="B67" s="14" t="str">
        <x:v>Trainer/Item/Stadium</x:v>
      </x:c>
      <x:c r="C67" s="14" t="str">
        <x:v>Steven’s Advice</x:v>
      </x:c>
      <x:c r="D67" s="14" t="str">
        <x:v>92/101</x:v>
      </x:c>
      <x:c r="E67" s="14" t="str">
        <x:v>2004 World Championships</x:v>
      </x:c>
      <x:c r="F67" s="18" t="n">
        <x:v>2004</x:v>
      </x:c>
      <x:c r="G67" s="14" t="str">
        <x:v>Chris Fulop gray-border</x:v>
      </x:c>
      <x:c r="H67" s="14" t="str">
        <x:v>3 of 3</x:v>
      </x:c>
      <x:c r="I67" s="16" t="n">
        <x:v>5.25</x:v>
      </x:c>
      <x:c r="J67" s="16" t="n">
        <x:v>5.5</x:v>
      </x:c>
      <x:c r="K67" s="16" t="n">
        <x:v>5.375</x:v>
      </x:c>
      <x:c r="L67" s="14" t="str">
        <x:v>$5–20</x:v>
      </x:c>
      <x:c r="M67" s="14" t="str">
        <x:v>Yes</x:v>
      </x:c>
      <x:c r="N67" s="14" t="str">
        <x:v>No</x:v>
      </x:c>
      <x:c r="O67" s="14" t="str">
        <x:v>Yes</x:v>
      </x:c>
      <x:c r="P67" s="14" t="str">
        <x:v>Clean/NM benchmark unless noted</x:v>
      </x:c>
      <x:c r="Q67" s="16" t="n">
        <x:v>5.25</x:v>
      </x:c>
      <x:c r="R67" s="16" t="n">
        <x:v>5.5</x:v>
      </x:c>
      <x:c r="S67" s="16" t="n">
        <x:v>5.375</x:v>
      </x:c>
      <x:c r="T67" s="14"/>
      <x:c r="U67" s="18" t="n">
        <x:v>454</x:v>
      </x:c>
      <x:c r="V67" s="14" t="str">
        <x:v>Uploaded Pokémon chat JSON / prior card-by-card research</x:v>
      </x:c>
      <x:c r="W67" s="14"/>
    </x:row>
    <x:row r="68">
      <x:c r="A68" s="18" t="n">
        <x:v>99</x:v>
      </x:c>
      <x:c r="B68" s="14" t="str">
        <x:v>Trainer/Item/Stadium</x:v>
      </x:c>
      <x:c r="C68" s="14" t="str">
        <x:v>Steven’s Advice</x:v>
      </x:c>
      <x:c r="D68" s="14" t="str">
        <x:v>92/101</x:v>
      </x:c>
      <x:c r="E68" s="14" t="str">
        <x:v>2006 World Championships</x:v>
      </x:c>
      <x:c r="F68" s="18" t="n">
        <x:v>2006</x:v>
      </x:c>
      <x:c r="G68" s="14" t="str">
        <x:v>Miska Saari gray-border</x:v>
      </x:c>
      <x:c r="H68" s="14" t="str">
        <x:v>1 of 1</x:v>
      </x:c>
      <x:c r="I68" s="16" t="n">
        <x:v>1</x:v>
      </x:c>
      <x:c r="J68" s="16" t="n">
        <x:v>1</x:v>
      </x:c>
      <x:c r="K68" s="16" t="n">
        <x:v>1</x:v>
      </x:c>
      <x:c r="L68" s="14" t="str">
        <x:v>$1–5</x:v>
      </x:c>
      <x:c r="M68" s="14" t="str">
        <x:v>Yes</x:v>
      </x:c>
      <x:c r="N68" s="14" t="str">
        <x:v>No</x:v>
      </x:c>
      <x:c r="O68" s="14" t="str">
        <x:v>Yes</x:v>
      </x:c>
      <x:c r="P68" s="14" t="str">
        <x:v>Clean/NM benchmark unless noted</x:v>
      </x:c>
      <x:c r="Q68" s="16" t="n">
        <x:v>1</x:v>
      </x:c>
      <x:c r="R68" s="16" t="n">
        <x:v>1</x:v>
      </x:c>
      <x:c r="S68" s="16" t="n">
        <x:v>1</x:v>
      </x:c>
      <x:c r="T68" s="14"/>
      <x:c r="U68" s="18" t="n">
        <x:v>454</x:v>
      </x:c>
      <x:c r="V68" s="14" t="str">
        <x:v>Uploaded Pokémon chat JSON / prior card-by-card research</x:v>
      </x:c>
      <x:c r="W68" s="14"/>
    </x:row>
    <x:row r="69">
      <x:c r="A69" s="18" t="n">
        <x:v>101</x:v>
      </x:c>
      <x:c r="B69" s="14" t="str">
        <x:v>Trainer/Item/Stadium</x:v>
      </x:c>
      <x:c r="C69" s="14" t="str">
        <x:v>Seeker</x:v>
      </x:c>
      <x:c r="D69" s="14" t="str">
        <x:v>88/102</x:v>
      </x:c>
      <x:c r="E69" s="14" t="str">
        <x:v>2011 World Championships</x:v>
      </x:c>
      <x:c r="F69" s="18" t="n">
        <x:v>2011</x:v>
      </x:c>
      <x:c r="G69" s="14" t="str">
        <x:v>Ross Cawthon gray-border</x:v>
      </x:c>
      <x:c r="H69" s="14" t="str">
        <x:v>1 of 2</x:v>
      </x:c>
      <x:c r="I69" s="16" t="n">
        <x:v>4.4</x:v>
      </x:c>
      <x:c r="J69" s="16" t="n">
        <x:v>4.43</x:v>
      </x:c>
      <x:c r="K69" s="16" t="n">
        <x:v>4.415</x:v>
      </x:c>
      <x:c r="L69" s="14" t="str">
        <x:v>$1–5</x:v>
      </x:c>
      <x:c r="M69" s="14" t="str">
        <x:v>Yes</x:v>
      </x:c>
      <x:c r="N69" s="14" t="str">
        <x:v>No</x:v>
      </x:c>
      <x:c r="O69" s="14" t="str">
        <x:v>Yes</x:v>
      </x:c>
      <x:c r="P69" s="14" t="str">
        <x:v>Clean/NM benchmark unless noted</x:v>
      </x:c>
      <x:c r="Q69" s="16" t="n">
        <x:v>4.4</x:v>
      </x:c>
      <x:c r="R69" s="16" t="n">
        <x:v>4.43</x:v>
      </x:c>
      <x:c r="S69" s="16" t="n">
        <x:v>4.415</x:v>
      </x:c>
      <x:c r="T69" s="14"/>
      <x:c r="U69" s="18" t="n">
        <x:v>466</x:v>
      </x:c>
      <x:c r="V69" s="14" t="str">
        <x:v>Uploaded Pokémon chat JSON / prior card-by-card research</x:v>
      </x:c>
      <x:c r="W69" s="14"/>
    </x:row>
    <x:row r="70">
      <x:c r="A70" s="18" t="n">
        <x:v>102</x:v>
      </x:c>
      <x:c r="B70" s="14" t="str">
        <x:v>Trainer/Item/Stadium</x:v>
      </x:c>
      <x:c r="C70" s="14" t="str">
        <x:v>Seeker</x:v>
      </x:c>
      <x:c r="D70" s="14" t="str">
        <x:v>88/102</x:v>
      </x:c>
      <x:c r="E70" s="14" t="str">
        <x:v>2011 World Championships</x:v>
      </x:c>
      <x:c r="F70" s="18" t="n">
        <x:v>2011</x:v>
      </x:c>
      <x:c r="G70" s="14" t="str">
        <x:v>Ross Cawthon gray-border</x:v>
      </x:c>
      <x:c r="H70" s="14" t="str">
        <x:v>2 of 2</x:v>
      </x:c>
      <x:c r="I70" s="16" t="n">
        <x:v>4.4</x:v>
      </x:c>
      <x:c r="J70" s="16" t="n">
        <x:v>4.43</x:v>
      </x:c>
      <x:c r="K70" s="16" t="n">
        <x:v>4.415</x:v>
      </x:c>
      <x:c r="L70" s="14" t="str">
        <x:v>$1–5</x:v>
      </x:c>
      <x:c r="M70" s="14" t="str">
        <x:v>Yes</x:v>
      </x:c>
      <x:c r="N70" s="14" t="str">
        <x:v>No</x:v>
      </x:c>
      <x:c r="O70" s="14" t="str">
        <x:v>Yes</x:v>
      </x:c>
      <x:c r="P70" s="14" t="str">
        <x:v>Clean/NM benchmark unless noted</x:v>
      </x:c>
      <x:c r="Q70" s="16" t="n">
        <x:v>4.4</x:v>
      </x:c>
      <x:c r="R70" s="16" t="n">
        <x:v>4.43</x:v>
      </x:c>
      <x:c r="S70" s="16" t="n">
        <x:v>4.415</x:v>
      </x:c>
      <x:c r="T70" s="14"/>
      <x:c r="U70" s="18" t="n">
        <x:v>466</x:v>
      </x:c>
      <x:c r="V70" s="14" t="str">
        <x:v>Uploaded Pokémon chat JSON / prior card-by-card research</x:v>
      </x:c>
      <x:c r="W70" s="14"/>
    </x:row>
    <x:row r="71">
      <x:c r="A71" s="18" t="n">
        <x:v>115</x:v>
      </x:c>
      <x:c r="B71" s="14" t="str">
        <x:v>Trainer/Item/Stadium</x:v>
      </x:c>
      <x:c r="C71" s="14" t="str">
        <x:v>Professor Juniper</x:v>
      </x:c>
      <x:c r="D71" s="14" t="str">
        <x:v>101/114</x:v>
      </x:c>
      <x:c r="E71" s="14" t="str">
        <x:v>Black &amp; White</x:v>
      </x:c>
      <x:c r="F71" s="18" t="n">
        <x:v>2011</x:v>
      </x:c>
      <x:c r="G71" s="14" t="str">
        <x:v>Reverse Holo</x:v>
      </x:c>
      <x:c r="H71" s="14" t="str">
        <x:v>1 of 1</x:v>
      </x:c>
      <x:c r="I71" s="16" t="n">
        <x:v>1.1</x:v>
      </x:c>
      <x:c r="J71" s="16" t="n">
        <x:v>1.5</x:v>
      </x:c>
      <x:c r="K71" s="16" t="n">
        <x:v>1.3</x:v>
      </x:c>
      <x:c r="L71" s="14" t="str">
        <x:v>$1–5</x:v>
      </x:c>
      <x:c r="M71" s="14" t="str">
        <x:v>Yes</x:v>
      </x:c>
      <x:c r="N71" s="14" t="str">
        <x:v>No</x:v>
      </x:c>
      <x:c r="O71" s="14" t="str">
        <x:v>Yes</x:v>
      </x:c>
      <x:c r="P71" s="14" t="str">
        <x:v>Clean/NM benchmark unless noted</x:v>
      </x:c>
      <x:c r="Q71" s="16" t="n">
        <x:v>1.1</x:v>
      </x:c>
      <x:c r="R71" s="16" t="n">
        <x:v>1.5</x:v>
      </x:c>
      <x:c r="S71" s="16" t="n">
        <x:v>1.3</x:v>
      </x:c>
      <x:c r="T71" s="14"/>
      <x:c r="U71" s="18" t="n">
        <x:v>493</x:v>
      </x:c>
      <x:c r="V71" s="14" t="str">
        <x:v>Uploaded Pokémon chat JSON / prior card-by-card research</x:v>
      </x:c>
      <x:c r="W71" s="14"/>
    </x:row>
    <x:row r="72">
      <x:c r="A72" s="18" t="n">
        <x:v>116</x:v>
      </x:c>
      <x:c r="B72" s="14" t="str">
        <x:v>Trainer/Item/Stadium</x:v>
      </x:c>
      <x:c r="C72" s="14" t="str">
        <x:v>Professor Juniper</x:v>
      </x:c>
      <x:c r="D72" s="14" t="str">
        <x:v>98/108</x:v>
      </x:c>
      <x:c r="E72" s="14" t="str">
        <x:v>Dark Explorers</x:v>
      </x:c>
      <x:c r="F72" s="18" t="n">
        <x:v>2012</x:v>
      </x:c>
      <x:c r="G72" s="14" t="str">
        <x:v>Reverse Holo</x:v>
      </x:c>
      <x:c r="H72" s="14" t="str">
        <x:v>1 of 1</x:v>
      </x:c>
      <x:c r="I72" s="16" t="n">
        <x:v>1.5</x:v>
      </x:c>
      <x:c r="J72" s="16" t="n">
        <x:v>2</x:v>
      </x:c>
      <x:c r="K72" s="16" t="n">
        <x:v>1.75</x:v>
      </x:c>
      <x:c r="L72" s="14" t="str">
        <x:v>$1–5</x:v>
      </x:c>
      <x:c r="M72" s="14" t="str">
        <x:v>Yes</x:v>
      </x:c>
      <x:c r="N72" s="14" t="str">
        <x:v>No</x:v>
      </x:c>
      <x:c r="O72" s="14" t="str">
        <x:v>Yes</x:v>
      </x:c>
      <x:c r="P72" s="14" t="str">
        <x:v>Clean/NM benchmark unless noted</x:v>
      </x:c>
      <x:c r="Q72" s="16" t="n">
        <x:v>1.5</x:v>
      </x:c>
      <x:c r="R72" s="16" t="n">
        <x:v>2</x:v>
      </x:c>
      <x:c r="S72" s="16" t="n">
        <x:v>1.75</x:v>
      </x:c>
      <x:c r="T72" s="14"/>
      <x:c r="U72" s="18" t="n">
        <x:v>493</x:v>
      </x:c>
      <x:c r="V72" s="14" t="str">
        <x:v>Uploaded Pokémon chat JSON / prior card-by-card research</x:v>
      </x:c>
      <x:c r="W72" s="14"/>
    </x:row>
    <x:row r="73">
      <x:c r="A73" s="18" t="n">
        <x:v>117</x:v>
      </x:c>
      <x:c r="B73" s="14" t="str">
        <x:v>Trainer/Item/Stadium</x:v>
      </x:c>
      <x:c r="C73" s="14" t="str">
        <x:v>Professor Elm’s Training Method</x:v>
      </x:c>
      <x:c r="D73" s="14" t="str">
        <x:v>148/165</x:v>
      </x:c>
      <x:c r="E73" s="14" t="str">
        <x:v>2004 World Championships</x:v>
      </x:c>
      <x:c r="F73" s="18" t="n">
        <x:v>2004</x:v>
      </x:c>
      <x:c r="G73" s="14" t="str">
        <x:v>Chris Fulop gray-border</x:v>
      </x:c>
      <x:c r="H73" s="14" t="str">
        <x:v>1 of 1</x:v>
      </x:c>
      <x:c r="I73" s="16" t="n">
        <x:v>1.7</x:v>
      </x:c>
      <x:c r="J73" s="16" t="n">
        <x:v>3.35</x:v>
      </x:c>
      <x:c r="K73" s="16" t="n">
        <x:v>2.525</x:v>
      </x:c>
      <x:c r="L73" s="14" t="str">
        <x:v>$1–5</x:v>
      </x:c>
      <x:c r="M73" s="14" t="str">
        <x:v>Yes</x:v>
      </x:c>
      <x:c r="N73" s="14" t="str">
        <x:v>No</x:v>
      </x:c>
      <x:c r="O73" s="14" t="str">
        <x:v>Yes</x:v>
      </x:c>
      <x:c r="P73" s="14" t="str">
        <x:v>Clean/NM benchmark unless noted</x:v>
      </x:c>
      <x:c r="Q73" s="16" t="n">
        <x:v>1.7</x:v>
      </x:c>
      <x:c r="R73" s="16" t="n">
        <x:v>3.35</x:v>
      </x:c>
      <x:c r="S73" s="16" t="n">
        <x:v>2.525</x:v>
      </x:c>
      <x:c r="T73" s="14"/>
      <x:c r="U73" s="18" t="n">
        <x:v>499</x:v>
      </x:c>
      <x:c r="V73" s="14" t="str">
        <x:v>Uploaded Pokémon chat JSON / prior card-by-card research</x:v>
      </x:c>
      <x:c r="W73" s="14"/>
    </x:row>
    <x:row r="74">
      <x:c r="A74" s="18" t="n">
        <x:v>118</x:v>
      </x:c>
      <x:c r="B74" s="14" t="str">
        <x:v>Trainer/Item/Stadium</x:v>
      </x:c>
      <x:c r="C74" s="14" t="str">
        <x:v>Pokémon Nurse</x:v>
      </x:c>
      <x:c r="D74" s="14" t="str">
        <x:v>145/165</x:v>
      </x:c>
      <x:c r="E74" s="14" t="str">
        <x:v>2004 World Championships</x:v>
      </x:c>
      <x:c r="F74" s="18" t="n">
        <x:v>2004</x:v>
      </x:c>
      <x:c r="G74" s="14" t="str">
        <x:v>Chris Fulop gray-border</x:v>
      </x:c>
      <x:c r="H74" s="14" t="str">
        <x:v>1 of 1</x:v>
      </x:c>
      <x:c r="I74" s="16" t="n">
        <x:v>11.33</x:v>
      </x:c>
      <x:c r="J74" s="16" t="n">
        <x:v>11.33</x:v>
      </x:c>
      <x:c r="K74" s="16" t="n">
        <x:v>11.33</x:v>
      </x:c>
      <x:c r="L74" s="14" t="str">
        <x:v>$5–20</x:v>
      </x:c>
      <x:c r="M74" s="14" t="str">
        <x:v>Yes</x:v>
      </x:c>
      <x:c r="N74" s="14" t="str">
        <x:v>Yes</x:v>
      </x:c>
      <x:c r="O74" s="14" t="str">
        <x:v>Yes</x:v>
      </x:c>
      <x:c r="P74" s="14" t="str">
        <x:v>Clean/NM benchmark unless noted</x:v>
      </x:c>
      <x:c r="Q74" s="16" t="n">
        <x:v>11.33</x:v>
      </x:c>
      <x:c r="R74" s="16" t="n">
        <x:v>11.33</x:v>
      </x:c>
      <x:c r="S74" s="16" t="n">
        <x:v>11.33</x:v>
      </x:c>
      <x:c r="T74" s="14"/>
      <x:c r="U74" s="18" t="n">
        <x:v>499</x:v>
      </x:c>
      <x:c r="V74" s="14" t="str">
        <x:v>Uploaded Pokémon chat JSON / prior card-by-card research</x:v>
      </x:c>
      <x:c r="W74" s="14"/>
    </x:row>
    <x:row r="75">
      <x:c r="A75" s="18" t="n">
        <x:v>119</x:v>
      </x:c>
      <x:c r="B75" s="14" t="str">
        <x:v>Trainer/Item/Stadium</x:v>
      </x:c>
      <x:c r="C75" s="14" t="str">
        <x:v>Pokémon Collector</x:v>
      </x:c>
      <x:c r="D75" s="14" t="str">
        <x:v>97/123</x:v>
      </x:c>
      <x:c r="E75" s="14" t="str">
        <x:v>2011 World Championships</x:v>
      </x:c>
      <x:c r="F75" s="18" t="n">
        <x:v>2011</x:v>
      </x:c>
      <x:c r="G75" s="14" t="str">
        <x:v>Ross Cawthon gray-border</x:v>
      </x:c>
      <x:c r="H75" s="14" t="str">
        <x:v>1 of 3</x:v>
      </x:c>
      <x:c r="I75" s="16" t="n">
        <x:v>2</x:v>
      </x:c>
      <x:c r="J75" s="16" t="n">
        <x:v>2.07</x:v>
      </x:c>
      <x:c r="K75" s="16" t="n">
        <x:v>2.035</x:v>
      </x:c>
      <x:c r="L75" s="14" t="str">
        <x:v>$1–5</x:v>
      </x:c>
      <x:c r="M75" s="14" t="str">
        <x:v>Yes</x:v>
      </x:c>
      <x:c r="N75" s="14" t="str">
        <x:v>No</x:v>
      </x:c>
      <x:c r="O75" s="14" t="str">
        <x:v>Yes</x:v>
      </x:c>
      <x:c r="P75" s="14" t="str">
        <x:v>Clean/NM benchmark unless noted</x:v>
      </x:c>
      <x:c r="Q75" s="16" t="n">
        <x:v>2</x:v>
      </x:c>
      <x:c r="R75" s="16" t="n">
        <x:v>2.07</x:v>
      </x:c>
      <x:c r="S75" s="16" t="n">
        <x:v>2.035</x:v>
      </x:c>
      <x:c r="T75" s="14"/>
      <x:c r="U75" s="18" t="n">
        <x:v>505</x:v>
      </x:c>
      <x:c r="V75" s="14" t="str">
        <x:v>Uploaded Pokémon chat JSON / prior card-by-card research</x:v>
      </x:c>
      <x:c r="W75" s="14"/>
    </x:row>
    <x:row r="76">
      <x:c r="A76" s="18" t="n">
        <x:v>120</x:v>
      </x:c>
      <x:c r="B76" s="14" t="str">
        <x:v>Trainer/Item/Stadium</x:v>
      </x:c>
      <x:c r="C76" s="14" t="str">
        <x:v>Pokémon Collector</x:v>
      </x:c>
      <x:c r="D76" s="14" t="str">
        <x:v>97/123</x:v>
      </x:c>
      <x:c r="E76" s="14" t="str">
        <x:v>2011 World Championships</x:v>
      </x:c>
      <x:c r="F76" s="18" t="n">
        <x:v>2011</x:v>
      </x:c>
      <x:c r="G76" s="14" t="str">
        <x:v>Ross Cawthon gray-border</x:v>
      </x:c>
      <x:c r="H76" s="14" t="str">
        <x:v>2 of 3</x:v>
      </x:c>
      <x:c r="I76" s="16" t="n">
        <x:v>2</x:v>
      </x:c>
      <x:c r="J76" s="16" t="n">
        <x:v>2.07</x:v>
      </x:c>
      <x:c r="K76" s="16" t="n">
        <x:v>2.035</x:v>
      </x:c>
      <x:c r="L76" s="14" t="str">
        <x:v>$1–5</x:v>
      </x:c>
      <x:c r="M76" s="14" t="str">
        <x:v>Yes</x:v>
      </x:c>
      <x:c r="N76" s="14" t="str">
        <x:v>No</x:v>
      </x:c>
      <x:c r="O76" s="14" t="str">
        <x:v>Yes</x:v>
      </x:c>
      <x:c r="P76" s="14" t="str">
        <x:v>Clean/NM benchmark unless noted</x:v>
      </x:c>
      <x:c r="Q76" s="16" t="n">
        <x:v>2</x:v>
      </x:c>
      <x:c r="R76" s="16" t="n">
        <x:v>2.07</x:v>
      </x:c>
      <x:c r="S76" s="16" t="n">
        <x:v>2.035</x:v>
      </x:c>
      <x:c r="T76" s="14"/>
      <x:c r="U76" s="18" t="n">
        <x:v>505</x:v>
      </x:c>
      <x:c r="V76" s="14" t="str">
        <x:v>Uploaded Pokémon chat JSON / prior card-by-card research</x:v>
      </x:c>
      <x:c r="W76" s="14"/>
    </x:row>
    <x:row r="77">
      <x:c r="A77" s="18" t="n">
        <x:v>121</x:v>
      </x:c>
      <x:c r="B77" s="14" t="str">
        <x:v>Trainer/Item/Stadium</x:v>
      </x:c>
      <x:c r="C77" s="14" t="str">
        <x:v>Pokémon Collector</x:v>
      </x:c>
      <x:c r="D77" s="14" t="str">
        <x:v>97/123</x:v>
      </x:c>
      <x:c r="E77" s="14" t="str">
        <x:v>2011 World Championships</x:v>
      </x:c>
      <x:c r="F77" s="18" t="n">
        <x:v>2011</x:v>
      </x:c>
      <x:c r="G77" s="14" t="str">
        <x:v>Ross Cawthon gray-border</x:v>
      </x:c>
      <x:c r="H77" s="14" t="str">
        <x:v>3 of 3</x:v>
      </x:c>
      <x:c r="I77" s="16" t="n">
        <x:v>2</x:v>
      </x:c>
      <x:c r="J77" s="16" t="n">
        <x:v>2.07</x:v>
      </x:c>
      <x:c r="K77" s="16" t="n">
        <x:v>2.035</x:v>
      </x:c>
      <x:c r="L77" s="14" t="str">
        <x:v>$1–5</x:v>
      </x:c>
      <x:c r="M77" s="14" t="str">
        <x:v>Yes</x:v>
      </x:c>
      <x:c r="N77" s="14" t="str">
        <x:v>No</x:v>
      </x:c>
      <x:c r="O77" s="14" t="str">
        <x:v>Yes</x:v>
      </x:c>
      <x:c r="P77" s="14" t="str">
        <x:v>Clean/NM benchmark unless noted</x:v>
      </x:c>
      <x:c r="Q77" s="16" t="n">
        <x:v>2</x:v>
      </x:c>
      <x:c r="R77" s="16" t="n">
        <x:v>2.07</x:v>
      </x:c>
      <x:c r="S77" s="16" t="n">
        <x:v>2.035</x:v>
      </x:c>
      <x:c r="T77" s="14"/>
      <x:c r="U77" s="18" t="n">
        <x:v>505</x:v>
      </x:c>
      <x:c r="V77" s="14" t="str">
        <x:v>Uploaded Pokémon chat JSON / prior card-by-card research</x:v>
      </x:c>
      <x:c r="W77" s="14"/>
    </x:row>
    <x:row r="78">
      <x:c r="A78" s="18" t="n">
        <x:v>122</x:v>
      </x:c>
      <x:c r="B78" s="14" t="str">
        <x:v>Trainer/Item/Stadium</x:v>
      </x:c>
      <x:c r="C78" s="14" t="str">
        <x:v>Oracle</x:v>
      </x:c>
      <x:c r="D78" s="14" t="str">
        <x:v>138/144</x:v>
      </x:c>
      <x:c r="E78" s="14" t="str">
        <x:v>2004 World Championships</x:v>
      </x:c>
      <x:c r="F78" s="18" t="n">
        <x:v>2004</x:v>
      </x:c>
      <x:c r="G78" s="14" t="str">
        <x:v>Chris Fulop gray-border</x:v>
      </x:c>
      <x:c r="H78" s="14" t="str">
        <x:v>1 of 2</x:v>
      </x:c>
      <x:c r="I78" s="16" t="n">
        <x:v>2.5</x:v>
      </x:c>
      <x:c r="J78" s="16" t="n">
        <x:v>3</x:v>
      </x:c>
      <x:c r="K78" s="16" t="n">
        <x:v>2.75</x:v>
      </x:c>
      <x:c r="L78" s="14" t="str">
        <x:v>$1–5</x:v>
      </x:c>
      <x:c r="M78" s="14" t="str">
        <x:v>Yes</x:v>
      </x:c>
      <x:c r="N78" s="14" t="str">
        <x:v>No</x:v>
      </x:c>
      <x:c r="O78" s="14" t="str">
        <x:v>Yes</x:v>
      </x:c>
      <x:c r="P78" s="14" t="str">
        <x:v>Clean/NM benchmark unless noted</x:v>
      </x:c>
      <x:c r="Q78" s="16" t="n">
        <x:v>2.5</x:v>
      </x:c>
      <x:c r="R78" s="16" t="n">
        <x:v>3</x:v>
      </x:c>
      <x:c r="S78" s="16" t="n">
        <x:v>2.75</x:v>
      </x:c>
      <x:c r="T78" s="14"/>
      <x:c r="U78" s="18" t="n">
        <x:v>511</x:v>
      </x:c>
      <x:c r="V78" s="14" t="str">
        <x:v>Uploaded Pokémon chat JSON / prior card-by-card research</x:v>
      </x:c>
      <x:c r="W78" s="14"/>
    </x:row>
    <x:row r="79">
      <x:c r="A79" s="18" t="n">
        <x:v>123</x:v>
      </x:c>
      <x:c r="B79" s="14" t="str">
        <x:v>Trainer/Item/Stadium</x:v>
      </x:c>
      <x:c r="C79" s="14" t="str">
        <x:v>Oracle</x:v>
      </x:c>
      <x:c r="D79" s="14" t="str">
        <x:v>138/144</x:v>
      </x:c>
      <x:c r="E79" s="14" t="str">
        <x:v>2004 World Championships</x:v>
      </x:c>
      <x:c r="F79" s="18" t="n">
        <x:v>2004</x:v>
      </x:c>
      <x:c r="G79" s="14" t="str">
        <x:v>Chris Fulop gray-border</x:v>
      </x:c>
      <x:c r="H79" s="14" t="str">
        <x:v>2 of 2</x:v>
      </x:c>
      <x:c r="I79" s="16" t="n">
        <x:v>2.5</x:v>
      </x:c>
      <x:c r="J79" s="16" t="n">
        <x:v>3</x:v>
      </x:c>
      <x:c r="K79" s="16" t="n">
        <x:v>2.75</x:v>
      </x:c>
      <x:c r="L79" s="14" t="str">
        <x:v>$1–5</x:v>
      </x:c>
      <x:c r="M79" s="14" t="str">
        <x:v>Yes</x:v>
      </x:c>
      <x:c r="N79" s="14" t="str">
        <x:v>No</x:v>
      </x:c>
      <x:c r="O79" s="14" t="str">
        <x:v>Yes</x:v>
      </x:c>
      <x:c r="P79" s="14" t="str">
        <x:v>Clean/NM benchmark unless noted</x:v>
      </x:c>
      <x:c r="Q79" s="16" t="n">
        <x:v>2.5</x:v>
      </x:c>
      <x:c r="R79" s="16" t="n">
        <x:v>3</x:v>
      </x:c>
      <x:c r="S79" s="16" t="n">
        <x:v>2.75</x:v>
      </x:c>
      <x:c r="T79" s="14"/>
      <x:c r="U79" s="18" t="n">
        <x:v>511</x:v>
      </x:c>
      <x:c r="V79" s="14" t="str">
        <x:v>Uploaded Pokémon chat JSON / prior card-by-card research</x:v>
      </x:c>
      <x:c r="W79" s="14"/>
    </x:row>
    <x:row r="80">
      <x:c r="A80" s="18" t="n">
        <x:v>124</x:v>
      </x:c>
      <x:c r="B80" s="14" t="str">
        <x:v>Trainer/Item/Stadium</x:v>
      </x:c>
      <x:c r="C80" s="14" t="str">
        <x:v>Hugh</x:v>
      </x:c>
      <x:c r="D80" s="14" t="str">
        <x:v>130/149</x:v>
      </x:c>
      <x:c r="E80" s="14" t="str">
        <x:v>Boundaries Crossed</x:v>
      </x:c>
      <x:c r="F80" s="18" t="n">
        <x:v>2012</x:v>
      </x:c>
      <x:c r="G80" s="14" t="str">
        <x:v>Reverse Holo</x:v>
      </x:c>
      <x:c r="H80" s="14" t="str">
        <x:v>1 of 1</x:v>
      </x:c>
      <x:c r="I80" s="16" t="n">
        <x:v>2.5</x:v>
      </x:c>
      <x:c r="J80" s="16" t="n">
        <x:v>3</x:v>
      </x:c>
      <x:c r="K80" s="16" t="n">
        <x:v>2.75</x:v>
      </x:c>
      <x:c r="L80" s="14" t="str">
        <x:v>$1–5</x:v>
      </x:c>
      <x:c r="M80" s="14" t="str">
        <x:v>Yes</x:v>
      </x:c>
      <x:c r="N80" s="14" t="str">
        <x:v>No</x:v>
      </x:c>
      <x:c r="O80" s="14" t="str">
        <x:v>Yes</x:v>
      </x:c>
      <x:c r="P80" s="14" t="str">
        <x:v>Clean/NM benchmark unless noted</x:v>
      </x:c>
      <x:c r="Q80" s="16" t="n">
        <x:v>2.5</x:v>
      </x:c>
      <x:c r="R80" s="16" t="n">
        <x:v>3</x:v>
      </x:c>
      <x:c r="S80" s="16" t="n">
        <x:v>2.75</x:v>
      </x:c>
      <x:c r="T80" s="14"/>
      <x:c r="U80" s="18" t="n">
        <x:v>517</x:v>
      </x:c>
      <x:c r="V80" s="14" t="str">
        <x:v>Uploaded Pokémon chat JSON / prior card-by-card research</x:v>
      </x:c>
      <x:c r="W80" s="14"/>
    </x:row>
    <x:row r="81">
      <x:c r="A81" s="18" t="n">
        <x:v>125</x:v>
      </x:c>
      <x:c r="B81" s="14" t="str">
        <x:v>Trainer/Item/Stadium</x:v>
      </x:c>
      <x:c r="C81" s="14" t="str">
        <x:v>Colress</x:v>
      </x:c>
      <x:c r="D81" s="14" t="str">
        <x:v>118/135</x:v>
      </x:c>
      <x:c r="E81" s="14" t="str">
        <x:v>Plasma Storm</x:v>
      </x:c>
      <x:c r="F81" s="18" t="n">
        <x:v>2013</x:v>
      </x:c>
      <x:c r="G81" s="14" t="str">
        <x:v>Regular</x:v>
      </x:c>
      <x:c r="H81" s="14" t="str">
        <x:v>1 of 1</x:v>
      </x:c>
      <x:c r="I81" s="16" t="n">
        <x:v>1.5</x:v>
      </x:c>
      <x:c r="J81" s="16" t="n">
        <x:v>1.75</x:v>
      </x:c>
      <x:c r="K81" s="16" t="n">
        <x:v>1.625</x:v>
      </x:c>
      <x:c r="L81" s="14" t="str">
        <x:v>$1–5</x:v>
      </x:c>
      <x:c r="M81" s="14" t="str">
        <x:v>Yes</x:v>
      </x:c>
      <x:c r="N81" s="14" t="str">
        <x:v>No</x:v>
      </x:c>
      <x:c r="O81" s="14" t="str">
        <x:v>Yes</x:v>
      </x:c>
      <x:c r="P81" s="14" t="str">
        <x:v>Clean/NM benchmark unless noted</x:v>
      </x:c>
      <x:c r="Q81" s="16" t="n">
        <x:v>1.5</x:v>
      </x:c>
      <x:c r="R81" s="16" t="n">
        <x:v>1.75</x:v>
      </x:c>
      <x:c r="S81" s="16" t="n">
        <x:v>1.625</x:v>
      </x:c>
      <x:c r="T81" s="14"/>
      <x:c r="U81" s="18" t="n">
        <x:v>517</x:v>
      </x:c>
      <x:c r="V81" s="14" t="str">
        <x:v>Uploaded Pokémon chat JSON / prior card-by-card research</x:v>
      </x:c>
      <x:c r="W81" s="14"/>
    </x:row>
    <x:row r="82">
      <x:c r="A82" s="18" t="n">
        <x:v>126</x:v>
      </x:c>
      <x:c r="B82" s="14" t="str">
        <x:v>Trainer/Item/Stadium</x:v>
      </x:c>
      <x:c r="C82" s="14" t="str">
        <x:v>Copycat</x:v>
      </x:c>
      <x:c r="D82" s="14" t="str">
        <x:v>77/95</x:v>
      </x:c>
      <x:c r="E82" s="14" t="str">
        <x:v>2011 World Championships</x:v>
      </x:c>
      <x:c r="F82" s="18" t="n">
        <x:v>2011</x:v>
      </x:c>
      <x:c r="G82" s="14" t="str">
        <x:v>Ross Cawthon gray-border</x:v>
      </x:c>
      <x:c r="H82" s="14" t="str">
        <x:v>1 of 1</x:v>
      </x:c>
      <x:c r="I82" s="16" t="n">
        <x:v>2.96</x:v>
      </x:c>
      <x:c r="J82" s="16" t="n">
        <x:v>3.02</x:v>
      </x:c>
      <x:c r="K82" s="16" t="n">
        <x:v>2.99</x:v>
      </x:c>
      <x:c r="L82" s="14" t="str">
        <x:v>$1–5</x:v>
      </x:c>
      <x:c r="M82" s="14" t="str">
        <x:v>Yes</x:v>
      </x:c>
      <x:c r="N82" s="14" t="str">
        <x:v>No</x:v>
      </x:c>
      <x:c r="O82" s="14" t="str">
        <x:v>Yes</x:v>
      </x:c>
      <x:c r="P82" s="14" t="str">
        <x:v>Clean/NM benchmark unless noted</x:v>
      </x:c>
      <x:c r="Q82" s="16" t="n">
        <x:v>2.96</x:v>
      </x:c>
      <x:c r="R82" s="16" t="n">
        <x:v>3.02</x:v>
      </x:c>
      <x:c r="S82" s="16" t="n">
        <x:v>2.99</x:v>
      </x:c>
      <x:c r="T82" s="14"/>
      <x:c r="U82" s="18" t="n">
        <x:v>523</x:v>
      </x:c>
      <x:c r="V82" s="14" t="str">
        <x:v>Uploaded Pokémon chat JSON / prior card-by-card research</x:v>
      </x:c>
      <x:c r="W82" s="14"/>
    </x:row>
    <x:row r="83">
      <x:c r="A83" s="18" t="n">
        <x:v>127</x:v>
      </x:c>
      <x:c r="B83" s="14" t="str">
        <x:v>Trainer/Item/Stadium</x:v>
      </x:c>
      <x:c r="C83" s="14" t="str">
        <x:v>Copycat</x:v>
      </x:c>
      <x:c r="D83" s="14" t="str">
        <x:v>138/165</x:v>
      </x:c>
      <x:c r="E83" s="14" t="str">
        <x:v>2004 World Championships</x:v>
      </x:c>
      <x:c r="F83" s="18" t="n">
        <x:v>2004</x:v>
      </x:c>
      <x:c r="G83" s="14" t="str">
        <x:v>Chris Fulop gray-border</x:v>
      </x:c>
      <x:c r="H83" s="14" t="str">
        <x:v>1 of 3</x:v>
      </x:c>
      <x:c r="I83" s="16" t="n">
        <x:v>1.23</x:v>
      </x:c>
      <x:c r="J83" s="16" t="n">
        <x:v>1.25</x:v>
      </x:c>
      <x:c r="K83" s="16" t="n">
        <x:v>1.24</x:v>
      </x:c>
      <x:c r="L83" s="14" t="str">
        <x:v>$1–5</x:v>
      </x:c>
      <x:c r="M83" s="14" t="str">
        <x:v>Yes</x:v>
      </x:c>
      <x:c r="N83" s="14" t="str">
        <x:v>No</x:v>
      </x:c>
      <x:c r="O83" s="14" t="str">
        <x:v>Yes</x:v>
      </x:c>
      <x:c r="P83" s="14" t="str">
        <x:v>Clean/NM benchmark unless noted</x:v>
      </x:c>
      <x:c r="Q83" s="16" t="n">
        <x:v>1.23</x:v>
      </x:c>
      <x:c r="R83" s="16" t="n">
        <x:v>1.25</x:v>
      </x:c>
      <x:c r="S83" s="16" t="n">
        <x:v>1.24</x:v>
      </x:c>
      <x:c r="T83" s="14"/>
      <x:c r="U83" s="18" t="n">
        <x:v>523</x:v>
      </x:c>
      <x:c r="V83" s="14" t="str">
        <x:v>Uploaded Pokémon chat JSON / prior card-by-card research</x:v>
      </x:c>
      <x:c r="W83" s="14"/>
    </x:row>
    <x:row r="84">
      <x:c r="A84" s="18" t="n">
        <x:v>128</x:v>
      </x:c>
      <x:c r="B84" s="14" t="str">
        <x:v>Trainer/Item/Stadium</x:v>
      </x:c>
      <x:c r="C84" s="14" t="str">
        <x:v>Copycat</x:v>
      </x:c>
      <x:c r="D84" s="14" t="str">
        <x:v>138/165</x:v>
      </x:c>
      <x:c r="E84" s="14" t="str">
        <x:v>2004 World Championships</x:v>
      </x:c>
      <x:c r="F84" s="18" t="n">
        <x:v>2004</x:v>
      </x:c>
      <x:c r="G84" s="14" t="str">
        <x:v>Chris Fulop gray-border</x:v>
      </x:c>
      <x:c r="H84" s="14" t="str">
        <x:v>2 of 3</x:v>
      </x:c>
      <x:c r="I84" s="16" t="n">
        <x:v>1.23</x:v>
      </x:c>
      <x:c r="J84" s="16" t="n">
        <x:v>1.25</x:v>
      </x:c>
      <x:c r="K84" s="16" t="n">
        <x:v>1.24</x:v>
      </x:c>
      <x:c r="L84" s="14" t="str">
        <x:v>$1–5</x:v>
      </x:c>
      <x:c r="M84" s="14" t="str">
        <x:v>Yes</x:v>
      </x:c>
      <x:c r="N84" s="14" t="str">
        <x:v>No</x:v>
      </x:c>
      <x:c r="O84" s="14" t="str">
        <x:v>Yes</x:v>
      </x:c>
      <x:c r="P84" s="14" t="str">
        <x:v>Clean/NM benchmark unless noted</x:v>
      </x:c>
      <x:c r="Q84" s="16" t="n">
        <x:v>1.23</x:v>
      </x:c>
      <x:c r="R84" s="16" t="n">
        <x:v>1.25</x:v>
      </x:c>
      <x:c r="S84" s="16" t="n">
        <x:v>1.24</x:v>
      </x:c>
      <x:c r="T84" s="14"/>
      <x:c r="U84" s="18" t="n">
        <x:v>523</x:v>
      </x:c>
      <x:c r="V84" s="14" t="str">
        <x:v>Uploaded Pokémon chat JSON / prior card-by-card research</x:v>
      </x:c>
      <x:c r="W84" s="14"/>
    </x:row>
    <x:row r="85">
      <x:c r="A85" s="18" t="n">
        <x:v>129</x:v>
      </x:c>
      <x:c r="B85" s="14" t="str">
        <x:v>Trainer/Item/Stadium</x:v>
      </x:c>
      <x:c r="C85" s="14" t="str">
        <x:v>Copycat</x:v>
      </x:c>
      <x:c r="D85" s="14" t="str">
        <x:v>138/165</x:v>
      </x:c>
      <x:c r="E85" s="14" t="str">
        <x:v>2004 World Championships</x:v>
      </x:c>
      <x:c r="F85" s="18" t="n">
        <x:v>2004</x:v>
      </x:c>
      <x:c r="G85" s="14" t="str">
        <x:v>Chris Fulop gray-border</x:v>
      </x:c>
      <x:c r="H85" s="14" t="str">
        <x:v>3 of 3</x:v>
      </x:c>
      <x:c r="I85" s="16" t="n">
        <x:v>1.23</x:v>
      </x:c>
      <x:c r="J85" s="16" t="n">
        <x:v>1.25</x:v>
      </x:c>
      <x:c r="K85" s="16" t="n">
        <x:v>1.24</x:v>
      </x:c>
      <x:c r="L85" s="14" t="str">
        <x:v>$1–5</x:v>
      </x:c>
      <x:c r="M85" s="14" t="str">
        <x:v>Yes</x:v>
      </x:c>
      <x:c r="N85" s="14" t="str">
        <x:v>No</x:v>
      </x:c>
      <x:c r="O85" s="14" t="str">
        <x:v>Yes</x:v>
      </x:c>
      <x:c r="P85" s="14" t="str">
        <x:v>Clean/NM benchmark unless noted</x:v>
      </x:c>
      <x:c r="Q85" s="16" t="n">
        <x:v>1.23</x:v>
      </x:c>
      <x:c r="R85" s="16" t="n">
        <x:v>1.25</x:v>
      </x:c>
      <x:c r="S85" s="16" t="n">
        <x:v>1.24</x:v>
      </x:c>
      <x:c r="T85" s="14"/>
      <x:c r="U85" s="18" t="n">
        <x:v>523</x:v>
      </x:c>
      <x:c r="V85" s="14" t="str">
        <x:v>Uploaded Pokémon chat JSON / prior card-by-card research</x:v>
      </x:c>
      <x:c r="W85" s="14"/>
    </x:row>
    <x:row r="86">
      <x:c r="A86" s="18" t="n">
        <x:v>130</x:v>
      </x:c>
      <x:c r="B86" s="14" t="str">
        <x:v>Trainer/Item/Stadium</x:v>
      </x:c>
      <x:c r="C86" s="14" t="str">
        <x:v>Cheren</x:v>
      </x:c>
      <x:c r="D86" s="14" t="str">
        <x:v>91/98</x:v>
      </x:c>
      <x:c r="E86" s="14" t="str">
        <x:v>Emerging Powers</x:v>
      </x:c>
      <x:c r="F86" s="18" t="n">
        <x:v>2011</x:v>
      </x:c>
      <x:c r="G86" s="14" t="str">
        <x:v>Reverse Holo</x:v>
      </x:c>
      <x:c r="H86" s="14" t="str">
        <x:v>1 of 1</x:v>
      </x:c>
      <x:c r="I86" s="16" t="n">
        <x:v>1.5</x:v>
      </x:c>
      <x:c r="J86" s="16" t="n">
        <x:v>1.75</x:v>
      </x:c>
      <x:c r="K86" s="16" t="n">
        <x:v>1.625</x:v>
      </x:c>
      <x:c r="L86" s="14" t="str">
        <x:v>$1–5</x:v>
      </x:c>
      <x:c r="M86" s="14" t="str">
        <x:v>Yes</x:v>
      </x:c>
      <x:c r="N86" s="14" t="str">
        <x:v>No</x:v>
      </x:c>
      <x:c r="O86" s="14" t="str">
        <x:v>Yes</x:v>
      </x:c>
      <x:c r="P86" s="14" t="str">
        <x:v>Clean/NM benchmark unless noted</x:v>
      </x:c>
      <x:c r="Q86" s="16" t="n">
        <x:v>1.5</x:v>
      </x:c>
      <x:c r="R86" s="16" t="n">
        <x:v>1.75</x:v>
      </x:c>
      <x:c r="S86" s="16" t="n">
        <x:v>1.625</x:v>
      </x:c>
      <x:c r="T86" s="14"/>
      <x:c r="U86" s="18" t="n">
        <x:v>529</x:v>
      </x:c>
      <x:c r="V86" s="14" t="str">
        <x:v>Uploaded Pokémon chat JSON / prior card-by-card research</x:v>
      </x:c>
      <x:c r="W86" s="14"/>
    </x:row>
    <x:row r="87">
      <x:c r="A87" s="18" t="n">
        <x:v>131</x:v>
      </x:c>
      <x:c r="B87" s="14" t="str">
        <x:v>Trainer/Item/Stadium</x:v>
      </x:c>
      <x:c r="C87" s="14" t="str">
        <x:v>Black Belt</x:v>
      </x:c>
      <x:c r="D87" s="14" t="str">
        <x:v>85/102</x:v>
      </x:c>
      <x:c r="E87" s="14" t="str">
        <x:v>Triumphant</x:v>
      </x:c>
      <x:c r="F87" s="18" t="n">
        <x:v>2010</x:v>
      </x:c>
      <x:c r="G87" s="14" t="str">
        <x:v>Regular</x:v>
      </x:c>
      <x:c r="H87" s="14" t="str">
        <x:v>1 of 1</x:v>
      </x:c>
      <x:c r="I87" s="16" t="n">
        <x:v>1</x:v>
      </x:c>
      <x:c r="J87" s="16" t="n">
        <x:v>2</x:v>
      </x:c>
      <x:c r="K87" s="16" t="n">
        <x:v>1.5</x:v>
      </x:c>
      <x:c r="L87" s="14" t="str">
        <x:v>$1–5</x:v>
      </x:c>
      <x:c r="M87" s="14" t="str">
        <x:v>Yes</x:v>
      </x:c>
      <x:c r="N87" s="14" t="str">
        <x:v>No</x:v>
      </x:c>
      <x:c r="O87" s="14" t="str">
        <x:v>Yes</x:v>
      </x:c>
      <x:c r="P87" s="14" t="str">
        <x:v>Clean/NM benchmark unless noted</x:v>
      </x:c>
      <x:c r="Q87" s="16" t="n">
        <x:v>1</x:v>
      </x:c>
      <x:c r="R87" s="16" t="n">
        <x:v>2</x:v>
      </x:c>
      <x:c r="S87" s="16" t="n">
        <x:v>1.5</x:v>
      </x:c>
      <x:c r="T87" s="14"/>
      <x:c r="U87" s="18" t="n">
        <x:v>529</x:v>
      </x:c>
      <x:c r="V87" s="14" t="str">
        <x:v>Uploaded Pokémon chat JSON / prior card-by-card research</x:v>
      </x:c>
      <x:c r="W87" s="14"/>
    </x:row>
    <x:row r="88">
      <x:c r="A88" s="18" t="n">
        <x:v>132</x:v>
      </x:c>
      <x:c r="B88" s="14" t="str">
        <x:v>Trainer/Item/Stadium</x:v>
      </x:c>
      <x:c r="C88" s="14" t="str">
        <x:v>Bianca</x:v>
      </x:c>
      <x:c r="D88" s="14" t="str">
        <x:v>90/98</x:v>
      </x:c>
      <x:c r="E88" s="14" t="str">
        <x:v>Emerging Powers</x:v>
      </x:c>
      <x:c r="F88" s="18" t="n">
        <x:v>2011</x:v>
      </x:c>
      <x:c r="G88" s="14" t="str">
        <x:v>Reverse Holo</x:v>
      </x:c>
      <x:c r="H88" s="14" t="str">
        <x:v>1 of 2</x:v>
      </x:c>
      <x:c r="I88" s="16" t="n">
        <x:v>1.75</x:v>
      </x:c>
      <x:c r="J88" s="16" t="n">
        <x:v>2</x:v>
      </x:c>
      <x:c r="K88" s="16" t="n">
        <x:v>1.875</x:v>
      </x:c>
      <x:c r="L88" s="14" t="str">
        <x:v>$1–5</x:v>
      </x:c>
      <x:c r="M88" s="14" t="str">
        <x:v>Yes</x:v>
      </x:c>
      <x:c r="N88" s="14" t="str">
        <x:v>No</x:v>
      </x:c>
      <x:c r="O88" s="14" t="str">
        <x:v>Yes</x:v>
      </x:c>
      <x:c r="P88" s="14" t="str">
        <x:v>Clean/NM benchmark unless noted</x:v>
      </x:c>
      <x:c r="Q88" s="16" t="n">
        <x:v>1.75</x:v>
      </x:c>
      <x:c r="R88" s="16" t="n">
        <x:v>2</x:v>
      </x:c>
      <x:c r="S88" s="16" t="n">
        <x:v>1.875</x:v>
      </x:c>
      <x:c r="T88" s="14"/>
      <x:c r="U88" s="18" t="n">
        <x:v>535</x:v>
      </x:c>
      <x:c r="V88" s="14" t="str">
        <x:v>Uploaded Pokémon chat JSON / prior card-by-card research</x:v>
      </x:c>
      <x:c r="W88" s="14"/>
    </x:row>
    <x:row r="89">
      <x:c r="A89" s="18" t="n">
        <x:v>133</x:v>
      </x:c>
      <x:c r="B89" s="14" t="str">
        <x:v>Trainer/Item/Stadium</x:v>
      </x:c>
      <x:c r="C89" s="14" t="str">
        <x:v>Bianca</x:v>
      </x:c>
      <x:c r="D89" s="14" t="str">
        <x:v>90/98</x:v>
      </x:c>
      <x:c r="E89" s="14" t="str">
        <x:v>Emerging Powers</x:v>
      </x:c>
      <x:c r="F89" s="18" t="n">
        <x:v>2011</x:v>
      </x:c>
      <x:c r="G89" s="14" t="str">
        <x:v>Reverse Holo</x:v>
      </x:c>
      <x:c r="H89" s="14" t="str">
        <x:v>2 of 2</x:v>
      </x:c>
      <x:c r="I89" s="16" t="n">
        <x:v>1.75</x:v>
      </x:c>
      <x:c r="J89" s="16" t="n">
        <x:v>2</x:v>
      </x:c>
      <x:c r="K89" s="16" t="n">
        <x:v>1.875</x:v>
      </x:c>
      <x:c r="L89" s="14" t="str">
        <x:v>$1–5</x:v>
      </x:c>
      <x:c r="M89" s="14" t="str">
        <x:v>Yes</x:v>
      </x:c>
      <x:c r="N89" s="14" t="str">
        <x:v>No</x:v>
      </x:c>
      <x:c r="O89" s="14" t="str">
        <x:v>Yes</x:v>
      </x:c>
      <x:c r="P89" s="14" t="str">
        <x:v>Clean/NM benchmark unless noted</x:v>
      </x:c>
      <x:c r="Q89" s="16" t="n">
        <x:v>1.75</x:v>
      </x:c>
      <x:c r="R89" s="16" t="n">
        <x:v>2</x:v>
      </x:c>
      <x:c r="S89" s="16" t="n">
        <x:v>1.875</x:v>
      </x:c>
      <x:c r="T89" s="14"/>
      <x:c r="U89" s="18" t="n">
        <x:v>535</x:v>
      </x:c>
      <x:c r="V89" s="14" t="str">
        <x:v>Uploaded Pokémon chat JSON / prior card-by-card research</x:v>
      </x:c>
      <x:c r="W89" s="14"/>
    </x:row>
    <x:row r="90">
      <x:c r="A90" s="18" t="n">
        <x:v>134</x:v>
      </x:c>
      <x:c r="B90" s="14" t="str">
        <x:v>Dragon / Dragon Vault</x:v>
      </x:c>
      <x:c r="C90" s="14" t="str">
        <x:v>Salamence</x:v>
      </x:c>
      <x:c r="D90" s="14" t="str">
        <x:v>8/20</x:v>
      </x:c>
      <x:c r="E90" s="14" t="str">
        <x:v>Dragon Vault</x:v>
      </x:c>
      <x:c r="F90" s="18" t="n">
        <x:v>2012</x:v>
      </x:c>
      <x:c r="G90" s="14" t="str">
        <x:v>Holo</x:v>
      </x:c>
      <x:c r="H90" s="14" t="str">
        <x:v>1 of 6</x:v>
      </x:c>
      <x:c r="I90" s="16" t="n">
        <x:v>5.5</x:v>
      </x:c>
      <x:c r="J90" s="16" t="n">
        <x:v>6</x:v>
      </x:c>
      <x:c r="K90" s="16" t="n">
        <x:v>5.75</x:v>
      </x:c>
      <x:c r="L90" s="14" t="str">
        <x:v>$5–20</x:v>
      </x:c>
      <x:c r="M90" s="14" t="str">
        <x:v>Yes</x:v>
      </x:c>
      <x:c r="N90" s="14" t="str">
        <x:v>No</x:v>
      </x:c>
      <x:c r="O90" s="14" t="str">
        <x:v>Yes</x:v>
      </x:c>
      <x:c r="P90" s="14" t="str">
        <x:v>Clean/NM benchmark unless noted</x:v>
      </x:c>
      <x:c r="Q90" s="16" t="n">
        <x:v>5.5</x:v>
      </x:c>
      <x:c r="R90" s="16" t="n">
        <x:v>6</x:v>
      </x:c>
      <x:c r="S90" s="16" t="n">
        <x:v>5.75</x:v>
      </x:c>
      <x:c r="T90" s="14"/>
      <x:c r="U90" s="18" t="n">
        <x:v>559</x:v>
      </x:c>
      <x:c r="V90" s="14" t="str">
        <x:v>Uploaded Pokémon chat JSON / prior card-by-card research</x:v>
      </x:c>
      <x:c r="W90" s="14"/>
    </x:row>
    <x:row r="91">
      <x:c r="A91" s="18" t="n">
        <x:v>135</x:v>
      </x:c>
      <x:c r="B91" s="14" t="str">
        <x:v>Dragon / Dragon Vault</x:v>
      </x:c>
      <x:c r="C91" s="14" t="str">
        <x:v>Salamence</x:v>
      </x:c>
      <x:c r="D91" s="14" t="str">
        <x:v>8/20</x:v>
      </x:c>
      <x:c r="E91" s="14" t="str">
        <x:v>Dragon Vault</x:v>
      </x:c>
      <x:c r="F91" s="18" t="n">
        <x:v>2012</x:v>
      </x:c>
      <x:c r="G91" s="14" t="str">
        <x:v>Holo</x:v>
      </x:c>
      <x:c r="H91" s="14" t="str">
        <x:v>2 of 6</x:v>
      </x:c>
      <x:c r="I91" s="16" t="n">
        <x:v>5.5</x:v>
      </x:c>
      <x:c r="J91" s="16" t="n">
        <x:v>6</x:v>
      </x:c>
      <x:c r="K91" s="16" t="n">
        <x:v>5.75</x:v>
      </x:c>
      <x:c r="L91" s="14" t="str">
        <x:v>$5–20</x:v>
      </x:c>
      <x:c r="M91" s="14" t="str">
        <x:v>Yes</x:v>
      </x:c>
      <x:c r="N91" s="14" t="str">
        <x:v>No</x:v>
      </x:c>
      <x:c r="O91" s="14" t="str">
        <x:v>Yes</x:v>
      </x:c>
      <x:c r="P91" s="14" t="str">
        <x:v>Clean/NM benchmark unless noted</x:v>
      </x:c>
      <x:c r="Q91" s="16" t="n">
        <x:v>5.5</x:v>
      </x:c>
      <x:c r="R91" s="16" t="n">
        <x:v>6</x:v>
      </x:c>
      <x:c r="S91" s="16" t="n">
        <x:v>5.75</x:v>
      </x:c>
      <x:c r="T91" s="14"/>
      <x:c r="U91" s="18" t="n">
        <x:v>559</x:v>
      </x:c>
      <x:c r="V91" s="14" t="str">
        <x:v>Uploaded Pokémon chat JSON / prior card-by-card research</x:v>
      </x:c>
      <x:c r="W91" s="14"/>
    </x:row>
    <x:row r="92">
      <x:c r="A92" s="18" t="n">
        <x:v>136</x:v>
      </x:c>
      <x:c r="B92" s="14" t="str">
        <x:v>Dragon / Dragon Vault</x:v>
      </x:c>
      <x:c r="C92" s="14" t="str">
        <x:v>Dragonite</x:v>
      </x:c>
      <x:c r="D92" s="14" t="str">
        <x:v>5/20</x:v>
      </x:c>
      <x:c r="E92" s="14" t="str">
        <x:v>Dragon Vault</x:v>
      </x:c>
      <x:c r="F92" s="18" t="n">
        <x:v>2012</x:v>
      </x:c>
      <x:c r="G92" s="14" t="str">
        <x:v>Holo</x:v>
      </x:c>
      <x:c r="H92" s="14" t="str">
        <x:v>1 of 3</x:v>
      </x:c>
      <x:c r="I92" s="16" t="n">
        <x:v>25</x:v>
      </x:c>
      <x:c r="J92" s="16" t="n">
        <x:v>35</x:v>
      </x:c>
      <x:c r="K92" s="16" t="n">
        <x:v>30</x:v>
      </x:c>
      <x:c r="L92" s="14" t="str">
        <x:v>$20+</x:v>
      </x:c>
      <x:c r="M92" s="14" t="str">
        <x:v>Yes</x:v>
      </x:c>
      <x:c r="N92" s="14" t="str">
        <x:v>Yes</x:v>
      </x:c>
      <x:c r="O92" s="14" t="str">
        <x:v>Yes</x:v>
      </x:c>
      <x:c r="P92" s="14" t="str">
        <x:v>Clean/NM benchmark unless noted</x:v>
      </x:c>
      <x:c r="Q92" s="16" t="n">
        <x:v>25</x:v>
      </x:c>
      <x:c r="R92" s="16" t="n">
        <x:v>35</x:v>
      </x:c>
      <x:c r="S92" s="16" t="n">
        <x:v>30</x:v>
      </x:c>
      <x:c r="T92" s="14"/>
      <x:c r="U92" s="18" t="n">
        <x:v>565</x:v>
      </x:c>
      <x:c r="V92" s="14" t="str">
        <x:v>Uploaded Pokémon chat JSON / prior card-by-card research</x:v>
      </x:c>
      <x:c r="W92" s="14"/>
    </x:row>
    <x:row r="93">
      <x:c r="A93" s="18" t="n">
        <x:v>137</x:v>
      </x:c>
      <x:c r="B93" s="14" t="str">
        <x:v>Dragon / Dragon Vault</x:v>
      </x:c>
      <x:c r="C93" s="14" t="str">
        <x:v>Dragonite</x:v>
      </x:c>
      <x:c r="D93" s="14" t="str">
        <x:v>5/20</x:v>
      </x:c>
      <x:c r="E93" s="14" t="str">
        <x:v>Dragon Vault</x:v>
      </x:c>
      <x:c r="F93" s="18" t="n">
        <x:v>2012</x:v>
      </x:c>
      <x:c r="G93" s="14" t="str">
        <x:v>Holo</x:v>
      </x:c>
      <x:c r="H93" s="14" t="str">
        <x:v>2 of 3</x:v>
      </x:c>
      <x:c r="I93" s="16" t="n">
        <x:v>25</x:v>
      </x:c>
      <x:c r="J93" s="16" t="n">
        <x:v>35</x:v>
      </x:c>
      <x:c r="K93" s="16" t="n">
        <x:v>30</x:v>
      </x:c>
      <x:c r="L93" s="14" t="str">
        <x:v>$20+</x:v>
      </x:c>
      <x:c r="M93" s="14" t="str">
        <x:v>Yes</x:v>
      </x:c>
      <x:c r="N93" s="14" t="str">
        <x:v>Yes</x:v>
      </x:c>
      <x:c r="O93" s="14" t="str">
        <x:v>Yes</x:v>
      </x:c>
      <x:c r="P93" s="14" t="str">
        <x:v>Clean/NM benchmark unless noted</x:v>
      </x:c>
      <x:c r="Q93" s="16" t="n">
        <x:v>25</x:v>
      </x:c>
      <x:c r="R93" s="16" t="n">
        <x:v>35</x:v>
      </x:c>
      <x:c r="S93" s="16" t="n">
        <x:v>30</x:v>
      </x:c>
      <x:c r="T93" s="14"/>
      <x:c r="U93" s="18" t="n">
        <x:v>565</x:v>
      </x:c>
      <x:c r="V93" s="14" t="str">
        <x:v>Uploaded Pokémon chat JSON / prior card-by-card research</x:v>
      </x:c>
      <x:c r="W93" s="14"/>
    </x:row>
    <x:row r="94">
      <x:c r="A94" s="18" t="n">
        <x:v>138</x:v>
      </x:c>
      <x:c r="B94" s="14" t="str">
        <x:v>Dragon / Dragon Vault</x:v>
      </x:c>
      <x:c r="C94" s="14" t="str">
        <x:v>Rayquaza</x:v>
      </x:c>
      <x:c r="D94" s="14" t="str">
        <x:v>11/20</x:v>
      </x:c>
      <x:c r="E94" s="14" t="str">
        <x:v>Dragon Vault</x:v>
      </x:c>
      <x:c r="F94" s="18" t="n">
        <x:v>2012</x:v>
      </x:c>
      <x:c r="G94" s="14" t="str">
        <x:v>Normal Holo</x:v>
      </x:c>
      <x:c r="H94" s="14" t="str">
        <x:v>1 of 3</x:v>
      </x:c>
      <x:c r="I94" s="16" t="n">
        <x:v>35</x:v>
      </x:c>
      <x:c r="J94" s="16" t="n">
        <x:v>50</x:v>
      </x:c>
      <x:c r="K94" s="16" t="n">
        <x:v>42.5</x:v>
      </x:c>
      <x:c r="L94" s="14" t="str">
        <x:v>$20+</x:v>
      </x:c>
      <x:c r="M94" s="14" t="str">
        <x:v>Yes</x:v>
      </x:c>
      <x:c r="N94" s="14" t="str">
        <x:v>Yes</x:v>
      </x:c>
      <x:c r="O94" s="14" t="str">
        <x:v>Yes</x:v>
      </x:c>
      <x:c r="P94" s="14" t="str">
        <x:v>Manual pre-grade: PSA 9 most likely</x:v>
      </x:c>
      <x:c r="Q94" s="16" t="n">
        <x:v>35</x:v>
      </x:c>
      <x:c r="R94" s="16" t="n">
        <x:v>50</x:v>
      </x:c>
      <x:c r="S94" s="16" t="n">
        <x:v>42.5</x:v>
      </x:c>
      <x:c r="T94" s="14" t="str">
        <x:v>Dragon Vault Rayquaza 11/20 regular holo copy 1 of 3. Centering 10; corners 9; edges 8–9; surface 9–10. Overall PSA 9 slightly favored. Odds: PSA 7 ~2%, PSA 8 ~43%, PSA 9 ~52%, PSA 10 ~3%.</x:v>
      </x:c>
      <x:c r="U94" s="18" t="n">
        <x:v>571</x:v>
      </x:c>
      <x:c r="V94" s="14" t="str">
        <x:v>TCGplayer + PriceCharting + PSA/Collectors, researched 2026-08-18</x:v>
      </x:c>
      <x:c r="W94" s="14" t="str">
        <x:v>https://www.pricecharting.com/game/pokemon-dragon-vault/rayquaza-11</x:v>
      </x:c>
    </x:row>
    <x:row r="95">
      <x:c r="A95" s="18" t="n">
        <x:v>139</x:v>
      </x:c>
      <x:c r="B95" s="14" t="str">
        <x:v>Dragon / Dragon Vault</x:v>
      </x:c>
      <x:c r="C95" s="14" t="str">
        <x:v>Rayquaza</x:v>
      </x:c>
      <x:c r="D95" s="14" t="str">
        <x:v>11/20</x:v>
      </x:c>
      <x:c r="E95" s="14" t="str">
        <x:v>Dragon Vault</x:v>
      </x:c>
      <x:c r="F95" s="18" t="n">
        <x:v>2012</x:v>
      </x:c>
      <x:c r="G95" s="14" t="str">
        <x:v>Dragon Vault stamped blister promo</x:v>
      </x:c>
      <x:c r="H95" s="14" t="str">
        <x:v>1 of 2</x:v>
      </x:c>
      <x:c r="I95" s="16" t="n">
        <x:v>75</x:v>
      </x:c>
      <x:c r="J95" s="16" t="n">
        <x:v>95</x:v>
      </x:c>
      <x:c r="K95" s="16" t="n">
        <x:v>85</x:v>
      </x:c>
      <x:c r="L95" s="14" t="str">
        <x:v>$20+</x:v>
      </x:c>
      <x:c r="M95" s="14" t="str">
        <x:v>Yes</x:v>
      </x:c>
      <x:c r="N95" s="14" t="str">
        <x:v>Yes</x:v>
      </x:c>
      <x:c r="O95" s="14" t="str">
        <x:v>Yes</x:v>
      </x:c>
      <x:c r="P95" s="14" t="str">
        <x:v>Moisture/edge damage: pronounced side-edge swelling/ruffling; photo pre-grade PSA 6 most likely</x:v>
      </x:c>
      <x:c r="Q95" s="16" t="n">
        <x:v>25</x:v>
      </x:c>
      <x:c r="R95" s="16" t="n">
        <x:v>45</x:v>
      </x:c>
      <x:c r="S95" s="16" t="n">
        <x:v>35</x:v>
      </x:c>
      <x:c r="T95" s="14" t="str">
        <x:v>Rayquaza 11/20 stamped copy #1 of 2. Photo re-grade: PSA 6 most likely (PSA 5 ~35%, PSA 6 ~55%, PSA 7 ~9%, PSA 8 ~1%). Centering 9; corners 8–9; edge 5–6 due wavy/ruffled moisture-type deformation; surface/structure 6–7.</x:v>
      </x:c>
      <x:c r="U95" s="18" t="n">
        <x:v>577</x:v>
      </x:c>
      <x:c r="V95" s="14" t="str">
        <x:v>Uploaded Pokémon chat JSON / prior card-by-card research</x:v>
      </x:c>
      <x:c r="W95" s="14"/>
    </x:row>
    <x:row r="96">
      <x:c r="A96" s="18" t="n">
        <x:v>140</x:v>
      </x:c>
      <x:c r="B96" s="14" t="str">
        <x:v>Dragon / Dragon Vault</x:v>
      </x:c>
      <x:c r="C96" s="14" t="str">
        <x:v>Druddigon</x:v>
      </x:c>
      <x:c r="D96" s="14" t="str">
        <x:v>17/20</x:v>
      </x:c>
      <x:c r="E96" s="14" t="str">
        <x:v>Dragon Vault</x:v>
      </x:c>
      <x:c r="F96" s="18" t="n">
        <x:v>2012</x:v>
      </x:c>
      <x:c r="G96" s="14" t="str">
        <x:v>Normal Holo</x:v>
      </x:c>
      <x:c r="H96" s="14" t="str">
        <x:v>1 of 2</x:v>
      </x:c>
      <x:c r="I96" s="16" t="n">
        <x:v>2.5</x:v>
      </x:c>
      <x:c r="J96" s="16" t="n">
        <x:v>3</x:v>
      </x:c>
      <x:c r="K96" s="16" t="n">
        <x:v>2.75</x:v>
      </x:c>
      <x:c r="L96" s="14" t="str">
        <x:v>$1–5</x:v>
      </x:c>
      <x:c r="M96" s="14" t="str">
        <x:v>Yes</x:v>
      </x:c>
      <x:c r="N96" s="14" t="str">
        <x:v>No</x:v>
      </x:c>
      <x:c r="O96" s="14" t="str">
        <x:v>Yes</x:v>
      </x:c>
      <x:c r="P96" s="14" t="str">
        <x:v>Clean/NM benchmark unless noted</x:v>
      </x:c>
      <x:c r="Q96" s="16" t="n">
        <x:v>2.5</x:v>
      </x:c>
      <x:c r="R96" s="16" t="n">
        <x:v>3</x:v>
      </x:c>
      <x:c r="S96" s="16" t="n">
        <x:v>2.75</x:v>
      </x:c>
      <x:c r="T96" s="14"/>
      <x:c r="U96" s="18" t="n">
        <x:v>589</x:v>
      </x:c>
      <x:c r="V96" s="14" t="str">
        <x:v>Uploaded Pokémon chat JSON / prior card-by-card research</x:v>
      </x:c>
      <x:c r="W96" s="14"/>
    </x:row>
    <x:row r="97">
      <x:c r="A97" s="18" t="n">
        <x:v>141</x:v>
      </x:c>
      <x:c r="B97" s="14" t="str">
        <x:v>Dragon / Dragon Vault</x:v>
      </x:c>
      <x:c r="C97" s="14" t="str">
        <x:v>Druddigon</x:v>
      </x:c>
      <x:c r="D97" s="14" t="str">
        <x:v>17/20</x:v>
      </x:c>
      <x:c r="E97" s="14" t="str">
        <x:v>Dragon Vault</x:v>
      </x:c>
      <x:c r="F97" s="18" t="n">
        <x:v>2012</x:v>
      </x:c>
      <x:c r="G97" s="14" t="str">
        <x:v>Dragon Vault stamped Holo</x:v>
      </x:c>
      <x:c r="H97" s="14" t="str">
        <x:v>1 of 1</x:v>
      </x:c>
      <x:c r="I97" s="16" t="n">
        <x:v>10</x:v>
      </x:c>
      <x:c r="J97" s="16" t="n">
        <x:v>14</x:v>
      </x:c>
      <x:c r="K97" s="16" t="n">
        <x:v>12</x:v>
      </x:c>
      <x:c r="L97" s="14" t="str">
        <x:v>$5–20</x:v>
      </x:c>
      <x:c r="M97" s="14" t="str">
        <x:v>Yes</x:v>
      </x:c>
      <x:c r="N97" s="14" t="str">
        <x:v>Yes</x:v>
      </x:c>
      <x:c r="O97" s="14" t="str">
        <x:v>Yes</x:v>
      </x:c>
      <x:c r="P97" s="14" t="str">
        <x:v>Clean/NM benchmark unless noted</x:v>
      </x:c>
      <x:c r="Q97" s="16" t="n">
        <x:v>10</x:v>
      </x:c>
      <x:c r="R97" s="16" t="n">
        <x:v>14</x:v>
      </x:c>
      <x:c r="S97" s="16" t="n">
        <x:v>12</x:v>
      </x:c>
      <x:c r="T97" s="14"/>
      <x:c r="U97" s="18" t="n">
        <x:v>589</x:v>
      </x:c>
      <x:c r="V97" s="14" t="str">
        <x:v>Uploaded Pokémon chat JSON / prior card-by-card research</x:v>
      </x:c>
      <x:c r="W97" s="14"/>
    </x:row>
    <x:row r="98">
      <x:c r="A98" s="18" t="n">
        <x:v>144</x:v>
      </x:c>
      <x:c r="B98" s="14" t="str">
        <x:v>Dragon / Dragon Vault</x:v>
      </x:c>
      <x:c r="C98" s="14" t="str">
        <x:v>Haxorus</x:v>
      </x:c>
      <x:c r="D98" s="14" t="str">
        <x:v>16/20</x:v>
      </x:c>
      <x:c r="E98" s="14" t="str">
        <x:v>Dragon Vault</x:v>
      </x:c>
      <x:c r="F98" s="18" t="n">
        <x:v>2012</x:v>
      </x:c>
      <x:c r="G98" s="14" t="str">
        <x:v>Normal Holo</x:v>
      </x:c>
      <x:c r="H98" s="14" t="str">
        <x:v>1 of 1</x:v>
      </x:c>
      <x:c r="I98" s="16" t="n">
        <x:v>3.75</x:v>
      </x:c>
      <x:c r="J98" s="16" t="n">
        <x:v>4</x:v>
      </x:c>
      <x:c r="K98" s="16" t="n">
        <x:v>3.875</x:v>
      </x:c>
      <x:c r="L98" s="14" t="str">
        <x:v>$1–5</x:v>
      </x:c>
      <x:c r="M98" s="14" t="str">
        <x:v>Yes</x:v>
      </x:c>
      <x:c r="N98" s="14" t="str">
        <x:v>No</x:v>
      </x:c>
      <x:c r="O98" s="14" t="str">
        <x:v>Yes</x:v>
      </x:c>
      <x:c r="P98" s="14" t="str">
        <x:v>Clean/NM benchmark unless noted</x:v>
      </x:c>
      <x:c r="Q98" s="16" t="n">
        <x:v>3.75</x:v>
      </x:c>
      <x:c r="R98" s="16" t="n">
        <x:v>4</x:v>
      </x:c>
      <x:c r="S98" s="16" t="n">
        <x:v>3.875</x:v>
      </x:c>
      <x:c r="T98" s="14"/>
      <x:c r="U98" s="18" t="n">
        <x:v>603</x:v>
      </x:c>
      <x:c r="V98" s="14" t="str">
        <x:v>Uploaded Pokémon chat JSON / prior card-by-card research</x:v>
      </x:c>
      <x:c r="W98" s="14"/>
    </x:row>
    <x:row r="99">
      <x:c r="A99" s="18" t="n">
        <x:v>145</x:v>
      </x:c>
      <x:c r="B99" s="14" t="str">
        <x:v>Dragon / Dragon Vault</x:v>
      </x:c>
      <x:c r="C99" s="14" t="str">
        <x:v>Haxorus</x:v>
      </x:c>
      <x:c r="D99" s="14" t="str">
        <x:v>16/20</x:v>
      </x:c>
      <x:c r="E99" s="14" t="str">
        <x:v>Dragon Vault</x:v>
      </x:c>
      <x:c r="F99" s="18" t="n">
        <x:v>2012</x:v>
      </x:c>
      <x:c r="G99" s="14" t="str">
        <x:v>Dragon Vault stamped blister promo</x:v>
      </x:c>
      <x:c r="H99" s="14" t="str">
        <x:v>1 of 1</x:v>
      </x:c>
      <x:c r="I99" s="16" t="n">
        <x:v>25</x:v>
      </x:c>
      <x:c r="J99" s="16" t="n">
        <x:v>27</x:v>
      </x:c>
      <x:c r="K99" s="16" t="n">
        <x:v>26</x:v>
      </x:c>
      <x:c r="L99" s="14" t="str">
        <x:v>$20+</x:v>
      </x:c>
      <x:c r="M99" s="14" t="str">
        <x:v>Yes</x:v>
      </x:c>
      <x:c r="N99" s="14" t="str">
        <x:v>Yes</x:v>
      </x:c>
      <x:c r="O99" s="14" t="str">
        <x:v>Yes</x:v>
      </x:c>
      <x:c r="P99" s="14" t="str">
        <x:v>Clean/NM benchmark unless noted</x:v>
      </x:c>
      <x:c r="Q99" s="16" t="n">
        <x:v>25</x:v>
      </x:c>
      <x:c r="R99" s="16" t="n">
        <x:v>27</x:v>
      </x:c>
      <x:c r="S99" s="16" t="n">
        <x:v>26</x:v>
      </x:c>
      <x:c r="T99" s="14"/>
      <x:c r="U99" s="18" t="n">
        <x:v>603</x:v>
      </x:c>
      <x:c r="V99" s="14" t="str">
        <x:v>Uploaded Pokémon chat JSON / prior card-by-card research</x:v>
      </x:c>
      <x:c r="W99" s="14"/>
    </x:row>
    <x:row r="100">
      <x:c r="A100" s="18" t="n">
        <x:v>146</x:v>
      </x:c>
      <x:c r="B100" s="14" t="str">
        <x:v>Dragon / Dragon Vault</x:v>
      </x:c>
      <x:c r="C100" s="14" t="str">
        <x:v>Dragonair</x:v>
      </x:c>
      <x:c r="D100" s="14" t="str">
        <x:v>4/20</x:v>
      </x:c>
      <x:c r="E100" s="14" t="str">
        <x:v>Dragon Vault</x:v>
      </x:c>
      <x:c r="F100" s="18" t="n">
        <x:v>2012</x:v>
      </x:c>
      <x:c r="G100" s="14" t="str">
        <x:v>Holo</x:v>
      </x:c>
      <x:c r="H100" s="14" t="str">
        <x:v>1 of 5</x:v>
      </x:c>
      <x:c r="I100" s="16" t="n">
        <x:v>14.75</x:v>
      </x:c>
      <x:c r="J100" s="16" t="n">
        <x:v>15</x:v>
      </x:c>
      <x:c r="K100" s="16" t="n">
        <x:v>14.875</x:v>
      </x:c>
      <x:c r="L100" s="14" t="str">
        <x:v>$5–20</x:v>
      </x:c>
      <x:c r="M100" s="14" t="str">
        <x:v>Yes</x:v>
      </x:c>
      <x:c r="N100" s="14" t="str">
        <x:v>Yes</x:v>
      </x:c>
      <x:c r="O100" s="14" t="str">
        <x:v>Yes</x:v>
      </x:c>
      <x:c r="P100" s="14" t="str">
        <x:v>Clean/NM benchmark unless noted</x:v>
      </x:c>
      <x:c r="Q100" s="16" t="n">
        <x:v>14.75</x:v>
      </x:c>
      <x:c r="R100" s="16" t="n">
        <x:v>15</x:v>
      </x:c>
      <x:c r="S100" s="16" t="n">
        <x:v>14.875</x:v>
      </x:c>
      <x:c r="T100" s="14"/>
      <x:c r="U100" s="18" t="n">
        <x:v>609</x:v>
      </x:c>
      <x:c r="V100" s="14" t="str">
        <x:v>Uploaded Pokémon chat JSON / prior card-by-card research</x:v>
      </x:c>
      <x:c r="W100" s="14"/>
    </x:row>
    <x:row r="101">
      <x:c r="A101" s="18" t="n">
        <x:v>147</x:v>
      </x:c>
      <x:c r="B101" s="14" t="str">
        <x:v>Dragon / Dragon Vault</x:v>
      </x:c>
      <x:c r="C101" s="14" t="str">
        <x:v>Dragonair</x:v>
      </x:c>
      <x:c r="D101" s="14" t="str">
        <x:v>4/20</x:v>
      </x:c>
      <x:c r="E101" s="14" t="str">
        <x:v>Dragon Vault</x:v>
      </x:c>
      <x:c r="F101" s="18" t="n">
        <x:v>2012</x:v>
      </x:c>
      <x:c r="G101" s="14" t="str">
        <x:v>Holo</x:v>
      </x:c>
      <x:c r="H101" s="14" t="str">
        <x:v>2 of 5</x:v>
      </x:c>
      <x:c r="I101" s="16" t="n">
        <x:v>14.75</x:v>
      </x:c>
      <x:c r="J101" s="16" t="n">
        <x:v>15</x:v>
      </x:c>
      <x:c r="K101" s="16" t="n">
        <x:v>14.875</x:v>
      </x:c>
      <x:c r="L101" s="14" t="str">
        <x:v>$5–20</x:v>
      </x:c>
      <x:c r="M101" s="14" t="str">
        <x:v>Yes</x:v>
      </x:c>
      <x:c r="N101" s="14" t="str">
        <x:v>Yes</x:v>
      </x:c>
      <x:c r="O101" s="14" t="str">
        <x:v>Yes</x:v>
      </x:c>
      <x:c r="P101" s="14" t="str">
        <x:v>Clean/NM benchmark unless noted</x:v>
      </x:c>
      <x:c r="Q101" s="16" t="n">
        <x:v>14.75</x:v>
      </x:c>
      <x:c r="R101" s="16" t="n">
        <x:v>15</x:v>
      </x:c>
      <x:c r="S101" s="16" t="n">
        <x:v>14.875</x:v>
      </x:c>
      <x:c r="T101" s="14"/>
      <x:c r="U101" s="18" t="n">
        <x:v>609</x:v>
      </x:c>
      <x:c r="V101" s="14" t="str">
        <x:v>Uploaded Pokémon chat JSON / prior card-by-card research</x:v>
      </x:c>
      <x:c r="W101" s="14"/>
    </x:row>
    <x:row r="102">
      <x:c r="A102" s="18" t="n">
        <x:v>148</x:v>
      </x:c>
      <x:c r="B102" s="14" t="str">
        <x:v>Dragon / Dragon Vault</x:v>
      </x:c>
      <x:c r="C102" s="14" t="str">
        <x:v>Dragonair</x:v>
      </x:c>
      <x:c r="D102" s="14" t="str">
        <x:v>4/20</x:v>
      </x:c>
      <x:c r="E102" s="14" t="str">
        <x:v>Dragon Vault</x:v>
      </x:c>
      <x:c r="F102" s="18" t="n">
        <x:v>2012</x:v>
      </x:c>
      <x:c r="G102" s="14" t="str">
        <x:v>Holo</x:v>
      </x:c>
      <x:c r="H102" s="14" t="str">
        <x:v>3 of 5</x:v>
      </x:c>
      <x:c r="I102" s="16" t="n">
        <x:v>14.75</x:v>
      </x:c>
      <x:c r="J102" s="16" t="n">
        <x:v>15</x:v>
      </x:c>
      <x:c r="K102" s="16" t="n">
        <x:v>14.875</x:v>
      </x:c>
      <x:c r="L102" s="14" t="str">
        <x:v>$5–20</x:v>
      </x:c>
      <x:c r="M102" s="14" t="str">
        <x:v>Yes</x:v>
      </x:c>
      <x:c r="N102" s="14" t="str">
        <x:v>Yes</x:v>
      </x:c>
      <x:c r="O102" s="14" t="str">
        <x:v>Yes</x:v>
      </x:c>
      <x:c r="P102" s="14" t="str">
        <x:v>Clean/NM benchmark unless noted</x:v>
      </x:c>
      <x:c r="Q102" s="16" t="n">
        <x:v>14.75</x:v>
      </x:c>
      <x:c r="R102" s="16" t="n">
        <x:v>15</x:v>
      </x:c>
      <x:c r="S102" s="16" t="n">
        <x:v>14.875</x:v>
      </x:c>
      <x:c r="T102" s="14"/>
      <x:c r="U102" s="18" t="n">
        <x:v>609</x:v>
      </x:c>
      <x:c r="V102" s="14" t="str">
        <x:v>Uploaded Pokémon chat JSON / prior card-by-card research</x:v>
      </x:c>
      <x:c r="W102" s="14"/>
    </x:row>
    <x:row r="103">
      <x:c r="A103" s="18" t="n">
        <x:v>149</x:v>
      </x:c>
      <x:c r="B103" s="14" t="str">
        <x:v>Dragon / Dragon Vault</x:v>
      </x:c>
      <x:c r="C103" s="14" t="str">
        <x:v>Dragonair</x:v>
      </x:c>
      <x:c r="D103" s="14" t="str">
        <x:v>4/20</x:v>
      </x:c>
      <x:c r="E103" s="14" t="str">
        <x:v>Dragon Vault</x:v>
      </x:c>
      <x:c r="F103" s="18" t="n">
        <x:v>2012</x:v>
      </x:c>
      <x:c r="G103" s="14" t="str">
        <x:v>Holo</x:v>
      </x:c>
      <x:c r="H103" s="14" t="str">
        <x:v>4 of 5</x:v>
      </x:c>
      <x:c r="I103" s="16" t="n">
        <x:v>14.75</x:v>
      </x:c>
      <x:c r="J103" s="16" t="n">
        <x:v>15</x:v>
      </x:c>
      <x:c r="K103" s="16" t="n">
        <x:v>14.875</x:v>
      </x:c>
      <x:c r="L103" s="14" t="str">
        <x:v>$5–20</x:v>
      </x:c>
      <x:c r="M103" s="14" t="str">
        <x:v>Yes</x:v>
      </x:c>
      <x:c r="N103" s="14" t="str">
        <x:v>Yes</x:v>
      </x:c>
      <x:c r="O103" s="14" t="str">
        <x:v>Yes</x:v>
      </x:c>
      <x:c r="P103" s="14" t="str">
        <x:v>Clean/NM benchmark unless noted</x:v>
      </x:c>
      <x:c r="Q103" s="16" t="n">
        <x:v>14.75</x:v>
      </x:c>
      <x:c r="R103" s="16" t="n">
        <x:v>15</x:v>
      </x:c>
      <x:c r="S103" s="16" t="n">
        <x:v>14.875</x:v>
      </x:c>
      <x:c r="T103" s="14"/>
      <x:c r="U103" s="18" t="n">
        <x:v>609</x:v>
      </x:c>
      <x:c r="V103" s="14" t="str">
        <x:v>Uploaded Pokémon chat JSON / prior card-by-card research</x:v>
      </x:c>
      <x:c r="W103" s="14"/>
    </x:row>
    <x:row r="104">
      <x:c r="A104" s="18" t="n">
        <x:v>150</x:v>
      </x:c>
      <x:c r="B104" s="14" t="str">
        <x:v>Dragon / Dragon Vault</x:v>
      </x:c>
      <x:c r="C104" s="14" t="str">
        <x:v>Dragonair</x:v>
      </x:c>
      <x:c r="D104" s="14" t="str">
        <x:v>4/20</x:v>
      </x:c>
      <x:c r="E104" s="14" t="str">
        <x:v>Dragon Vault</x:v>
      </x:c>
      <x:c r="F104" s="18" t="n">
        <x:v>2012</x:v>
      </x:c>
      <x:c r="G104" s="14" t="str">
        <x:v>Holo</x:v>
      </x:c>
      <x:c r="H104" s="14" t="str">
        <x:v>5 of 5</x:v>
      </x:c>
      <x:c r="I104" s="16" t="n">
        <x:v>14.75</x:v>
      </x:c>
      <x:c r="J104" s="16" t="n">
        <x:v>15</x:v>
      </x:c>
      <x:c r="K104" s="16" t="n">
        <x:v>14.875</x:v>
      </x:c>
      <x:c r="L104" s="14" t="str">
        <x:v>$5–20</x:v>
      </x:c>
      <x:c r="M104" s="14" t="str">
        <x:v>Yes</x:v>
      </x:c>
      <x:c r="N104" s="14" t="str">
        <x:v>Yes</x:v>
      </x:c>
      <x:c r="O104" s="14" t="str">
        <x:v>Yes</x:v>
      </x:c>
      <x:c r="P104" s="14" t="str">
        <x:v>Clean/NM benchmark unless noted</x:v>
      </x:c>
      <x:c r="Q104" s="16" t="n">
        <x:v>14.75</x:v>
      </x:c>
      <x:c r="R104" s="16" t="n">
        <x:v>15</x:v>
      </x:c>
      <x:c r="S104" s="16" t="n">
        <x:v>14.875</x:v>
      </x:c>
      <x:c r="T104" s="14"/>
      <x:c r="U104" s="18" t="n">
        <x:v>609</x:v>
      </x:c>
      <x:c r="V104" s="14" t="str">
        <x:v>Uploaded Pokémon chat JSON / prior card-by-card research</x:v>
      </x:c>
      <x:c r="W104" s="14"/>
    </x:row>
    <x:row r="105">
      <x:c r="A105" s="18" t="n">
        <x:v>151</x:v>
      </x:c>
      <x:c r="B105" s="14" t="str">
        <x:v>Dragon / Dragon Vault</x:v>
      </x:c>
      <x:c r="C105" s="14" t="str">
        <x:v>Dragonair</x:v>
      </x:c>
      <x:c r="D105" s="14" t="str">
        <x:v>3/20</x:v>
      </x:c>
      <x:c r="E105" s="14" t="str">
        <x:v>Dragon Vault</x:v>
      </x:c>
      <x:c r="F105" s="18" t="n">
        <x:v>2012</x:v>
      </x:c>
      <x:c r="G105" s="14" t="str">
        <x:v>Holo</x:v>
      </x:c>
      <x:c r="H105" s="14" t="str">
        <x:v>1 of 4</x:v>
      </x:c>
      <x:c r="I105" s="16" t="n">
        <x:v>5</x:v>
      </x:c>
      <x:c r="J105" s="16" t="n">
        <x:v>6</x:v>
      </x:c>
      <x:c r="K105" s="16" t="n">
        <x:v>5.5</x:v>
      </x:c>
      <x:c r="L105" s="14" t="str">
        <x:v>$5–20</x:v>
      </x:c>
      <x:c r="M105" s="14" t="str">
        <x:v>Yes</x:v>
      </x:c>
      <x:c r="N105" s="14" t="str">
        <x:v>No</x:v>
      </x:c>
      <x:c r="O105" s="14" t="str">
        <x:v>Yes</x:v>
      </x:c>
      <x:c r="P105" s="14" t="str">
        <x:v>Clean/NM benchmark unless noted</x:v>
      </x:c>
      <x:c r="Q105" s="16" t="n">
        <x:v>5</x:v>
      </x:c>
      <x:c r="R105" s="16" t="n">
        <x:v>6</x:v>
      </x:c>
      <x:c r="S105" s="16" t="n">
        <x:v>5.5</x:v>
      </x:c>
      <x:c r="T105" s="14"/>
      <x:c r="U105" s="18" t="n">
        <x:v>633</x:v>
      </x:c>
      <x:c r="V105" s="14" t="str">
        <x:v>Uploaded Pokémon chat JSON / prior card-by-card research</x:v>
      </x:c>
      <x:c r="W105" s="14"/>
    </x:row>
    <x:row r="106">
      <x:c r="A106" s="18" t="n">
        <x:v>152</x:v>
      </x:c>
      <x:c r="B106" s="14" t="str">
        <x:v>Dragon / Dragon Vault</x:v>
      </x:c>
      <x:c r="C106" s="14" t="str">
        <x:v>Dragonair</x:v>
      </x:c>
      <x:c r="D106" s="14" t="str">
        <x:v>3/20</x:v>
      </x:c>
      <x:c r="E106" s="14" t="str">
        <x:v>Dragon Vault</x:v>
      </x:c>
      <x:c r="F106" s="18" t="n">
        <x:v>2012</x:v>
      </x:c>
      <x:c r="G106" s="14" t="str">
        <x:v>Holo</x:v>
      </x:c>
      <x:c r="H106" s="14" t="str">
        <x:v>2 of 4</x:v>
      </x:c>
      <x:c r="I106" s="16" t="n">
        <x:v>5</x:v>
      </x:c>
      <x:c r="J106" s="16" t="n">
        <x:v>6</x:v>
      </x:c>
      <x:c r="K106" s="16" t="n">
        <x:v>5.5</x:v>
      </x:c>
      <x:c r="L106" s="14" t="str">
        <x:v>$5–20</x:v>
      </x:c>
      <x:c r="M106" s="14" t="str">
        <x:v>Yes</x:v>
      </x:c>
      <x:c r="N106" s="14" t="str">
        <x:v>No</x:v>
      </x:c>
      <x:c r="O106" s="14" t="str">
        <x:v>Yes</x:v>
      </x:c>
      <x:c r="P106" s="14" t="str">
        <x:v>Clean/NM benchmark unless noted</x:v>
      </x:c>
      <x:c r="Q106" s="16" t="n">
        <x:v>5</x:v>
      </x:c>
      <x:c r="R106" s="16" t="n">
        <x:v>6</x:v>
      </x:c>
      <x:c r="S106" s="16" t="n">
        <x:v>5.5</x:v>
      </x:c>
      <x:c r="T106" s="14"/>
      <x:c r="U106" s="18" t="n">
        <x:v>633</x:v>
      </x:c>
      <x:c r="V106" s="14" t="str">
        <x:v>Uploaded Pokémon chat JSON / prior card-by-card research</x:v>
      </x:c>
      <x:c r="W106" s="14"/>
    </x:row>
    <x:row r="107">
      <x:c r="A107" s="18" t="n">
        <x:v>153</x:v>
      </x:c>
      <x:c r="B107" s="14" t="str">
        <x:v>Dragon / Dragon Vault</x:v>
      </x:c>
      <x:c r="C107" s="14" t="str">
        <x:v>Dragonair</x:v>
      </x:c>
      <x:c r="D107" s="14" t="str">
        <x:v>3/20</x:v>
      </x:c>
      <x:c r="E107" s="14" t="str">
        <x:v>Dragon Vault</x:v>
      </x:c>
      <x:c r="F107" s="18" t="n">
        <x:v>2012</x:v>
      </x:c>
      <x:c r="G107" s="14" t="str">
        <x:v>Holo</x:v>
      </x:c>
      <x:c r="H107" s="14" t="str">
        <x:v>3 of 4</x:v>
      </x:c>
      <x:c r="I107" s="16" t="n">
        <x:v>5</x:v>
      </x:c>
      <x:c r="J107" s="16" t="n">
        <x:v>6</x:v>
      </x:c>
      <x:c r="K107" s="16" t="n">
        <x:v>5.5</x:v>
      </x:c>
      <x:c r="L107" s="14" t="str">
        <x:v>$5–20</x:v>
      </x:c>
      <x:c r="M107" s="14" t="str">
        <x:v>Yes</x:v>
      </x:c>
      <x:c r="N107" s="14" t="str">
        <x:v>No</x:v>
      </x:c>
      <x:c r="O107" s="14" t="str">
        <x:v>Yes</x:v>
      </x:c>
      <x:c r="P107" s="14" t="str">
        <x:v>Clean/NM benchmark unless noted</x:v>
      </x:c>
      <x:c r="Q107" s="16" t="n">
        <x:v>5</x:v>
      </x:c>
      <x:c r="R107" s="16" t="n">
        <x:v>6</x:v>
      </x:c>
      <x:c r="S107" s="16" t="n">
        <x:v>5.5</x:v>
      </x:c>
      <x:c r="T107" s="14"/>
      <x:c r="U107" s="18" t="n">
        <x:v>633</x:v>
      </x:c>
      <x:c r="V107" s="14" t="str">
        <x:v>Uploaded Pokémon chat JSON / prior card-by-card research</x:v>
      </x:c>
      <x:c r="W107" s="14"/>
    </x:row>
    <x:row r="108">
      <x:c r="A108" s="18" t="n">
        <x:v>154</x:v>
      </x:c>
      <x:c r="B108" s="14" t="str">
        <x:v>Dragon / Dragon Vault</x:v>
      </x:c>
      <x:c r="C108" s="14" t="str">
        <x:v>Dragonair</x:v>
      </x:c>
      <x:c r="D108" s="14" t="str">
        <x:v>3/20</x:v>
      </x:c>
      <x:c r="E108" s="14" t="str">
        <x:v>Dragon Vault</x:v>
      </x:c>
      <x:c r="F108" s="18" t="n">
        <x:v>2012</x:v>
      </x:c>
      <x:c r="G108" s="14" t="str">
        <x:v>Holo</x:v>
      </x:c>
      <x:c r="H108" s="14" t="str">
        <x:v>4 of 4</x:v>
      </x:c>
      <x:c r="I108" s="16" t="n">
        <x:v>5</x:v>
      </x:c>
      <x:c r="J108" s="16" t="n">
        <x:v>6</x:v>
      </x:c>
      <x:c r="K108" s="16" t="n">
        <x:v>5.5</x:v>
      </x:c>
      <x:c r="L108" s="14" t="str">
        <x:v>$5–20</x:v>
      </x:c>
      <x:c r="M108" s="14" t="str">
        <x:v>Yes</x:v>
      </x:c>
      <x:c r="N108" s="14" t="str">
        <x:v>No</x:v>
      </x:c>
      <x:c r="O108" s="14" t="str">
        <x:v>Yes</x:v>
      </x:c>
      <x:c r="P108" s="14" t="str">
        <x:v>Clean/NM benchmark unless noted</x:v>
      </x:c>
      <x:c r="Q108" s="16" t="n">
        <x:v>5</x:v>
      </x:c>
      <x:c r="R108" s="16" t="n">
        <x:v>6</x:v>
      </x:c>
      <x:c r="S108" s="16" t="n">
        <x:v>5.5</x:v>
      </x:c>
      <x:c r="T108" s="14"/>
      <x:c r="U108" s="18" t="n">
        <x:v>633</x:v>
      </x:c>
      <x:c r="V108" s="14" t="str">
        <x:v>Uploaded Pokémon chat JSON / prior card-by-card research</x:v>
      </x:c>
      <x:c r="W108" s="14"/>
    </x:row>
    <x:row r="109">
      <x:c r="A109" s="18" t="n">
        <x:v>155</x:v>
      </x:c>
      <x:c r="B109" s="14" t="str">
        <x:v>Dragon / Dragon Vault</x:v>
      </x:c>
      <x:c r="C109" s="14" t="str">
        <x:v>Bagon</x:v>
      </x:c>
      <x:c r="D109" s="14" t="str">
        <x:v>6/20</x:v>
      </x:c>
      <x:c r="E109" s="14" t="str">
        <x:v>Dragon Vault</x:v>
      </x:c>
      <x:c r="F109" s="18" t="n">
        <x:v>2012</x:v>
      </x:c>
      <x:c r="G109" s="14" t="str">
        <x:v>Holo</x:v>
      </x:c>
      <x:c r="H109" s="14" t="str">
        <x:v>1 of 6</x:v>
      </x:c>
      <x:c r="I109" s="16" t="n">
        <x:v>2.15</x:v>
      </x:c>
      <x:c r="J109" s="16" t="n">
        <x:v>2.15</x:v>
      </x:c>
      <x:c r="K109" s="16" t="n">
        <x:v>2.15</x:v>
      </x:c>
      <x:c r="L109" s="14" t="str">
        <x:v>$1–5</x:v>
      </x:c>
      <x:c r="M109" s="14" t="str">
        <x:v>Yes</x:v>
      </x:c>
      <x:c r="N109" s="14" t="str">
        <x:v>No</x:v>
      </x:c>
      <x:c r="O109" s="14" t="str">
        <x:v>Yes</x:v>
      </x:c>
      <x:c r="P109" s="14" t="str">
        <x:v>Clean/NM benchmark unless noted</x:v>
      </x:c>
      <x:c r="Q109" s="16" t="n">
        <x:v>2.15</x:v>
      </x:c>
      <x:c r="R109" s="16" t="n">
        <x:v>2.15</x:v>
      </x:c>
      <x:c r="S109" s="16" t="n">
        <x:v>2.15</x:v>
      </x:c>
      <x:c r="T109" s="14"/>
      <x:c r="U109" s="18" t="n">
        <x:v>621</x:v>
      </x:c>
      <x:c r="V109" s="14" t="str">
        <x:v>Uploaded Pokémon chat JSON / prior card-by-card research</x:v>
      </x:c>
      <x:c r="W109" s="14"/>
    </x:row>
    <x:row r="110">
      <x:c r="A110" s="18" t="n">
        <x:v>156</x:v>
      </x:c>
      <x:c r="B110" s="14" t="str">
        <x:v>Dragon / Dragon Vault</x:v>
      </x:c>
      <x:c r="C110" s="14" t="str">
        <x:v>Bagon</x:v>
      </x:c>
      <x:c r="D110" s="14" t="str">
        <x:v>6/20</x:v>
      </x:c>
      <x:c r="E110" s="14" t="str">
        <x:v>Dragon Vault</x:v>
      </x:c>
      <x:c r="F110" s="18" t="n">
        <x:v>2012</x:v>
      </x:c>
      <x:c r="G110" s="14" t="str">
        <x:v>Holo</x:v>
      </x:c>
      <x:c r="H110" s="14" t="str">
        <x:v>2 of 6</x:v>
      </x:c>
      <x:c r="I110" s="16" t="n">
        <x:v>2.15</x:v>
      </x:c>
      <x:c r="J110" s="16" t="n">
        <x:v>2.15</x:v>
      </x:c>
      <x:c r="K110" s="16" t="n">
        <x:v>2.15</x:v>
      </x:c>
      <x:c r="L110" s="14" t="str">
        <x:v>$1–5</x:v>
      </x:c>
      <x:c r="M110" s="14" t="str">
        <x:v>Yes</x:v>
      </x:c>
      <x:c r="N110" s="14" t="str">
        <x:v>No</x:v>
      </x:c>
      <x:c r="O110" s="14" t="str">
        <x:v>Yes</x:v>
      </x:c>
      <x:c r="P110" s="14" t="str">
        <x:v>Clean/NM benchmark unless noted</x:v>
      </x:c>
      <x:c r="Q110" s="16" t="n">
        <x:v>2.15</x:v>
      </x:c>
      <x:c r="R110" s="16" t="n">
        <x:v>2.15</x:v>
      </x:c>
      <x:c r="S110" s="16" t="n">
        <x:v>2.15</x:v>
      </x:c>
      <x:c r="T110" s="14"/>
      <x:c r="U110" s="18" t="n">
        <x:v>621</x:v>
      </x:c>
      <x:c r="V110" s="14" t="str">
        <x:v>Uploaded Pokémon chat JSON / prior card-by-card research</x:v>
      </x:c>
      <x:c r="W110" s="14"/>
    </x:row>
    <x:row r="111">
      <x:c r="A111" s="18" t="n">
        <x:v>157</x:v>
      </x:c>
      <x:c r="B111" s="14" t="str">
        <x:v>Dragon / Dragon Vault</x:v>
      </x:c>
      <x:c r="C111" s="14" t="str">
        <x:v>Bagon</x:v>
      </x:c>
      <x:c r="D111" s="14" t="str">
        <x:v>6/20</x:v>
      </x:c>
      <x:c r="E111" s="14" t="str">
        <x:v>Dragon Vault</x:v>
      </x:c>
      <x:c r="F111" s="18" t="n">
        <x:v>2012</x:v>
      </x:c>
      <x:c r="G111" s="14" t="str">
        <x:v>Holo</x:v>
      </x:c>
      <x:c r="H111" s="14" t="str">
        <x:v>3 of 6</x:v>
      </x:c>
      <x:c r="I111" s="16" t="n">
        <x:v>2.15</x:v>
      </x:c>
      <x:c r="J111" s="16" t="n">
        <x:v>2.15</x:v>
      </x:c>
      <x:c r="K111" s="16" t="n">
        <x:v>2.15</x:v>
      </x:c>
      <x:c r="L111" s="14" t="str">
        <x:v>$1–5</x:v>
      </x:c>
      <x:c r="M111" s="14" t="str">
        <x:v>Yes</x:v>
      </x:c>
      <x:c r="N111" s="14" t="str">
        <x:v>No</x:v>
      </x:c>
      <x:c r="O111" s="14" t="str">
        <x:v>Yes</x:v>
      </x:c>
      <x:c r="P111" s="14" t="str">
        <x:v>Clean/NM benchmark unless noted</x:v>
      </x:c>
      <x:c r="Q111" s="16" t="n">
        <x:v>2.15</x:v>
      </x:c>
      <x:c r="R111" s="16" t="n">
        <x:v>2.15</x:v>
      </x:c>
      <x:c r="S111" s="16" t="n">
        <x:v>2.15</x:v>
      </x:c>
      <x:c r="T111" s="14"/>
      <x:c r="U111" s="18" t="n">
        <x:v>621</x:v>
      </x:c>
      <x:c r="V111" s="14" t="str">
        <x:v>Uploaded Pokémon chat JSON / prior card-by-card research</x:v>
      </x:c>
      <x:c r="W111" s="14"/>
    </x:row>
    <x:row r="112">
      <x:c r="A112" s="18" t="n">
        <x:v>158</x:v>
      </x:c>
      <x:c r="B112" s="14" t="str">
        <x:v>Dragon / Dragon Vault</x:v>
      </x:c>
      <x:c r="C112" s="14" t="str">
        <x:v>Bagon</x:v>
      </x:c>
      <x:c r="D112" s="14" t="str">
        <x:v>6/20</x:v>
      </x:c>
      <x:c r="E112" s="14" t="str">
        <x:v>Dragon Vault</x:v>
      </x:c>
      <x:c r="F112" s="18" t="n">
        <x:v>2012</x:v>
      </x:c>
      <x:c r="G112" s="14" t="str">
        <x:v>Holo</x:v>
      </x:c>
      <x:c r="H112" s="14" t="str">
        <x:v>4 of 6</x:v>
      </x:c>
      <x:c r="I112" s="16" t="n">
        <x:v>2.15</x:v>
      </x:c>
      <x:c r="J112" s="16" t="n">
        <x:v>2.15</x:v>
      </x:c>
      <x:c r="K112" s="16" t="n">
        <x:v>2.15</x:v>
      </x:c>
      <x:c r="L112" s="14" t="str">
        <x:v>$1–5</x:v>
      </x:c>
      <x:c r="M112" s="14" t="str">
        <x:v>Yes</x:v>
      </x:c>
      <x:c r="N112" s="14" t="str">
        <x:v>No</x:v>
      </x:c>
      <x:c r="O112" s="14" t="str">
        <x:v>Yes</x:v>
      </x:c>
      <x:c r="P112" s="14" t="str">
        <x:v>Clean/NM benchmark unless noted</x:v>
      </x:c>
      <x:c r="Q112" s="16" t="n">
        <x:v>2.15</x:v>
      </x:c>
      <x:c r="R112" s="16" t="n">
        <x:v>2.15</x:v>
      </x:c>
      <x:c r="S112" s="16" t="n">
        <x:v>2.15</x:v>
      </x:c>
      <x:c r="T112" s="14"/>
      <x:c r="U112" s="18" t="n">
        <x:v>621</x:v>
      </x:c>
      <x:c r="V112" s="14" t="str">
        <x:v>Uploaded Pokémon chat JSON / prior card-by-card research</x:v>
      </x:c>
      <x:c r="W112" s="14"/>
    </x:row>
    <x:row r="113">
      <x:c r="A113" s="18" t="n">
        <x:v>159</x:v>
      </x:c>
      <x:c r="B113" s="14" t="str">
        <x:v>Dragon / Dragon Vault</x:v>
      </x:c>
      <x:c r="C113" s="14" t="str">
        <x:v>Bagon</x:v>
      </x:c>
      <x:c r="D113" s="14" t="str">
        <x:v>6/20</x:v>
      </x:c>
      <x:c r="E113" s="14" t="str">
        <x:v>Dragon Vault</x:v>
      </x:c>
      <x:c r="F113" s="18" t="n">
        <x:v>2012</x:v>
      </x:c>
      <x:c r="G113" s="14" t="str">
        <x:v>Holo</x:v>
      </x:c>
      <x:c r="H113" s="14" t="str">
        <x:v>5 of 6</x:v>
      </x:c>
      <x:c r="I113" s="16" t="n">
        <x:v>2.15</x:v>
      </x:c>
      <x:c r="J113" s="16" t="n">
        <x:v>2.15</x:v>
      </x:c>
      <x:c r="K113" s="16" t="n">
        <x:v>2.15</x:v>
      </x:c>
      <x:c r="L113" s="14" t="str">
        <x:v>$1–5</x:v>
      </x:c>
      <x:c r="M113" s="14" t="str">
        <x:v>Yes</x:v>
      </x:c>
      <x:c r="N113" s="14" t="str">
        <x:v>No</x:v>
      </x:c>
      <x:c r="O113" s="14" t="str">
        <x:v>Yes</x:v>
      </x:c>
      <x:c r="P113" s="14" t="str">
        <x:v>Clean/NM benchmark unless noted</x:v>
      </x:c>
      <x:c r="Q113" s="16" t="n">
        <x:v>2.15</x:v>
      </x:c>
      <x:c r="R113" s="16" t="n">
        <x:v>2.15</x:v>
      </x:c>
      <x:c r="S113" s="16" t="n">
        <x:v>2.15</x:v>
      </x:c>
      <x:c r="T113" s="14"/>
      <x:c r="U113" s="18" t="n">
        <x:v>621</x:v>
      </x:c>
      <x:c r="V113" s="14" t="str">
        <x:v>Uploaded Pokémon chat JSON / prior card-by-card research</x:v>
      </x:c>
      <x:c r="W113" s="14"/>
    </x:row>
    <x:row r="114">
      <x:c r="A114" s="18" t="n">
        <x:v>160</x:v>
      </x:c>
      <x:c r="B114" s="14" t="str">
        <x:v>Dragon / Dragon Vault</x:v>
      </x:c>
      <x:c r="C114" s="14" t="str">
        <x:v>Bagon</x:v>
      </x:c>
      <x:c r="D114" s="14" t="str">
        <x:v>6/20</x:v>
      </x:c>
      <x:c r="E114" s="14" t="str">
        <x:v>Dragon Vault</x:v>
      </x:c>
      <x:c r="F114" s="18" t="n">
        <x:v>2012</x:v>
      </x:c>
      <x:c r="G114" s="14" t="str">
        <x:v>Holo</x:v>
      </x:c>
      <x:c r="H114" s="14" t="str">
        <x:v>6 of 6</x:v>
      </x:c>
      <x:c r="I114" s="16" t="n">
        <x:v>2.15</x:v>
      </x:c>
      <x:c r="J114" s="16" t="n">
        <x:v>2.15</x:v>
      </x:c>
      <x:c r="K114" s="16" t="n">
        <x:v>2.15</x:v>
      </x:c>
      <x:c r="L114" s="14" t="str">
        <x:v>$1–5</x:v>
      </x:c>
      <x:c r="M114" s="14" t="str">
        <x:v>Yes</x:v>
      </x:c>
      <x:c r="N114" s="14" t="str">
        <x:v>No</x:v>
      </x:c>
      <x:c r="O114" s="14" t="str">
        <x:v>Yes</x:v>
      </x:c>
      <x:c r="P114" s="14" t="str">
        <x:v>Clean/NM benchmark unless noted</x:v>
      </x:c>
      <x:c r="Q114" s="16" t="n">
        <x:v>2.15</x:v>
      </x:c>
      <x:c r="R114" s="16" t="n">
        <x:v>2.15</x:v>
      </x:c>
      <x:c r="S114" s="16" t="n">
        <x:v>2.15</x:v>
      </x:c>
      <x:c r="T114" s="14"/>
      <x:c r="U114" s="18" t="n">
        <x:v>621</x:v>
      </x:c>
      <x:c r="V114" s="14" t="str">
        <x:v>Uploaded Pokémon chat JSON / prior card-by-card research</x:v>
      </x:c>
      <x:c r="W114" s="14"/>
    </x:row>
    <x:row r="115">
      <x:c r="A115" s="18" t="n">
        <x:v>161</x:v>
      </x:c>
      <x:c r="B115" s="14" t="str">
        <x:v>Dragon / Dragon Vault</x:v>
      </x:c>
      <x:c r="C115" s="14" t="str">
        <x:v>Shelgon</x:v>
      </x:c>
      <x:c r="D115" s="14" t="str">
        <x:v>7/20</x:v>
      </x:c>
      <x:c r="E115" s="14" t="str">
        <x:v>Dragon Vault</x:v>
      </x:c>
      <x:c r="F115" s="18" t="n">
        <x:v>2012</x:v>
      </x:c>
      <x:c r="G115" s="14" t="str">
        <x:v>Holo</x:v>
      </x:c>
      <x:c r="H115" s="14" t="str">
        <x:v>1 of 3</x:v>
      </x:c>
      <x:c r="I115" s="16" t="n">
        <x:v>1.8</x:v>
      </x:c>
      <x:c r="J115" s="16" t="n">
        <x:v>1.81</x:v>
      </x:c>
      <x:c r="K115" s="16" t="n">
        <x:v>1.8050000000000002</x:v>
      </x:c>
      <x:c r="L115" s="14" t="str">
        <x:v>$1–5</x:v>
      </x:c>
      <x:c r="M115" s="14" t="str">
        <x:v>Yes</x:v>
      </x:c>
      <x:c r="N115" s="14" t="str">
        <x:v>No</x:v>
      </x:c>
      <x:c r="O115" s="14" t="str">
        <x:v>Yes</x:v>
      </x:c>
      <x:c r="P115" s="14" t="str">
        <x:v>Clean/NM benchmark unless noted</x:v>
      </x:c>
      <x:c r="Q115" s="16" t="n">
        <x:v>1.8</x:v>
      </x:c>
      <x:c r="R115" s="16" t="n">
        <x:v>1.81</x:v>
      </x:c>
      <x:c r="S115" s="16" t="n">
        <x:v>1.8050000000000002</x:v>
      </x:c>
      <x:c r="T115" s="14"/>
      <x:c r="U115" s="18" t="n">
        <x:v>627</x:v>
      </x:c>
      <x:c r="V115" s="14" t="str">
        <x:v>Uploaded Pokémon chat JSON / prior card-by-card research</x:v>
      </x:c>
      <x:c r="W115" s="14"/>
    </x:row>
    <x:row r="116">
      <x:c r="A116" s="18" t="n">
        <x:v>162</x:v>
      </x:c>
      <x:c r="B116" s="14" t="str">
        <x:v>Dragon / Dragon Vault</x:v>
      </x:c>
      <x:c r="C116" s="14" t="str">
        <x:v>Shelgon</x:v>
      </x:c>
      <x:c r="D116" s="14" t="str">
        <x:v>7/20</x:v>
      </x:c>
      <x:c r="E116" s="14" t="str">
        <x:v>Dragon Vault</x:v>
      </x:c>
      <x:c r="F116" s="18" t="n">
        <x:v>2012</x:v>
      </x:c>
      <x:c r="G116" s="14" t="str">
        <x:v>Holo</x:v>
      </x:c>
      <x:c r="H116" s="14" t="str">
        <x:v>2 of 3</x:v>
      </x:c>
      <x:c r="I116" s="16" t="n">
        <x:v>1.8</x:v>
      </x:c>
      <x:c r="J116" s="16" t="n">
        <x:v>1.81</x:v>
      </x:c>
      <x:c r="K116" s="16" t="n">
        <x:v>1.8050000000000002</x:v>
      </x:c>
      <x:c r="L116" s="14" t="str">
        <x:v>$1–5</x:v>
      </x:c>
      <x:c r="M116" s="14" t="str">
        <x:v>Yes</x:v>
      </x:c>
      <x:c r="N116" s="14" t="str">
        <x:v>No</x:v>
      </x:c>
      <x:c r="O116" s="14" t="str">
        <x:v>Yes</x:v>
      </x:c>
      <x:c r="P116" s="14" t="str">
        <x:v>Clean/NM benchmark unless noted</x:v>
      </x:c>
      <x:c r="Q116" s="16" t="n">
        <x:v>1.8</x:v>
      </x:c>
      <x:c r="R116" s="16" t="n">
        <x:v>1.81</x:v>
      </x:c>
      <x:c r="S116" s="16" t="n">
        <x:v>1.8050000000000002</x:v>
      </x:c>
      <x:c r="T116" s="14"/>
      <x:c r="U116" s="18" t="n">
        <x:v>627</x:v>
      </x:c>
      <x:c r="V116" s="14" t="str">
        <x:v>Uploaded Pokémon chat JSON / prior card-by-card research</x:v>
      </x:c>
      <x:c r="W116" s="14"/>
    </x:row>
    <x:row r="117">
      <x:c r="A117" s="18" t="n">
        <x:v>163</x:v>
      </x:c>
      <x:c r="B117" s="14" t="str">
        <x:v>Dragon / Dragon Vault</x:v>
      </x:c>
      <x:c r="C117" s="14" t="str">
        <x:v>Shelgon</x:v>
      </x:c>
      <x:c r="D117" s="14" t="str">
        <x:v>7/20</x:v>
      </x:c>
      <x:c r="E117" s="14" t="str">
        <x:v>Dragon Vault</x:v>
      </x:c>
      <x:c r="F117" s="18" t="n">
        <x:v>2012</x:v>
      </x:c>
      <x:c r="G117" s="14" t="str">
        <x:v>Holo</x:v>
      </x:c>
      <x:c r="H117" s="14" t="str">
        <x:v>3 of 3</x:v>
      </x:c>
      <x:c r="I117" s="16" t="n">
        <x:v>1.8</x:v>
      </x:c>
      <x:c r="J117" s="16" t="n">
        <x:v>1.81</x:v>
      </x:c>
      <x:c r="K117" s="16" t="n">
        <x:v>1.8050000000000002</x:v>
      </x:c>
      <x:c r="L117" s="14" t="str">
        <x:v>$1–5</x:v>
      </x:c>
      <x:c r="M117" s="14" t="str">
        <x:v>Yes</x:v>
      </x:c>
      <x:c r="N117" s="14" t="str">
        <x:v>No</x:v>
      </x:c>
      <x:c r="O117" s="14" t="str">
        <x:v>Yes</x:v>
      </x:c>
      <x:c r="P117" s="14" t="str">
        <x:v>Clean/NM benchmark unless noted</x:v>
      </x:c>
      <x:c r="Q117" s="16" t="n">
        <x:v>1.8</x:v>
      </x:c>
      <x:c r="R117" s="16" t="n">
        <x:v>1.81</x:v>
      </x:c>
      <x:c r="S117" s="16" t="n">
        <x:v>1.8050000000000002</x:v>
      </x:c>
      <x:c r="T117" s="14"/>
      <x:c r="U117" s="18" t="n">
        <x:v>627</x:v>
      </x:c>
      <x:c r="V117" s="14" t="str">
        <x:v>Uploaded Pokémon chat JSON / prior card-by-card research</x:v>
      </x:c>
      <x:c r="W117" s="14"/>
    </x:row>
    <x:row r="118">
      <x:c r="A118" s="18" t="n">
        <x:v>164</x:v>
      </x:c>
      <x:c r="B118" s="14" t="str">
        <x:v>Dragon / Dragon Vault</x:v>
      </x:c>
      <x:c r="C118" s="14" t="str">
        <x:v>Dratini</x:v>
      </x:c>
      <x:c r="D118" s="14" t="str">
        <x:v>2/20</x:v>
      </x:c>
      <x:c r="E118" s="14" t="str">
        <x:v>Dragon Vault</x:v>
      </x:c>
      <x:c r="F118" s="18" t="n">
        <x:v>2012</x:v>
      </x:c>
      <x:c r="G118" s="14" t="str">
        <x:v>Holo</x:v>
      </x:c>
      <x:c r="H118" s="14" t="str">
        <x:v>1 of 6</x:v>
      </x:c>
      <x:c r="I118" s="16" t="n">
        <x:v>14</x:v>
      </x:c>
      <x:c r="J118" s="16" t="n">
        <x:v>15</x:v>
      </x:c>
      <x:c r="K118" s="16" t="n">
        <x:v>14.5</x:v>
      </x:c>
      <x:c r="L118" s="14" t="str">
        <x:v>$5–20</x:v>
      </x:c>
      <x:c r="M118" s="14" t="str">
        <x:v>Yes</x:v>
      </x:c>
      <x:c r="N118" s="14" t="str">
        <x:v>Yes</x:v>
      </x:c>
      <x:c r="O118" s="14" t="str">
        <x:v>Yes</x:v>
      </x:c>
      <x:c r="P118" s="14" t="str">
        <x:v>Clean/NM benchmark unless noted</x:v>
      </x:c>
      <x:c r="Q118" s="16" t="n">
        <x:v>14</x:v>
      </x:c>
      <x:c r="R118" s="16" t="n">
        <x:v>15</x:v>
      </x:c>
      <x:c r="S118" s="16" t="n">
        <x:v>14.5</x:v>
      </x:c>
      <x:c r="T118" s="14"/>
      <x:c r="U118" s="18" t="n">
        <x:v>640</x:v>
      </x:c>
      <x:c r="V118" s="14" t="str">
        <x:v>Uploaded Pokémon chat JSON / prior card-by-card research</x:v>
      </x:c>
      <x:c r="W118" s="14"/>
    </x:row>
    <x:row r="119">
      <x:c r="A119" s="18" t="n">
        <x:v>165</x:v>
      </x:c>
      <x:c r="B119" s="14" t="str">
        <x:v>Dragon / Dragon Vault</x:v>
      </x:c>
      <x:c r="C119" s="14" t="str">
        <x:v>Dratini</x:v>
      </x:c>
      <x:c r="D119" s="14" t="str">
        <x:v>2/20</x:v>
      </x:c>
      <x:c r="E119" s="14" t="str">
        <x:v>Dragon Vault</x:v>
      </x:c>
      <x:c r="F119" s="18" t="n">
        <x:v>2012</x:v>
      </x:c>
      <x:c r="G119" s="14" t="str">
        <x:v>Holo</x:v>
      </x:c>
      <x:c r="H119" s="14" t="str">
        <x:v>2 of 6</x:v>
      </x:c>
      <x:c r="I119" s="16" t="n">
        <x:v>14</x:v>
      </x:c>
      <x:c r="J119" s="16" t="n">
        <x:v>15</x:v>
      </x:c>
      <x:c r="K119" s="16" t="n">
        <x:v>14.5</x:v>
      </x:c>
      <x:c r="L119" s="14" t="str">
        <x:v>$5–20</x:v>
      </x:c>
      <x:c r="M119" s="14" t="str">
        <x:v>Yes</x:v>
      </x:c>
      <x:c r="N119" s="14" t="str">
        <x:v>Yes</x:v>
      </x:c>
      <x:c r="O119" s="14" t="str">
        <x:v>Yes</x:v>
      </x:c>
      <x:c r="P119" s="14" t="str">
        <x:v>Clean/NM benchmark unless noted</x:v>
      </x:c>
      <x:c r="Q119" s="16" t="n">
        <x:v>14</x:v>
      </x:c>
      <x:c r="R119" s="16" t="n">
        <x:v>15</x:v>
      </x:c>
      <x:c r="S119" s="16" t="n">
        <x:v>14.5</x:v>
      </x:c>
      <x:c r="T119" s="14"/>
      <x:c r="U119" s="18" t="n">
        <x:v>640</x:v>
      </x:c>
      <x:c r="V119" s="14" t="str">
        <x:v>Uploaded Pokémon chat JSON / prior card-by-card research</x:v>
      </x:c>
      <x:c r="W119" s="14"/>
    </x:row>
    <x:row r="120">
      <x:c r="A120" s="18" t="n">
        <x:v>166</x:v>
      </x:c>
      <x:c r="B120" s="14" t="str">
        <x:v>Dragon / Dragon Vault</x:v>
      </x:c>
      <x:c r="C120" s="14" t="str">
        <x:v>Dratini</x:v>
      </x:c>
      <x:c r="D120" s="14" t="str">
        <x:v>2/20</x:v>
      </x:c>
      <x:c r="E120" s="14" t="str">
        <x:v>Dragon Vault</x:v>
      </x:c>
      <x:c r="F120" s="18" t="n">
        <x:v>2012</x:v>
      </x:c>
      <x:c r="G120" s="14" t="str">
        <x:v>Holo</x:v>
      </x:c>
      <x:c r="H120" s="14" t="str">
        <x:v>3 of 6</x:v>
      </x:c>
      <x:c r="I120" s="16" t="n">
        <x:v>14</x:v>
      </x:c>
      <x:c r="J120" s="16" t="n">
        <x:v>15</x:v>
      </x:c>
      <x:c r="K120" s="16" t="n">
        <x:v>14.5</x:v>
      </x:c>
      <x:c r="L120" s="14" t="str">
        <x:v>$5–20</x:v>
      </x:c>
      <x:c r="M120" s="14" t="str">
        <x:v>Yes</x:v>
      </x:c>
      <x:c r="N120" s="14" t="str">
        <x:v>Yes</x:v>
      </x:c>
      <x:c r="O120" s="14" t="str">
        <x:v>Yes</x:v>
      </x:c>
      <x:c r="P120" s="14" t="str">
        <x:v>Clean/NM benchmark unless noted</x:v>
      </x:c>
      <x:c r="Q120" s="16" t="n">
        <x:v>14</x:v>
      </x:c>
      <x:c r="R120" s="16" t="n">
        <x:v>15</x:v>
      </x:c>
      <x:c r="S120" s="16" t="n">
        <x:v>14.5</x:v>
      </x:c>
      <x:c r="T120" s="14"/>
      <x:c r="U120" s="18" t="n">
        <x:v>640</x:v>
      </x:c>
      <x:c r="V120" s="14" t="str">
        <x:v>Uploaded Pokémon chat JSON / prior card-by-card research</x:v>
      </x:c>
      <x:c r="W120" s="14"/>
    </x:row>
    <x:row r="121">
      <x:c r="A121" s="18" t="n">
        <x:v>167</x:v>
      </x:c>
      <x:c r="B121" s="14" t="str">
        <x:v>Dragon / Dragon Vault</x:v>
      </x:c>
      <x:c r="C121" s="14" t="str">
        <x:v>Dratini</x:v>
      </x:c>
      <x:c r="D121" s="14" t="str">
        <x:v>2/20</x:v>
      </x:c>
      <x:c r="E121" s="14" t="str">
        <x:v>Dragon Vault</x:v>
      </x:c>
      <x:c r="F121" s="18" t="n">
        <x:v>2012</x:v>
      </x:c>
      <x:c r="G121" s="14" t="str">
        <x:v>Holo</x:v>
      </x:c>
      <x:c r="H121" s="14" t="str">
        <x:v>4 of 6</x:v>
      </x:c>
      <x:c r="I121" s="16" t="n">
        <x:v>14</x:v>
      </x:c>
      <x:c r="J121" s="16" t="n">
        <x:v>15</x:v>
      </x:c>
      <x:c r="K121" s="16" t="n">
        <x:v>14.5</x:v>
      </x:c>
      <x:c r="L121" s="14" t="str">
        <x:v>$5–20</x:v>
      </x:c>
      <x:c r="M121" s="14" t="str">
        <x:v>Yes</x:v>
      </x:c>
      <x:c r="N121" s="14" t="str">
        <x:v>Yes</x:v>
      </x:c>
      <x:c r="O121" s="14" t="str">
        <x:v>Yes</x:v>
      </x:c>
      <x:c r="P121" s="14" t="str">
        <x:v>Clean/NM benchmark unless noted</x:v>
      </x:c>
      <x:c r="Q121" s="16" t="n">
        <x:v>14</x:v>
      </x:c>
      <x:c r="R121" s="16" t="n">
        <x:v>15</x:v>
      </x:c>
      <x:c r="S121" s="16" t="n">
        <x:v>14.5</x:v>
      </x:c>
      <x:c r="T121" s="14"/>
      <x:c r="U121" s="18" t="n">
        <x:v>640</x:v>
      </x:c>
      <x:c r="V121" s="14" t="str">
        <x:v>Uploaded Pokémon chat JSON / prior card-by-card research</x:v>
      </x:c>
      <x:c r="W121" s="14"/>
    </x:row>
    <x:row r="122">
      <x:c r="A122" s="18" t="n">
        <x:v>168</x:v>
      </x:c>
      <x:c r="B122" s="14" t="str">
        <x:v>Dragon / Dragon Vault</x:v>
      </x:c>
      <x:c r="C122" s="14" t="str">
        <x:v>Dratini</x:v>
      </x:c>
      <x:c r="D122" s="14" t="str">
        <x:v>2/20</x:v>
      </x:c>
      <x:c r="E122" s="14" t="str">
        <x:v>Dragon Vault</x:v>
      </x:c>
      <x:c r="F122" s="18" t="n">
        <x:v>2012</x:v>
      </x:c>
      <x:c r="G122" s="14" t="str">
        <x:v>Holo</x:v>
      </x:c>
      <x:c r="H122" s="14" t="str">
        <x:v>5 of 6</x:v>
      </x:c>
      <x:c r="I122" s="16" t="n">
        <x:v>14</x:v>
      </x:c>
      <x:c r="J122" s="16" t="n">
        <x:v>15</x:v>
      </x:c>
      <x:c r="K122" s="16" t="n">
        <x:v>14.5</x:v>
      </x:c>
      <x:c r="L122" s="14" t="str">
        <x:v>$5–20</x:v>
      </x:c>
      <x:c r="M122" s="14" t="str">
        <x:v>Yes</x:v>
      </x:c>
      <x:c r="N122" s="14" t="str">
        <x:v>Yes</x:v>
      </x:c>
      <x:c r="O122" s="14" t="str">
        <x:v>Yes</x:v>
      </x:c>
      <x:c r="P122" s="14" t="str">
        <x:v>Clean/NM benchmark unless noted</x:v>
      </x:c>
      <x:c r="Q122" s="16" t="n">
        <x:v>14</x:v>
      </x:c>
      <x:c r="R122" s="16" t="n">
        <x:v>15</x:v>
      </x:c>
      <x:c r="S122" s="16" t="n">
        <x:v>14.5</x:v>
      </x:c>
      <x:c r="T122" s="14"/>
      <x:c r="U122" s="18" t="n">
        <x:v>640</x:v>
      </x:c>
      <x:c r="V122" s="14" t="str">
        <x:v>Uploaded Pokémon chat JSON / prior card-by-card research</x:v>
      </x:c>
      <x:c r="W122" s="14"/>
    </x:row>
    <x:row r="123">
      <x:c r="A123" s="18" t="n">
        <x:v>169</x:v>
      </x:c>
      <x:c r="B123" s="14" t="str">
        <x:v>Dragon / Dragon Vault</x:v>
      </x:c>
      <x:c r="C123" s="14" t="str">
        <x:v>Dratini</x:v>
      </x:c>
      <x:c r="D123" s="14" t="str">
        <x:v>2/20</x:v>
      </x:c>
      <x:c r="E123" s="14" t="str">
        <x:v>Dragon Vault</x:v>
      </x:c>
      <x:c r="F123" s="18" t="n">
        <x:v>2012</x:v>
      </x:c>
      <x:c r="G123" s="14" t="str">
        <x:v>Holo</x:v>
      </x:c>
      <x:c r="H123" s="14" t="str">
        <x:v>6 of 6</x:v>
      </x:c>
      <x:c r="I123" s="16" t="n">
        <x:v>14</x:v>
      </x:c>
      <x:c r="J123" s="16" t="n">
        <x:v>15</x:v>
      </x:c>
      <x:c r="K123" s="16" t="n">
        <x:v>14.5</x:v>
      </x:c>
      <x:c r="L123" s="14" t="str">
        <x:v>$5–20</x:v>
      </x:c>
      <x:c r="M123" s="14" t="str">
        <x:v>Yes</x:v>
      </x:c>
      <x:c r="N123" s="14" t="str">
        <x:v>Yes</x:v>
      </x:c>
      <x:c r="O123" s="14" t="str">
        <x:v>Yes</x:v>
      </x:c>
      <x:c r="P123" s="14" t="str">
        <x:v>Clean/NM benchmark unless noted</x:v>
      </x:c>
      <x:c r="Q123" s="16" t="n">
        <x:v>14</x:v>
      </x:c>
      <x:c r="R123" s="16" t="n">
        <x:v>15</x:v>
      </x:c>
      <x:c r="S123" s="16" t="n">
        <x:v>14.5</x:v>
      </x:c>
      <x:c r="T123" s="14"/>
      <x:c r="U123" s="18" t="n">
        <x:v>640</x:v>
      </x:c>
      <x:c r="V123" s="14" t="str">
        <x:v>Uploaded Pokémon chat JSON / prior card-by-card research</x:v>
      </x:c>
      <x:c r="W123" s="14"/>
    </x:row>
    <x:row r="124">
      <x:c r="A124" s="18" t="n">
        <x:v>170</x:v>
      </x:c>
      <x:c r="B124" s="14" t="str">
        <x:v>Dragon / Dragon Vault</x:v>
      </x:c>
      <x:c r="C124" s="14" t="str">
        <x:v>Dratini</x:v>
      </x:c>
      <x:c r="D124" s="14" t="str">
        <x:v>1/20</x:v>
      </x:c>
      <x:c r="E124" s="14" t="str">
        <x:v>Dragon Vault</x:v>
      </x:c>
      <x:c r="F124" s="18" t="n">
        <x:v>2012</x:v>
      </x:c>
      <x:c r="G124" s="14" t="str">
        <x:v>Holo</x:v>
      </x:c>
      <x:c r="H124" s="14" t="str">
        <x:v>1 of 5</x:v>
      </x:c>
      <x:c r="I124" s="16" t="n">
        <x:v>4.25</x:v>
      </x:c>
      <x:c r="J124" s="16" t="n">
        <x:v>4.5</x:v>
      </x:c>
      <x:c r="K124" s="16" t="n">
        <x:v>4.375</x:v>
      </x:c>
      <x:c r="L124" s="14" t="str">
        <x:v>$1–5</x:v>
      </x:c>
      <x:c r="M124" s="14" t="str">
        <x:v>Yes</x:v>
      </x:c>
      <x:c r="N124" s="14" t="str">
        <x:v>No</x:v>
      </x:c>
      <x:c r="O124" s="14" t="str">
        <x:v>Yes</x:v>
      </x:c>
      <x:c r="P124" s="14" t="str">
        <x:v>Clean/NM benchmark unless noted</x:v>
      </x:c>
      <x:c r="Q124" s="16" t="n">
        <x:v>4.25</x:v>
      </x:c>
      <x:c r="R124" s="16" t="n">
        <x:v>4.5</x:v>
      </x:c>
      <x:c r="S124" s="16" t="n">
        <x:v>4.375</x:v>
      </x:c>
      <x:c r="T124" s="14"/>
      <x:c r="U124" s="18" t="n">
        <x:v>646</x:v>
      </x:c>
      <x:c r="V124" s="14" t="str">
        <x:v>Uploaded Pokémon chat JSON / prior card-by-card research</x:v>
      </x:c>
      <x:c r="W124" s="14"/>
    </x:row>
    <x:row r="125">
      <x:c r="A125" s="18" t="n">
        <x:v>171</x:v>
      </x:c>
      <x:c r="B125" s="14" t="str">
        <x:v>Dragon / Dragon Vault</x:v>
      </x:c>
      <x:c r="C125" s="14" t="str">
        <x:v>Dratini</x:v>
      </x:c>
      <x:c r="D125" s="14" t="str">
        <x:v>1/20</x:v>
      </x:c>
      <x:c r="E125" s="14" t="str">
        <x:v>Dragon Vault</x:v>
      </x:c>
      <x:c r="F125" s="18" t="n">
        <x:v>2012</x:v>
      </x:c>
      <x:c r="G125" s="14" t="str">
        <x:v>Holo</x:v>
      </x:c>
      <x:c r="H125" s="14" t="str">
        <x:v>2 of 5</x:v>
      </x:c>
      <x:c r="I125" s="16" t="n">
        <x:v>4.25</x:v>
      </x:c>
      <x:c r="J125" s="16" t="n">
        <x:v>4.5</x:v>
      </x:c>
      <x:c r="K125" s="16" t="n">
        <x:v>4.375</x:v>
      </x:c>
      <x:c r="L125" s="14" t="str">
        <x:v>$1–5</x:v>
      </x:c>
      <x:c r="M125" s="14" t="str">
        <x:v>Yes</x:v>
      </x:c>
      <x:c r="N125" s="14" t="str">
        <x:v>No</x:v>
      </x:c>
      <x:c r="O125" s="14" t="str">
        <x:v>Yes</x:v>
      </x:c>
      <x:c r="P125" s="14" t="str">
        <x:v>Clean/NM benchmark unless noted</x:v>
      </x:c>
      <x:c r="Q125" s="16" t="n">
        <x:v>4.25</x:v>
      </x:c>
      <x:c r="R125" s="16" t="n">
        <x:v>4.5</x:v>
      </x:c>
      <x:c r="S125" s="16" t="n">
        <x:v>4.375</x:v>
      </x:c>
      <x:c r="T125" s="14"/>
      <x:c r="U125" s="18" t="n">
        <x:v>646</x:v>
      </x:c>
      <x:c r="V125" s="14" t="str">
        <x:v>Uploaded Pokémon chat JSON / prior card-by-card research</x:v>
      </x:c>
      <x:c r="W125" s="14"/>
    </x:row>
    <x:row r="126">
      <x:c r="A126" s="18" t="n">
        <x:v>172</x:v>
      </x:c>
      <x:c r="B126" s="14" t="str">
        <x:v>Dragon / Dragon Vault</x:v>
      </x:c>
      <x:c r="C126" s="14" t="str">
        <x:v>Dratini</x:v>
      </x:c>
      <x:c r="D126" s="14" t="str">
        <x:v>1/20</x:v>
      </x:c>
      <x:c r="E126" s="14" t="str">
        <x:v>Dragon Vault</x:v>
      </x:c>
      <x:c r="F126" s="18" t="n">
        <x:v>2012</x:v>
      </x:c>
      <x:c r="G126" s="14" t="str">
        <x:v>Holo</x:v>
      </x:c>
      <x:c r="H126" s="14" t="str">
        <x:v>3 of 5</x:v>
      </x:c>
      <x:c r="I126" s="16" t="n">
        <x:v>4.25</x:v>
      </x:c>
      <x:c r="J126" s="16" t="n">
        <x:v>4.5</x:v>
      </x:c>
      <x:c r="K126" s="16" t="n">
        <x:v>4.375</x:v>
      </x:c>
      <x:c r="L126" s="14" t="str">
        <x:v>$1–5</x:v>
      </x:c>
      <x:c r="M126" s="14" t="str">
        <x:v>Yes</x:v>
      </x:c>
      <x:c r="N126" s="14" t="str">
        <x:v>No</x:v>
      </x:c>
      <x:c r="O126" s="14" t="str">
        <x:v>Yes</x:v>
      </x:c>
      <x:c r="P126" s="14" t="str">
        <x:v>Clean/NM benchmark unless noted</x:v>
      </x:c>
      <x:c r="Q126" s="16" t="n">
        <x:v>4.25</x:v>
      </x:c>
      <x:c r="R126" s="16" t="n">
        <x:v>4.5</x:v>
      </x:c>
      <x:c r="S126" s="16" t="n">
        <x:v>4.375</x:v>
      </x:c>
      <x:c r="T126" s="14"/>
      <x:c r="U126" s="18" t="n">
        <x:v>646</x:v>
      </x:c>
      <x:c r="V126" s="14" t="str">
        <x:v>Uploaded Pokémon chat JSON / prior card-by-card research</x:v>
      </x:c>
      <x:c r="W126" s="14"/>
    </x:row>
    <x:row r="127">
      <x:c r="A127" s="18" t="n">
        <x:v>173</x:v>
      </x:c>
      <x:c r="B127" s="14" t="str">
        <x:v>Dragon / Dragon Vault</x:v>
      </x:c>
      <x:c r="C127" s="14" t="str">
        <x:v>Dratini</x:v>
      </x:c>
      <x:c r="D127" s="14" t="str">
        <x:v>1/20</x:v>
      </x:c>
      <x:c r="E127" s="14" t="str">
        <x:v>Dragon Vault</x:v>
      </x:c>
      <x:c r="F127" s="18" t="n">
        <x:v>2012</x:v>
      </x:c>
      <x:c r="G127" s="14" t="str">
        <x:v>Holo</x:v>
      </x:c>
      <x:c r="H127" s="14" t="str">
        <x:v>4 of 5</x:v>
      </x:c>
      <x:c r="I127" s="16" t="n">
        <x:v>4.25</x:v>
      </x:c>
      <x:c r="J127" s="16" t="n">
        <x:v>4.5</x:v>
      </x:c>
      <x:c r="K127" s="16" t="n">
        <x:v>4.375</x:v>
      </x:c>
      <x:c r="L127" s="14" t="str">
        <x:v>$1–5</x:v>
      </x:c>
      <x:c r="M127" s="14" t="str">
        <x:v>Yes</x:v>
      </x:c>
      <x:c r="N127" s="14" t="str">
        <x:v>No</x:v>
      </x:c>
      <x:c r="O127" s="14" t="str">
        <x:v>Yes</x:v>
      </x:c>
      <x:c r="P127" s="14" t="str">
        <x:v>Clean/NM benchmark unless noted</x:v>
      </x:c>
      <x:c r="Q127" s="16" t="n">
        <x:v>4.25</x:v>
      </x:c>
      <x:c r="R127" s="16" t="n">
        <x:v>4.5</x:v>
      </x:c>
      <x:c r="S127" s="16" t="n">
        <x:v>4.375</x:v>
      </x:c>
      <x:c r="T127" s="14"/>
      <x:c r="U127" s="18" t="n">
        <x:v>646</x:v>
      </x:c>
      <x:c r="V127" s="14" t="str">
        <x:v>Uploaded Pokémon chat JSON / prior card-by-card research</x:v>
      </x:c>
      <x:c r="W127" s="14"/>
    </x:row>
    <x:row r="128">
      <x:c r="A128" s="18" t="n">
        <x:v>174</x:v>
      </x:c>
      <x:c r="B128" s="14" t="str">
        <x:v>Dragon / Dragon Vault</x:v>
      </x:c>
      <x:c r="C128" s="14" t="str">
        <x:v>Dratini</x:v>
      </x:c>
      <x:c r="D128" s="14" t="str">
        <x:v>1/20</x:v>
      </x:c>
      <x:c r="E128" s="14" t="str">
        <x:v>Dragon Vault</x:v>
      </x:c>
      <x:c r="F128" s="18" t="n">
        <x:v>2012</x:v>
      </x:c>
      <x:c r="G128" s="14" t="str">
        <x:v>Holo</x:v>
      </x:c>
      <x:c r="H128" s="14" t="str">
        <x:v>5 of 5</x:v>
      </x:c>
      <x:c r="I128" s="16" t="n">
        <x:v>4.25</x:v>
      </x:c>
      <x:c r="J128" s="16" t="n">
        <x:v>4.5</x:v>
      </x:c>
      <x:c r="K128" s="16" t="n">
        <x:v>4.375</x:v>
      </x:c>
      <x:c r="L128" s="14" t="str">
        <x:v>$1–5</x:v>
      </x:c>
      <x:c r="M128" s="14" t="str">
        <x:v>Yes</x:v>
      </x:c>
      <x:c r="N128" s="14" t="str">
        <x:v>No</x:v>
      </x:c>
      <x:c r="O128" s="14" t="str">
        <x:v>Yes</x:v>
      </x:c>
      <x:c r="P128" s="14" t="str">
        <x:v>Clean/NM benchmark unless noted</x:v>
      </x:c>
      <x:c r="Q128" s="16" t="n">
        <x:v>4.25</x:v>
      </x:c>
      <x:c r="R128" s="16" t="n">
        <x:v>4.5</x:v>
      </x:c>
      <x:c r="S128" s="16" t="n">
        <x:v>4.375</x:v>
      </x:c>
      <x:c r="T128" s="14"/>
      <x:c r="U128" s="18" t="n">
        <x:v>646</x:v>
      </x:c>
      <x:c r="V128" s="14" t="str">
        <x:v>Uploaded Pokémon chat JSON / prior card-by-card research</x:v>
      </x:c>
      <x:c r="W128" s="14"/>
    </x:row>
    <x:row r="129">
      <x:c r="A129" s="18" t="n">
        <x:v>177</x:v>
      </x:c>
      <x:c r="B129" s="14" t="str">
        <x:v>Dragon / Dragon Vault</x:v>
      </x:c>
      <x:c r="C129" s="14" t="str">
        <x:v>Latias</x:v>
      </x:c>
      <x:c r="D129" s="14" t="str">
        <x:v>9/20</x:v>
      </x:c>
      <x:c r="E129" s="14" t="str">
        <x:v>Dragon Vault</x:v>
      </x:c>
      <x:c r="F129" s="18" t="n">
        <x:v>2012</x:v>
      </x:c>
      <x:c r="G129" s="14" t="str">
        <x:v>Holo</x:v>
      </x:c>
      <x:c r="H129" s="14" t="str">
        <x:v>1 of 3</x:v>
      </x:c>
      <x:c r="I129" s="16" t="n">
        <x:v>13</x:v>
      </x:c>
      <x:c r="J129" s="16" t="n">
        <x:v>19</x:v>
      </x:c>
      <x:c r="K129" s="16" t="n">
        <x:v>16</x:v>
      </x:c>
      <x:c r="L129" s="14" t="str">
        <x:v>$5–20</x:v>
      </x:c>
      <x:c r="M129" s="14" t="str">
        <x:v>Yes</x:v>
      </x:c>
      <x:c r="N129" s="14" t="str">
        <x:v>Yes</x:v>
      </x:c>
      <x:c r="O129" s="14" t="str">
        <x:v>Yes</x:v>
      </x:c>
      <x:c r="P129" s="14" t="str">
        <x:v>Clean/NM benchmark unless noted</x:v>
      </x:c>
      <x:c r="Q129" s="16" t="n">
        <x:v>13</x:v>
      </x:c>
      <x:c r="R129" s="16" t="n">
        <x:v>19</x:v>
      </x:c>
      <x:c r="S129" s="16" t="n">
        <x:v>16</x:v>
      </x:c>
      <x:c r="T129" s="14"/>
      <x:c r="U129" s="18" t="n">
        <x:v>658</x:v>
      </x:c>
      <x:c r="V129" s="14" t="str">
        <x:v>Uploaded Pokémon chat JSON / prior card-by-card research</x:v>
      </x:c>
      <x:c r="W129" s="14"/>
    </x:row>
    <x:row r="130">
      <x:c r="A130" s="18" t="n">
        <x:v>178</x:v>
      </x:c>
      <x:c r="B130" s="14" t="str">
        <x:v>Dragon / Dragon Vault</x:v>
      </x:c>
      <x:c r="C130" s="14" t="str">
        <x:v>Latias</x:v>
      </x:c>
      <x:c r="D130" s="14" t="str">
        <x:v>9/20</x:v>
      </x:c>
      <x:c r="E130" s="14" t="str">
        <x:v>Dragon Vault</x:v>
      </x:c>
      <x:c r="F130" s="18" t="n">
        <x:v>2012</x:v>
      </x:c>
      <x:c r="G130" s="14" t="str">
        <x:v>Holo</x:v>
      </x:c>
      <x:c r="H130" s="14" t="str">
        <x:v>2 of 3</x:v>
      </x:c>
      <x:c r="I130" s="16" t="n">
        <x:v>13</x:v>
      </x:c>
      <x:c r="J130" s="16" t="n">
        <x:v>19</x:v>
      </x:c>
      <x:c r="K130" s="16" t="n">
        <x:v>16</x:v>
      </x:c>
      <x:c r="L130" s="14" t="str">
        <x:v>$5–20</x:v>
      </x:c>
      <x:c r="M130" s="14" t="str">
        <x:v>Yes</x:v>
      </x:c>
      <x:c r="N130" s="14" t="str">
        <x:v>Yes</x:v>
      </x:c>
      <x:c r="O130" s="14" t="str">
        <x:v>Yes</x:v>
      </x:c>
      <x:c r="P130" s="14" t="str">
        <x:v>Clean/NM benchmark unless noted</x:v>
      </x:c>
      <x:c r="Q130" s="16" t="n">
        <x:v>13</x:v>
      </x:c>
      <x:c r="R130" s="16" t="n">
        <x:v>19</x:v>
      </x:c>
      <x:c r="S130" s="16" t="n">
        <x:v>16</x:v>
      </x:c>
      <x:c r="T130" s="14"/>
      <x:c r="U130" s="18" t="n">
        <x:v>658</x:v>
      </x:c>
      <x:c r="V130" s="14" t="str">
        <x:v>Uploaded Pokémon chat JSON / prior card-by-card research</x:v>
      </x:c>
      <x:c r="W130" s="14"/>
    </x:row>
    <x:row r="131">
      <x:c r="A131" s="18" t="n">
        <x:v>179</x:v>
      </x:c>
      <x:c r="B131" s="14" t="str">
        <x:v>Dragon / Dragon Vault</x:v>
      </x:c>
      <x:c r="C131" s="14" t="str">
        <x:v>Latios</x:v>
      </x:c>
      <x:c r="D131" s="14" t="str">
        <x:v>10/20</x:v>
      </x:c>
      <x:c r="E131" s="14" t="str">
        <x:v>Dragon Vault</x:v>
      </x:c>
      <x:c r="F131" s="18" t="n">
        <x:v>2012</x:v>
      </x:c>
      <x:c r="G131" s="14" t="str">
        <x:v>Holo</x:v>
      </x:c>
      <x:c r="H131" s="14" t="str">
        <x:v>1 of 2</x:v>
      </x:c>
      <x:c r="I131" s="16" t="n">
        <x:v>9</x:v>
      </x:c>
      <x:c r="J131" s="16" t="n">
        <x:v>11</x:v>
      </x:c>
      <x:c r="K131" s="16" t="n">
        <x:v>10</x:v>
      </x:c>
      <x:c r="L131" s="14" t="str">
        <x:v>$5–20</x:v>
      </x:c>
      <x:c r="M131" s="14" t="str">
        <x:v>Yes</x:v>
      </x:c>
      <x:c r="N131" s="14" t="str">
        <x:v>Yes</x:v>
      </x:c>
      <x:c r="O131" s="14" t="str">
        <x:v>Yes</x:v>
      </x:c>
      <x:c r="P131" s="14" t="str">
        <x:v>Clean/NM benchmark unless noted</x:v>
      </x:c>
      <x:c r="Q131" s="16" t="n">
        <x:v>9</x:v>
      </x:c>
      <x:c r="R131" s="16" t="n">
        <x:v>11</x:v>
      </x:c>
      <x:c r="S131" s="16" t="n">
        <x:v>10</x:v>
      </x:c>
      <x:c r="T131" s="14" t="str">
        <x:v>Toploader recommended around user $10 cutoff.</x:v>
      </x:c>
      <x:c r="U131" s="18" t="n">
        <x:v>658</x:v>
      </x:c>
      <x:c r="V131" s="14" t="str">
        <x:v>Uploaded Pokémon chat JSON / prior card-by-card research</x:v>
      </x:c>
      <x:c r="W131" s="14"/>
    </x:row>
    <x:row r="132">
      <x:c r="A132" s="18" t="n">
        <x:v>180</x:v>
      </x:c>
      <x:c r="B132" s="14" t="str">
        <x:v>Dragon / Dragon Vault</x:v>
      </x:c>
      <x:c r="C132" s="14" t="str">
        <x:v>Latios</x:v>
      </x:c>
      <x:c r="D132" s="14" t="str">
        <x:v>10/20</x:v>
      </x:c>
      <x:c r="E132" s="14" t="str">
        <x:v>Dragon Vault</x:v>
      </x:c>
      <x:c r="F132" s="18" t="n">
        <x:v>2012</x:v>
      </x:c>
      <x:c r="G132" s="14" t="str">
        <x:v>Holo</x:v>
      </x:c>
      <x:c r="H132" s="14" t="str">
        <x:v>2 of 2</x:v>
      </x:c>
      <x:c r="I132" s="16" t="n">
        <x:v>9</x:v>
      </x:c>
      <x:c r="J132" s="16" t="n">
        <x:v>11</x:v>
      </x:c>
      <x:c r="K132" s="16" t="n">
        <x:v>10</x:v>
      </x:c>
      <x:c r="L132" s="14" t="str">
        <x:v>$5–20</x:v>
      </x:c>
      <x:c r="M132" s="14" t="str">
        <x:v>Yes</x:v>
      </x:c>
      <x:c r="N132" s="14" t="str">
        <x:v>Yes</x:v>
      </x:c>
      <x:c r="O132" s="14" t="str">
        <x:v>Yes</x:v>
      </x:c>
      <x:c r="P132" s="14" t="str">
        <x:v>Clean/NM benchmark unless noted</x:v>
      </x:c>
      <x:c r="Q132" s="16" t="n">
        <x:v>9</x:v>
      </x:c>
      <x:c r="R132" s="16" t="n">
        <x:v>11</x:v>
      </x:c>
      <x:c r="S132" s="16" t="n">
        <x:v>10</x:v>
      </x:c>
      <x:c r="T132" s="14" t="str">
        <x:v>Toploader recommended around user $10 cutoff.</x:v>
      </x:c>
      <x:c r="U132" s="18" t="n">
        <x:v>658</x:v>
      </x:c>
      <x:c r="V132" s="14" t="str">
        <x:v>Uploaded Pokémon chat JSON / prior card-by-card research</x:v>
      </x:c>
      <x:c r="W132" s="14"/>
    </x:row>
    <x:row r="133">
      <x:c r="A133" s="18" t="n">
        <x:v>181</x:v>
      </x:c>
      <x:c r="B133" s="14" t="str">
        <x:v>Dragon / Dragon Vault</x:v>
      </x:c>
      <x:c r="C133" s="14" t="str">
        <x:v>Axew</x:v>
      </x:c>
      <x:c r="D133" s="14" t="str">
        <x:v>12/20</x:v>
      </x:c>
      <x:c r="E133" s="14" t="str">
        <x:v>Dragon Vault</x:v>
      </x:c>
      <x:c r="F133" s="18" t="n">
        <x:v>2012</x:v>
      </x:c>
      <x:c r="G133" s="14" t="str">
        <x:v>Holo</x:v>
      </x:c>
      <x:c r="H133" s="14" t="str">
        <x:v>1 of 3</x:v>
      </x:c>
      <x:c r="I133" s="16" t="n">
        <x:v>1.8</x:v>
      </x:c>
      <x:c r="J133" s="16" t="n">
        <x:v>1.9</x:v>
      </x:c>
      <x:c r="K133" s="16" t="n">
        <x:v>1.85</x:v>
      </x:c>
      <x:c r="L133" s="14" t="str">
        <x:v>$1–5</x:v>
      </x:c>
      <x:c r="M133" s="14" t="str">
        <x:v>Yes</x:v>
      </x:c>
      <x:c r="N133" s="14" t="str">
        <x:v>No</x:v>
      </x:c>
      <x:c r="O133" s="14" t="str">
        <x:v>Yes</x:v>
      </x:c>
      <x:c r="P133" s="14" t="str">
        <x:v>Clean/NM benchmark unless noted</x:v>
      </x:c>
      <x:c r="Q133" s="16" t="n">
        <x:v>1.8</x:v>
      </x:c>
      <x:c r="R133" s="16" t="n">
        <x:v>1.9</x:v>
      </x:c>
      <x:c r="S133" s="16" t="n">
        <x:v>1.85</x:v>
      </x:c>
      <x:c r="T133" s="14"/>
      <x:c r="U133" s="18" t="n">
        <x:v>668</x:v>
      </x:c>
      <x:c r="V133" s="14" t="str">
        <x:v>Uploaded Pokémon chat JSON / prior card-by-card research</x:v>
      </x:c>
      <x:c r="W133" s="14"/>
    </x:row>
    <x:row r="134">
      <x:c r="A134" s="18" t="n">
        <x:v>182</x:v>
      </x:c>
      <x:c r="B134" s="14" t="str">
        <x:v>Dragon / Dragon Vault</x:v>
      </x:c>
      <x:c r="C134" s="14" t="str">
        <x:v>Axew</x:v>
      </x:c>
      <x:c r="D134" s="14" t="str">
        <x:v>12/20</x:v>
      </x:c>
      <x:c r="E134" s="14" t="str">
        <x:v>Dragon Vault</x:v>
      </x:c>
      <x:c r="F134" s="18" t="n">
        <x:v>2012</x:v>
      </x:c>
      <x:c r="G134" s="14" t="str">
        <x:v>Holo</x:v>
      </x:c>
      <x:c r="H134" s="14" t="str">
        <x:v>2 of 3</x:v>
      </x:c>
      <x:c r="I134" s="16" t="n">
        <x:v>1.8</x:v>
      </x:c>
      <x:c r="J134" s="16" t="n">
        <x:v>1.9</x:v>
      </x:c>
      <x:c r="K134" s="16" t="n">
        <x:v>1.85</x:v>
      </x:c>
      <x:c r="L134" s="14" t="str">
        <x:v>$1–5</x:v>
      </x:c>
      <x:c r="M134" s="14" t="str">
        <x:v>Yes</x:v>
      </x:c>
      <x:c r="N134" s="14" t="str">
        <x:v>No</x:v>
      </x:c>
      <x:c r="O134" s="14" t="str">
        <x:v>Yes</x:v>
      </x:c>
      <x:c r="P134" s="14" t="str">
        <x:v>Clean/NM benchmark unless noted</x:v>
      </x:c>
      <x:c r="Q134" s="16" t="n">
        <x:v>1.8</x:v>
      </x:c>
      <x:c r="R134" s="16" t="n">
        <x:v>1.9</x:v>
      </x:c>
      <x:c r="S134" s="16" t="n">
        <x:v>1.85</x:v>
      </x:c>
      <x:c r="T134" s="14"/>
      <x:c r="U134" s="18" t="n">
        <x:v>668</x:v>
      </x:c>
      <x:c r="V134" s="14" t="str">
        <x:v>Uploaded Pokémon chat JSON / prior card-by-card research</x:v>
      </x:c>
      <x:c r="W134" s="14"/>
    </x:row>
    <x:row r="135">
      <x:c r="A135" s="18" t="n">
        <x:v>183</x:v>
      </x:c>
      <x:c r="B135" s="14" t="str">
        <x:v>Dragon / Dragon Vault</x:v>
      </x:c>
      <x:c r="C135" s="14" t="str">
        <x:v>Axew</x:v>
      </x:c>
      <x:c r="D135" s="14" t="str">
        <x:v>12/20</x:v>
      </x:c>
      <x:c r="E135" s="14" t="str">
        <x:v>Dragon Vault</x:v>
      </x:c>
      <x:c r="F135" s="18" t="n">
        <x:v>2012</x:v>
      </x:c>
      <x:c r="G135" s="14" t="str">
        <x:v>Holo</x:v>
      </x:c>
      <x:c r="H135" s="14" t="str">
        <x:v>3 of 3</x:v>
      </x:c>
      <x:c r="I135" s="16" t="n">
        <x:v>1.8</x:v>
      </x:c>
      <x:c r="J135" s="16" t="n">
        <x:v>1.9</x:v>
      </x:c>
      <x:c r="K135" s="16" t="n">
        <x:v>1.85</x:v>
      </x:c>
      <x:c r="L135" s="14" t="str">
        <x:v>$1–5</x:v>
      </x:c>
      <x:c r="M135" s="14" t="str">
        <x:v>Yes</x:v>
      </x:c>
      <x:c r="N135" s="14" t="str">
        <x:v>No</x:v>
      </x:c>
      <x:c r="O135" s="14" t="str">
        <x:v>Yes</x:v>
      </x:c>
      <x:c r="P135" s="14" t="str">
        <x:v>Clean/NM benchmark unless noted</x:v>
      </x:c>
      <x:c r="Q135" s="16" t="n">
        <x:v>1.8</x:v>
      </x:c>
      <x:c r="R135" s="16" t="n">
        <x:v>1.9</x:v>
      </x:c>
      <x:c r="S135" s="16" t="n">
        <x:v>1.85</x:v>
      </x:c>
      <x:c r="T135" s="14"/>
      <x:c r="U135" s="18" t="n">
        <x:v>668</x:v>
      </x:c>
      <x:c r="V135" s="14" t="str">
        <x:v>Uploaded Pokémon chat JSON / prior card-by-card research</x:v>
      </x:c>
      <x:c r="W135" s="14"/>
    </x:row>
    <x:row r="136">
      <x:c r="A136" s="18" t="n">
        <x:v>184</x:v>
      </x:c>
      <x:c r="B136" s="14" t="str">
        <x:v>Dragon / Dragon Vault</x:v>
      </x:c>
      <x:c r="C136" s="14" t="str">
        <x:v>Axew</x:v>
      </x:c>
      <x:c r="D136" s="14" t="str">
        <x:v>13/20</x:v>
      </x:c>
      <x:c r="E136" s="14" t="str">
        <x:v>Dragon Vault</x:v>
      </x:c>
      <x:c r="F136" s="18" t="n">
        <x:v>2012</x:v>
      </x:c>
      <x:c r="G136" s="14" t="str">
        <x:v>Holo</x:v>
      </x:c>
      <x:c r="H136" s="14" t="str">
        <x:v>1 of 5</x:v>
      </x:c>
      <x:c r="I136" s="16" t="n">
        <x:v>2.1</x:v>
      </x:c>
      <x:c r="J136" s="16" t="n">
        <x:v>2.1</x:v>
      </x:c>
      <x:c r="K136" s="16" t="n">
        <x:v>2.1</x:v>
      </x:c>
      <x:c r="L136" s="14" t="str">
        <x:v>$1–5</x:v>
      </x:c>
      <x:c r="M136" s="14" t="str">
        <x:v>Yes</x:v>
      </x:c>
      <x:c r="N136" s="14" t="str">
        <x:v>No</x:v>
      </x:c>
      <x:c r="O136" s="14" t="str">
        <x:v>Yes</x:v>
      </x:c>
      <x:c r="P136" s="14" t="str">
        <x:v>Clean/NM benchmark unless noted</x:v>
      </x:c>
      <x:c r="Q136" s="16" t="n">
        <x:v>2.1</x:v>
      </x:c>
      <x:c r="R136" s="16" t="n">
        <x:v>2.1</x:v>
      </x:c>
      <x:c r="S136" s="16" t="n">
        <x:v>2.1</x:v>
      </x:c>
      <x:c r="T136" s="14"/>
      <x:c r="U136" s="18" t="n">
        <x:v>668</x:v>
      </x:c>
      <x:c r="V136" s="14" t="str">
        <x:v>Uploaded Pokémon chat JSON / prior card-by-card research</x:v>
      </x:c>
      <x:c r="W136" s="14"/>
    </x:row>
    <x:row r="137">
      <x:c r="A137" s="18" t="n">
        <x:v>185</x:v>
      </x:c>
      <x:c r="B137" s="14" t="str">
        <x:v>Dragon / Dragon Vault</x:v>
      </x:c>
      <x:c r="C137" s="14" t="str">
        <x:v>Axew</x:v>
      </x:c>
      <x:c r="D137" s="14" t="str">
        <x:v>13/20</x:v>
      </x:c>
      <x:c r="E137" s="14" t="str">
        <x:v>Dragon Vault</x:v>
      </x:c>
      <x:c r="F137" s="18" t="n">
        <x:v>2012</x:v>
      </x:c>
      <x:c r="G137" s="14" t="str">
        <x:v>Holo</x:v>
      </x:c>
      <x:c r="H137" s="14" t="str">
        <x:v>2 of 5</x:v>
      </x:c>
      <x:c r="I137" s="16" t="n">
        <x:v>2.1</x:v>
      </x:c>
      <x:c r="J137" s="16" t="n">
        <x:v>2.1</x:v>
      </x:c>
      <x:c r="K137" s="16" t="n">
        <x:v>2.1</x:v>
      </x:c>
      <x:c r="L137" s="14" t="str">
        <x:v>$1–5</x:v>
      </x:c>
      <x:c r="M137" s="14" t="str">
        <x:v>Yes</x:v>
      </x:c>
      <x:c r="N137" s="14" t="str">
        <x:v>No</x:v>
      </x:c>
      <x:c r="O137" s="14" t="str">
        <x:v>Yes</x:v>
      </x:c>
      <x:c r="P137" s="14" t="str">
        <x:v>Clean/NM benchmark unless noted</x:v>
      </x:c>
      <x:c r="Q137" s="16" t="n">
        <x:v>2.1</x:v>
      </x:c>
      <x:c r="R137" s="16" t="n">
        <x:v>2.1</x:v>
      </x:c>
      <x:c r="S137" s="16" t="n">
        <x:v>2.1</x:v>
      </x:c>
      <x:c r="T137" s="14"/>
      <x:c r="U137" s="18" t="n">
        <x:v>668</x:v>
      </x:c>
      <x:c r="V137" s="14" t="str">
        <x:v>Uploaded Pokémon chat JSON / prior card-by-card research</x:v>
      </x:c>
      <x:c r="W137" s="14"/>
    </x:row>
    <x:row r="138">
      <x:c r="A138" s="18" t="n">
        <x:v>186</x:v>
      </x:c>
      <x:c r="B138" s="14" t="str">
        <x:v>Dragon / Dragon Vault</x:v>
      </x:c>
      <x:c r="C138" s="14" t="str">
        <x:v>Axew</x:v>
      </x:c>
      <x:c r="D138" s="14" t="str">
        <x:v>13/20</x:v>
      </x:c>
      <x:c r="E138" s="14" t="str">
        <x:v>Dragon Vault</x:v>
      </x:c>
      <x:c r="F138" s="18" t="n">
        <x:v>2012</x:v>
      </x:c>
      <x:c r="G138" s="14" t="str">
        <x:v>Holo</x:v>
      </x:c>
      <x:c r="H138" s="14" t="str">
        <x:v>3 of 5</x:v>
      </x:c>
      <x:c r="I138" s="16" t="n">
        <x:v>2.1</x:v>
      </x:c>
      <x:c r="J138" s="16" t="n">
        <x:v>2.1</x:v>
      </x:c>
      <x:c r="K138" s="16" t="n">
        <x:v>2.1</x:v>
      </x:c>
      <x:c r="L138" s="14" t="str">
        <x:v>$1–5</x:v>
      </x:c>
      <x:c r="M138" s="14" t="str">
        <x:v>Yes</x:v>
      </x:c>
      <x:c r="N138" s="14" t="str">
        <x:v>No</x:v>
      </x:c>
      <x:c r="O138" s="14" t="str">
        <x:v>Yes</x:v>
      </x:c>
      <x:c r="P138" s="14" t="str">
        <x:v>Clean/NM benchmark unless noted</x:v>
      </x:c>
      <x:c r="Q138" s="16" t="n">
        <x:v>2.1</x:v>
      </x:c>
      <x:c r="R138" s="16" t="n">
        <x:v>2.1</x:v>
      </x:c>
      <x:c r="S138" s="16" t="n">
        <x:v>2.1</x:v>
      </x:c>
      <x:c r="T138" s="14"/>
      <x:c r="U138" s="18" t="n">
        <x:v>668</x:v>
      </x:c>
      <x:c r="V138" s="14" t="str">
        <x:v>Uploaded Pokémon chat JSON / prior card-by-card research</x:v>
      </x:c>
      <x:c r="W138" s="14"/>
    </x:row>
    <x:row r="139">
      <x:c r="A139" s="18" t="n">
        <x:v>187</x:v>
      </x:c>
      <x:c r="B139" s="14" t="str">
        <x:v>Dragon / Dragon Vault</x:v>
      </x:c>
      <x:c r="C139" s="14" t="str">
        <x:v>Axew</x:v>
      </x:c>
      <x:c r="D139" s="14" t="str">
        <x:v>13/20</x:v>
      </x:c>
      <x:c r="E139" s="14" t="str">
        <x:v>Dragon Vault</x:v>
      </x:c>
      <x:c r="F139" s="18" t="n">
        <x:v>2012</x:v>
      </x:c>
      <x:c r="G139" s="14" t="str">
        <x:v>Holo</x:v>
      </x:c>
      <x:c r="H139" s="14" t="str">
        <x:v>4 of 5</x:v>
      </x:c>
      <x:c r="I139" s="16" t="n">
        <x:v>2.1</x:v>
      </x:c>
      <x:c r="J139" s="16" t="n">
        <x:v>2.1</x:v>
      </x:c>
      <x:c r="K139" s="16" t="n">
        <x:v>2.1</x:v>
      </x:c>
      <x:c r="L139" s="14" t="str">
        <x:v>$1–5</x:v>
      </x:c>
      <x:c r="M139" s="14" t="str">
        <x:v>Yes</x:v>
      </x:c>
      <x:c r="N139" s="14" t="str">
        <x:v>No</x:v>
      </x:c>
      <x:c r="O139" s="14" t="str">
        <x:v>Yes</x:v>
      </x:c>
      <x:c r="P139" s="14" t="str">
        <x:v>Clean/NM benchmark unless noted</x:v>
      </x:c>
      <x:c r="Q139" s="16" t="n">
        <x:v>2.1</x:v>
      </x:c>
      <x:c r="R139" s="16" t="n">
        <x:v>2.1</x:v>
      </x:c>
      <x:c r="S139" s="16" t="n">
        <x:v>2.1</x:v>
      </x:c>
      <x:c r="T139" s="14"/>
      <x:c r="U139" s="18" t="n">
        <x:v>668</x:v>
      </x:c>
      <x:c r="V139" s="14" t="str">
        <x:v>Uploaded Pokémon chat JSON / prior card-by-card research</x:v>
      </x:c>
      <x:c r="W139" s="14"/>
    </x:row>
    <x:row r="140">
      <x:c r="A140" s="18" t="n">
        <x:v>188</x:v>
      </x:c>
      <x:c r="B140" s="14" t="str">
        <x:v>Dragon / Dragon Vault</x:v>
      </x:c>
      <x:c r="C140" s="14" t="str">
        <x:v>Axew</x:v>
      </x:c>
      <x:c r="D140" s="14" t="str">
        <x:v>13/20</x:v>
      </x:c>
      <x:c r="E140" s="14" t="str">
        <x:v>Dragon Vault</x:v>
      </x:c>
      <x:c r="F140" s="18" t="n">
        <x:v>2012</x:v>
      </x:c>
      <x:c r="G140" s="14" t="str">
        <x:v>Holo</x:v>
      </x:c>
      <x:c r="H140" s="14" t="str">
        <x:v>5 of 5</x:v>
      </x:c>
      <x:c r="I140" s="16" t="n">
        <x:v>2.1</x:v>
      </x:c>
      <x:c r="J140" s="16" t="n">
        <x:v>2.1</x:v>
      </x:c>
      <x:c r="K140" s="16" t="n">
        <x:v>2.1</x:v>
      </x:c>
      <x:c r="L140" s="14" t="str">
        <x:v>$1–5</x:v>
      </x:c>
      <x:c r="M140" s="14" t="str">
        <x:v>Yes</x:v>
      </x:c>
      <x:c r="N140" s="14" t="str">
        <x:v>No</x:v>
      </x:c>
      <x:c r="O140" s="14" t="str">
        <x:v>Yes</x:v>
      </x:c>
      <x:c r="P140" s="14" t="str">
        <x:v>Clean/NM benchmark unless noted</x:v>
      </x:c>
      <x:c r="Q140" s="16" t="n">
        <x:v>2.1</x:v>
      </x:c>
      <x:c r="R140" s="16" t="n">
        <x:v>2.1</x:v>
      </x:c>
      <x:c r="S140" s="16" t="n">
        <x:v>2.1</x:v>
      </x:c>
      <x:c r="T140" s="14"/>
      <x:c r="U140" s="18" t="n">
        <x:v>668</x:v>
      </x:c>
      <x:c r="V140" s="14" t="str">
        <x:v>Uploaded Pokémon chat JSON / prior card-by-card research</x:v>
      </x:c>
      <x:c r="W140" s="14"/>
    </x:row>
    <x:row r="141">
      <x:c r="A141" s="18" t="n">
        <x:v>189</x:v>
      </x:c>
      <x:c r="B141" s="14" t="str">
        <x:v>Dragon / Dragon Vault</x:v>
      </x:c>
      <x:c r="C141" s="14" t="str">
        <x:v>Fraxure</x:v>
      </x:c>
      <x:c r="D141" s="14" t="str">
        <x:v>14/20</x:v>
      </x:c>
      <x:c r="E141" s="14" t="str">
        <x:v>Dragon Vault</x:v>
      </x:c>
      <x:c r="F141" s="18" t="n">
        <x:v>2012</x:v>
      </x:c>
      <x:c r="G141" s="14" t="str">
        <x:v>Holo</x:v>
      </x:c>
      <x:c r="H141" s="14" t="str">
        <x:v>1 of 3</x:v>
      </x:c>
      <x:c r="I141" s="16" t="n">
        <x:v>1.75</x:v>
      </x:c>
      <x:c r="J141" s="16" t="n">
        <x:v>2</x:v>
      </x:c>
      <x:c r="K141" s="16" t="n">
        <x:v>1.875</x:v>
      </x:c>
      <x:c r="L141" s="14" t="str">
        <x:v>$1–5</x:v>
      </x:c>
      <x:c r="M141" s="14" t="str">
        <x:v>Yes</x:v>
      </x:c>
      <x:c r="N141" s="14" t="str">
        <x:v>No</x:v>
      </x:c>
      <x:c r="O141" s="14" t="str">
        <x:v>Yes</x:v>
      </x:c>
      <x:c r="P141" s="14" t="str">
        <x:v>Clean/NM benchmark unless noted</x:v>
      </x:c>
      <x:c r="Q141" s="16" t="n">
        <x:v>1.75</x:v>
      </x:c>
      <x:c r="R141" s="16" t="n">
        <x:v>2</x:v>
      </x:c>
      <x:c r="S141" s="16" t="n">
        <x:v>1.875</x:v>
      </x:c>
      <x:c r="T141" s="14"/>
      <x:c r="U141" s="18" t="n">
        <x:v>674</x:v>
      </x:c>
      <x:c r="V141" s="14" t="str">
        <x:v>Uploaded Pokémon chat JSON / prior card-by-card research</x:v>
      </x:c>
      <x:c r="W141" s="14"/>
    </x:row>
    <x:row r="142">
      <x:c r="A142" s="18" t="n">
        <x:v>190</x:v>
      </x:c>
      <x:c r="B142" s="14" t="str">
        <x:v>Dragon / Dragon Vault</x:v>
      </x:c>
      <x:c r="C142" s="14" t="str">
        <x:v>Fraxure</x:v>
      </x:c>
      <x:c r="D142" s="14" t="str">
        <x:v>14/20</x:v>
      </x:c>
      <x:c r="E142" s="14" t="str">
        <x:v>Dragon Vault</x:v>
      </x:c>
      <x:c r="F142" s="18" t="n">
        <x:v>2012</x:v>
      </x:c>
      <x:c r="G142" s="14" t="str">
        <x:v>Holo</x:v>
      </x:c>
      <x:c r="H142" s="14" t="str">
        <x:v>2 of 3</x:v>
      </x:c>
      <x:c r="I142" s="16" t="n">
        <x:v>1.75</x:v>
      </x:c>
      <x:c r="J142" s="16" t="n">
        <x:v>2</x:v>
      </x:c>
      <x:c r="K142" s="16" t="n">
        <x:v>1.875</x:v>
      </x:c>
      <x:c r="L142" s="14" t="str">
        <x:v>$1–5</x:v>
      </x:c>
      <x:c r="M142" s="14" t="str">
        <x:v>Yes</x:v>
      </x:c>
      <x:c r="N142" s="14" t="str">
        <x:v>No</x:v>
      </x:c>
      <x:c r="O142" s="14" t="str">
        <x:v>Yes</x:v>
      </x:c>
      <x:c r="P142" s="14" t="str">
        <x:v>Clean/NM benchmark unless noted</x:v>
      </x:c>
      <x:c r="Q142" s="16" t="n">
        <x:v>1.75</x:v>
      </x:c>
      <x:c r="R142" s="16" t="n">
        <x:v>2</x:v>
      </x:c>
      <x:c r="S142" s="16" t="n">
        <x:v>1.875</x:v>
      </x:c>
      <x:c r="T142" s="14"/>
      <x:c r="U142" s="18" t="n">
        <x:v>674</x:v>
      </x:c>
      <x:c r="V142" s="14" t="str">
        <x:v>Uploaded Pokémon chat JSON / prior card-by-card research</x:v>
      </x:c>
      <x:c r="W142" s="14"/>
    </x:row>
    <x:row r="143">
      <x:c r="A143" s="18" t="n">
        <x:v>191</x:v>
      </x:c>
      <x:c r="B143" s="14" t="str">
        <x:v>Dragon / Dragon Vault</x:v>
      </x:c>
      <x:c r="C143" s="14" t="str">
        <x:v>Fraxure</x:v>
      </x:c>
      <x:c r="D143" s="14" t="str">
        <x:v>14/20</x:v>
      </x:c>
      <x:c r="E143" s="14" t="str">
        <x:v>Dragon Vault</x:v>
      </x:c>
      <x:c r="F143" s="18" t="n">
        <x:v>2012</x:v>
      </x:c>
      <x:c r="G143" s="14" t="str">
        <x:v>Holo</x:v>
      </x:c>
      <x:c r="H143" s="14" t="str">
        <x:v>3 of 3</x:v>
      </x:c>
      <x:c r="I143" s="16" t="n">
        <x:v>1.75</x:v>
      </x:c>
      <x:c r="J143" s="16" t="n">
        <x:v>2</x:v>
      </x:c>
      <x:c r="K143" s="16" t="n">
        <x:v>1.875</x:v>
      </x:c>
      <x:c r="L143" s="14" t="str">
        <x:v>$1–5</x:v>
      </x:c>
      <x:c r="M143" s="14" t="str">
        <x:v>Yes</x:v>
      </x:c>
      <x:c r="N143" s="14" t="str">
        <x:v>No</x:v>
      </x:c>
      <x:c r="O143" s="14" t="str">
        <x:v>Yes</x:v>
      </x:c>
      <x:c r="P143" s="14" t="str">
        <x:v>Clean/NM benchmark unless noted</x:v>
      </x:c>
      <x:c r="Q143" s="16" t="n">
        <x:v>1.75</x:v>
      </x:c>
      <x:c r="R143" s="16" t="n">
        <x:v>2</x:v>
      </x:c>
      <x:c r="S143" s="16" t="n">
        <x:v>1.875</x:v>
      </x:c>
      <x:c r="T143" s="14"/>
      <x:c r="U143" s="18" t="n">
        <x:v>674</x:v>
      </x:c>
      <x:c r="V143" s="14" t="str">
        <x:v>Uploaded Pokémon chat JSON / prior card-by-card research</x:v>
      </x:c>
      <x:c r="W143" s="14"/>
    </x:row>
    <x:row r="144">
      <x:c r="A144" s="18" t="n">
        <x:v>192</x:v>
      </x:c>
      <x:c r="B144" s="14" t="str">
        <x:v>Dragon / Dragon Vault</x:v>
      </x:c>
      <x:c r="C144" s="14" t="str">
        <x:v>Fraxure</x:v>
      </x:c>
      <x:c r="D144" s="14" t="str">
        <x:v>15/20</x:v>
      </x:c>
      <x:c r="E144" s="14" t="str">
        <x:v>Dragon Vault</x:v>
      </x:c>
      <x:c r="F144" s="18" t="n">
        <x:v>2012</x:v>
      </x:c>
      <x:c r="G144" s="14" t="str">
        <x:v>Holo</x:v>
      </x:c>
      <x:c r="H144" s="14" t="str">
        <x:v>1 of 4</x:v>
      </x:c>
      <x:c r="I144" s="16" t="n">
        <x:v>1.5</x:v>
      </x:c>
      <x:c r="J144" s="16" t="n">
        <x:v>2</x:v>
      </x:c>
      <x:c r="K144" s="16" t="n">
        <x:v>1.75</x:v>
      </x:c>
      <x:c r="L144" s="14" t="str">
        <x:v>$1–5</x:v>
      </x:c>
      <x:c r="M144" s="14" t="str">
        <x:v>Yes</x:v>
      </x:c>
      <x:c r="N144" s="14" t="str">
        <x:v>No</x:v>
      </x:c>
      <x:c r="O144" s="14" t="str">
        <x:v>Yes</x:v>
      </x:c>
      <x:c r="P144" s="14" t="str">
        <x:v>Clean/NM benchmark unless noted</x:v>
      </x:c>
      <x:c r="Q144" s="16" t="n">
        <x:v>1.5</x:v>
      </x:c>
      <x:c r="R144" s="16" t="n">
        <x:v>2</x:v>
      </x:c>
      <x:c r="S144" s="16" t="n">
        <x:v>1.75</x:v>
      </x:c>
      <x:c r="T144" s="14"/>
      <x:c r="U144" s="18" t="n">
        <x:v>674</x:v>
      </x:c>
      <x:c r="V144" s="14" t="str">
        <x:v>Uploaded Pokémon chat JSON / prior card-by-card research</x:v>
      </x:c>
      <x:c r="W144" s="14"/>
    </x:row>
    <x:row r="145">
      <x:c r="A145" s="18" t="n">
        <x:v>193</x:v>
      </x:c>
      <x:c r="B145" s="14" t="str">
        <x:v>Dragon / Dragon Vault</x:v>
      </x:c>
      <x:c r="C145" s="14" t="str">
        <x:v>Fraxure</x:v>
      </x:c>
      <x:c r="D145" s="14" t="str">
        <x:v>15/20</x:v>
      </x:c>
      <x:c r="E145" s="14" t="str">
        <x:v>Dragon Vault</x:v>
      </x:c>
      <x:c r="F145" s="18" t="n">
        <x:v>2012</x:v>
      </x:c>
      <x:c r="G145" s="14" t="str">
        <x:v>Holo</x:v>
      </x:c>
      <x:c r="H145" s="14" t="str">
        <x:v>2 of 4</x:v>
      </x:c>
      <x:c r="I145" s="16" t="n">
        <x:v>1.5</x:v>
      </x:c>
      <x:c r="J145" s="16" t="n">
        <x:v>2</x:v>
      </x:c>
      <x:c r="K145" s="16" t="n">
        <x:v>1.75</x:v>
      </x:c>
      <x:c r="L145" s="14" t="str">
        <x:v>$1–5</x:v>
      </x:c>
      <x:c r="M145" s="14" t="str">
        <x:v>Yes</x:v>
      </x:c>
      <x:c r="N145" s="14" t="str">
        <x:v>No</x:v>
      </x:c>
      <x:c r="O145" s="14" t="str">
        <x:v>Yes</x:v>
      </x:c>
      <x:c r="P145" s="14" t="str">
        <x:v>Clean/NM benchmark unless noted</x:v>
      </x:c>
      <x:c r="Q145" s="16" t="n">
        <x:v>1.5</x:v>
      </x:c>
      <x:c r="R145" s="16" t="n">
        <x:v>2</x:v>
      </x:c>
      <x:c r="S145" s="16" t="n">
        <x:v>1.75</x:v>
      </x:c>
      <x:c r="T145" s="14"/>
      <x:c r="U145" s="18" t="n">
        <x:v>674</x:v>
      </x:c>
      <x:c r="V145" s="14" t="str">
        <x:v>Uploaded Pokémon chat JSON / prior card-by-card research</x:v>
      </x:c>
      <x:c r="W145" s="14"/>
    </x:row>
    <x:row r="146">
      <x:c r="A146" s="18" t="n">
        <x:v>194</x:v>
      </x:c>
      <x:c r="B146" s="14" t="str">
        <x:v>Dragon / Dragon Vault</x:v>
      </x:c>
      <x:c r="C146" s="14" t="str">
        <x:v>Fraxure</x:v>
      </x:c>
      <x:c r="D146" s="14" t="str">
        <x:v>15/20</x:v>
      </x:c>
      <x:c r="E146" s="14" t="str">
        <x:v>Dragon Vault</x:v>
      </x:c>
      <x:c r="F146" s="18" t="n">
        <x:v>2012</x:v>
      </x:c>
      <x:c r="G146" s="14" t="str">
        <x:v>Holo</x:v>
      </x:c>
      <x:c r="H146" s="14" t="str">
        <x:v>3 of 4</x:v>
      </x:c>
      <x:c r="I146" s="16" t="n">
        <x:v>1.5</x:v>
      </x:c>
      <x:c r="J146" s="16" t="n">
        <x:v>2</x:v>
      </x:c>
      <x:c r="K146" s="16" t="n">
        <x:v>1.75</x:v>
      </x:c>
      <x:c r="L146" s="14" t="str">
        <x:v>$1–5</x:v>
      </x:c>
      <x:c r="M146" s="14" t="str">
        <x:v>Yes</x:v>
      </x:c>
      <x:c r="N146" s="14" t="str">
        <x:v>No</x:v>
      </x:c>
      <x:c r="O146" s="14" t="str">
        <x:v>Yes</x:v>
      </x:c>
      <x:c r="P146" s="14" t="str">
        <x:v>Clean/NM benchmark unless noted</x:v>
      </x:c>
      <x:c r="Q146" s="16" t="n">
        <x:v>1.5</x:v>
      </x:c>
      <x:c r="R146" s="16" t="n">
        <x:v>2</x:v>
      </x:c>
      <x:c r="S146" s="16" t="n">
        <x:v>1.75</x:v>
      </x:c>
      <x:c r="T146" s="14"/>
      <x:c r="U146" s="18" t="n">
        <x:v>674</x:v>
      </x:c>
      <x:c r="V146" s="14" t="str">
        <x:v>Uploaded Pokémon chat JSON / prior card-by-card research</x:v>
      </x:c>
      <x:c r="W146" s="14"/>
    </x:row>
    <x:row r="147">
      <x:c r="A147" s="18" t="n">
        <x:v>195</x:v>
      </x:c>
      <x:c r="B147" s="14" t="str">
        <x:v>Dragon / Dragon Vault</x:v>
      </x:c>
      <x:c r="C147" s="14" t="str">
        <x:v>Fraxure</x:v>
      </x:c>
      <x:c r="D147" s="14" t="str">
        <x:v>15/20</x:v>
      </x:c>
      <x:c r="E147" s="14" t="str">
        <x:v>Dragon Vault</x:v>
      </x:c>
      <x:c r="F147" s="18" t="n">
        <x:v>2012</x:v>
      </x:c>
      <x:c r="G147" s="14" t="str">
        <x:v>Holo</x:v>
      </x:c>
      <x:c r="H147" s="14" t="str">
        <x:v>4 of 4</x:v>
      </x:c>
      <x:c r="I147" s="16" t="n">
        <x:v>1.5</x:v>
      </x:c>
      <x:c r="J147" s="16" t="n">
        <x:v>2</x:v>
      </x:c>
      <x:c r="K147" s="16" t="n">
        <x:v>1.75</x:v>
      </x:c>
      <x:c r="L147" s="14" t="str">
        <x:v>$1–5</x:v>
      </x:c>
      <x:c r="M147" s="14" t="str">
        <x:v>Yes</x:v>
      </x:c>
      <x:c r="N147" s="14" t="str">
        <x:v>No</x:v>
      </x:c>
      <x:c r="O147" s="14" t="str">
        <x:v>Yes</x:v>
      </x:c>
      <x:c r="P147" s="14" t="str">
        <x:v>Clean/NM benchmark unless noted</x:v>
      </x:c>
      <x:c r="Q147" s="16" t="n">
        <x:v>1.5</x:v>
      </x:c>
      <x:c r="R147" s="16" t="n">
        <x:v>2</x:v>
      </x:c>
      <x:c r="S147" s="16" t="n">
        <x:v>1.75</x:v>
      </x:c>
      <x:c r="T147" s="14"/>
      <x:c r="U147" s="18" t="n">
        <x:v>674</x:v>
      </x:c>
      <x:c r="V147" s="14" t="str">
        <x:v>Uploaded Pokémon chat JSON / prior card-by-card research</x:v>
      </x:c>
      <x:c r="W147" s="14"/>
    </x:row>
    <x:row r="148">
      <x:c r="A148" s="18" t="n">
        <x:v>196</x:v>
      </x:c>
      <x:c r="B148" s="14" t="str">
        <x:v>Dragon / Dragon Vault</x:v>
      </x:c>
      <x:c r="C148" s="14" t="str">
        <x:v>Vibrava</x:v>
      </x:c>
      <x:c r="D148" s="14" t="str">
        <x:v>98/149</x:v>
      </x:c>
      <x:c r="E148" s="14" t="str">
        <x:v>Boundaries Crossed</x:v>
      </x:c>
      <x:c r="F148" s="18" t="n">
        <x:v>2012</x:v>
      </x:c>
      <x:c r="G148" s="14" t="str">
        <x:v>Reverse Holo</x:v>
      </x:c>
      <x:c r="H148" s="14" t="str">
        <x:v>1 of 2</x:v>
      </x:c>
      <x:c r="I148" s="16" t="n">
        <x:v>2.6</x:v>
      </x:c>
      <x:c r="J148" s="16" t="n">
        <x:v>2.62</x:v>
      </x:c>
      <x:c r="K148" s="16" t="n">
        <x:v>2.6100000000000003</x:v>
      </x:c>
      <x:c r="L148" s="14" t="str">
        <x:v>$1–5</x:v>
      </x:c>
      <x:c r="M148" s="14" t="str">
        <x:v>Yes</x:v>
      </x:c>
      <x:c r="N148" s="14" t="str">
        <x:v>No</x:v>
      </x:c>
      <x:c r="O148" s="14" t="str">
        <x:v>Yes</x:v>
      </x:c>
      <x:c r="P148" s="14" t="str">
        <x:v>Clean/NM benchmark unless noted</x:v>
      </x:c>
      <x:c r="Q148" s="16" t="n">
        <x:v>2.6</x:v>
      </x:c>
      <x:c r="R148" s="16" t="n">
        <x:v>2.62</x:v>
      </x:c>
      <x:c r="S148" s="16" t="n">
        <x:v>2.6100000000000003</x:v>
      </x:c>
      <x:c r="T148" s="14" t="str">
        <x:v>Second physical copy sent later at index 716.</x:v>
      </x:c>
      <x:c r="U148" s="18" t="n">
        <x:v>680</x:v>
      </x:c>
      <x:c r="V148" s="14" t="str">
        <x:v>Uploaded Pokémon chat JSON / prior card-by-card research</x:v>
      </x:c>
      <x:c r="W148" s="14"/>
    </x:row>
    <x:row r="149">
      <x:c r="A149" s="18" t="n">
        <x:v>197</x:v>
      </x:c>
      <x:c r="B149" s="14" t="str">
        <x:v>Dragon / Dragon Vault</x:v>
      </x:c>
      <x:c r="C149" s="14" t="str">
        <x:v>Vibrava</x:v>
      </x:c>
      <x:c r="D149" s="14" t="str">
        <x:v>98/149</x:v>
      </x:c>
      <x:c r="E149" s="14" t="str">
        <x:v>Boundaries Crossed</x:v>
      </x:c>
      <x:c r="F149" s="18" t="n">
        <x:v>2012</x:v>
      </x:c>
      <x:c r="G149" s="14" t="str">
        <x:v>Reverse Holo</x:v>
      </x:c>
      <x:c r="H149" s="14" t="str">
        <x:v>2 of 2</x:v>
      </x:c>
      <x:c r="I149" s="16" t="n">
        <x:v>2.6</x:v>
      </x:c>
      <x:c r="J149" s="16" t="n">
        <x:v>2.62</x:v>
      </x:c>
      <x:c r="K149" s="16" t="n">
        <x:v>2.6100000000000003</x:v>
      </x:c>
      <x:c r="L149" s="14" t="str">
        <x:v>$1–5</x:v>
      </x:c>
      <x:c r="M149" s="14" t="str">
        <x:v>Yes</x:v>
      </x:c>
      <x:c r="N149" s="14" t="str">
        <x:v>No</x:v>
      </x:c>
      <x:c r="O149" s="14" t="str">
        <x:v>Yes</x:v>
      </x:c>
      <x:c r="P149" s="14" t="str">
        <x:v>Clean/NM benchmark unless noted</x:v>
      </x:c>
      <x:c r="Q149" s="16" t="n">
        <x:v>2.6</x:v>
      </x:c>
      <x:c r="R149" s="16" t="n">
        <x:v>2.62</x:v>
      </x:c>
      <x:c r="S149" s="16" t="n">
        <x:v>2.6100000000000003</x:v>
      </x:c>
      <x:c r="T149" s="14" t="str">
        <x:v>Second physical copy sent later at index 716.</x:v>
      </x:c>
      <x:c r="U149" s="18" t="n">
        <x:v>680</x:v>
      </x:c>
      <x:c r="V149" s="14" t="str">
        <x:v>Uploaded Pokémon chat JSON / prior card-by-card research</x:v>
      </x:c>
      <x:c r="W149" s="14"/>
    </x:row>
    <x:row r="150">
      <x:c r="A150" s="18" t="n">
        <x:v>198</x:v>
      </x:c>
      <x:c r="B150" s="14" t="str">
        <x:v>Dragon / Dragon Vault</x:v>
      </x:c>
      <x:c r="C150" s="14" t="str">
        <x:v>Gabite</x:v>
      </x:c>
      <x:c r="D150" s="14" t="str">
        <x:v>89/124</x:v>
      </x:c>
      <x:c r="E150" s="14" t="str">
        <x:v>Dragons Exalted</x:v>
      </x:c>
      <x:c r="F150" s="18" t="n">
        <x:v>2012</x:v>
      </x:c>
      <x:c r="G150" s="14" t="str">
        <x:v>Reverse Holo</x:v>
      </x:c>
      <x:c r="H150" s="14" t="str">
        <x:v>1 of 1</x:v>
      </x:c>
      <x:c r="I150" s="16" t="n">
        <x:v>19.5</x:v>
      </x:c>
      <x:c r="J150" s="16" t="n">
        <x:v>20</x:v>
      </x:c>
      <x:c r="K150" s="16" t="n">
        <x:v>19.75</x:v>
      </x:c>
      <x:c r="L150" s="14" t="str">
        <x:v>$5–20</x:v>
      </x:c>
      <x:c r="M150" s="14" t="str">
        <x:v>Yes</x:v>
      </x:c>
      <x:c r="N150" s="14" t="str">
        <x:v>Yes</x:v>
      </x:c>
      <x:c r="O150" s="14" t="str">
        <x:v>Yes</x:v>
      </x:c>
      <x:c r="P150" s="14" t="str">
        <x:v>Clean/NM benchmark unless noted</x:v>
      </x:c>
      <x:c r="Q150" s="16" t="n">
        <x:v>19.5</x:v>
      </x:c>
      <x:c r="R150" s="16" t="n">
        <x:v>20</x:v>
      </x:c>
      <x:c r="S150" s="16" t="n">
        <x:v>19.75</x:v>
      </x:c>
      <x:c r="T150" s="14"/>
      <x:c r="U150" s="18" t="n">
        <x:v>680</x:v>
      </x:c>
      <x:c r="V150" s="14" t="str">
        <x:v>Uploaded Pokémon chat JSON / prior card-by-card research</x:v>
      </x:c>
      <x:c r="W150" s="14"/>
    </x:row>
    <x:row r="151">
      <x:c r="A151" s="18" t="n">
        <x:v>201</x:v>
      </x:c>
      <x:c r="B151" s="14" t="str">
        <x:v>Dragon / Dragon Vault</x:v>
      </x:c>
      <x:c r="C151" s="14" t="str">
        <x:v>Flygon</x:v>
      </x:c>
      <x:c r="D151" s="14" t="str">
        <x:v>99/149</x:v>
      </x:c>
      <x:c r="E151" s="14" t="str">
        <x:v>Boundaries Crossed</x:v>
      </x:c>
      <x:c r="F151" s="18" t="n">
        <x:v>2012</x:v>
      </x:c>
      <x:c r="G151" s="14" t="str">
        <x:v>Holo Rare</x:v>
      </x:c>
      <x:c r="H151" s="14" t="str">
        <x:v>1 of 3</x:v>
      </x:c>
      <x:c r="I151" s="16" t="n">
        <x:v>13</x:v>
      </x:c>
      <x:c r="J151" s="16" t="n">
        <x:v>14</x:v>
      </x:c>
      <x:c r="K151" s="16" t="n">
        <x:v>13.5</x:v>
      </x:c>
      <x:c r="L151" s="14" t="str">
        <x:v>$5–20</x:v>
      </x:c>
      <x:c r="M151" s="14" t="str">
        <x:v>Yes</x:v>
      </x:c>
      <x:c r="N151" s="14" t="str">
        <x:v>Yes</x:v>
      </x:c>
      <x:c r="O151" s="14" t="str">
        <x:v>Yes</x:v>
      </x:c>
      <x:c r="P151" s="14" t="str">
        <x:v>Clean/NM benchmark unless noted</x:v>
      </x:c>
      <x:c r="Q151" s="16" t="n">
        <x:v>13</x:v>
      </x:c>
      <x:c r="R151" s="16" t="n">
        <x:v>14</x:v>
      </x:c>
      <x:c r="S151" s="16" t="n">
        <x:v>13.5</x:v>
      </x:c>
      <x:c r="T151" s="14"/>
      <x:c r="U151" s="18" t="n">
        <x:v>692</x:v>
      </x:c>
      <x:c r="V151" s="14" t="str">
        <x:v>Uploaded Pokémon chat JSON / prior card-by-card research</x:v>
      </x:c>
      <x:c r="W151" s="14"/>
    </x:row>
    <x:row r="152">
      <x:c r="A152" s="18" t="n">
        <x:v>202</x:v>
      </x:c>
      <x:c r="B152" s="14" t="str">
        <x:v>Dragon / Dragon Vault</x:v>
      </x:c>
      <x:c r="C152" s="14" t="str">
        <x:v>Flygon</x:v>
      </x:c>
      <x:c r="D152" s="14" t="str">
        <x:v>99/149</x:v>
      </x:c>
      <x:c r="E152" s="14" t="str">
        <x:v>Boundaries Crossed</x:v>
      </x:c>
      <x:c r="F152" s="18" t="n">
        <x:v>2012</x:v>
      </x:c>
      <x:c r="G152" s="14" t="str">
        <x:v>Holo Rare</x:v>
      </x:c>
      <x:c r="H152" s="14" t="str">
        <x:v>2 of 3</x:v>
      </x:c>
      <x:c r="I152" s="16" t="n">
        <x:v>13</x:v>
      </x:c>
      <x:c r="J152" s="16" t="n">
        <x:v>14</x:v>
      </x:c>
      <x:c r="K152" s="16" t="n">
        <x:v>13.5</x:v>
      </x:c>
      <x:c r="L152" s="14" t="str">
        <x:v>$5–20</x:v>
      </x:c>
      <x:c r="M152" s="14" t="str">
        <x:v>Yes</x:v>
      </x:c>
      <x:c r="N152" s="14" t="str">
        <x:v>Yes</x:v>
      </x:c>
      <x:c r="O152" s="14" t="str">
        <x:v>Yes</x:v>
      </x:c>
      <x:c r="P152" s="14" t="str">
        <x:v>Clean/NM benchmark unless noted</x:v>
      </x:c>
      <x:c r="Q152" s="16" t="n">
        <x:v>13</x:v>
      </x:c>
      <x:c r="R152" s="16" t="n">
        <x:v>14</x:v>
      </x:c>
      <x:c r="S152" s="16" t="n">
        <x:v>13.5</x:v>
      </x:c>
      <x:c r="T152" s="14"/>
      <x:c r="U152" s="18" t="n">
        <x:v>692</x:v>
      </x:c>
      <x:c r="V152" s="14" t="str">
        <x:v>Uploaded Pokémon chat JSON / prior card-by-card research</x:v>
      </x:c>
      <x:c r="W152" s="14"/>
    </x:row>
    <x:row r="153">
      <x:c r="A153" s="18" t="n">
        <x:v>203</x:v>
      </x:c>
      <x:c r="B153" s="14" t="str">
        <x:v>Dragon / Dragon Vault</x:v>
      </x:c>
      <x:c r="C153" s="14" t="str">
        <x:v>White Kyurem</x:v>
      </x:c>
      <x:c r="D153" s="14" t="str">
        <x:v>102/149</x:v>
      </x:c>
      <x:c r="E153" s="14" t="str">
        <x:v>Boundaries Crossed</x:v>
      </x:c>
      <x:c r="F153" s="18" t="n">
        <x:v>2012</x:v>
      </x:c>
      <x:c r="G153" s="14" t="str">
        <x:v>Holo</x:v>
      </x:c>
      <x:c r="H153" s="14" t="str">
        <x:v>1 of 1</x:v>
      </x:c>
      <x:c r="I153" s="16" t="n">
        <x:v>1.5</x:v>
      </x:c>
      <x:c r="J153" s="16" t="n">
        <x:v>2</x:v>
      </x:c>
      <x:c r="K153" s="16" t="n">
        <x:v>1.75</x:v>
      </x:c>
      <x:c r="L153" s="14" t="str">
        <x:v>$1–5</x:v>
      </x:c>
      <x:c r="M153" s="14" t="str">
        <x:v>Yes</x:v>
      </x:c>
      <x:c r="N153" s="14" t="str">
        <x:v>No</x:v>
      </x:c>
      <x:c r="O153" s="14" t="str">
        <x:v>Yes</x:v>
      </x:c>
      <x:c r="P153" s="14" t="str">
        <x:v>Clean/NM benchmark unless noted</x:v>
      </x:c>
      <x:c r="Q153" s="16" t="n">
        <x:v>1.5</x:v>
      </x:c>
      <x:c r="R153" s="16" t="n">
        <x:v>2</x:v>
      </x:c>
      <x:c r="S153" s="16" t="n">
        <x:v>1.75</x:v>
      </x:c>
      <x:c r="T153" s="14" t="str">
        <x:v>Originally assumed regular; corrected to holo at index 754 without adding a card.</x:v>
      </x:c>
      <x:c r="U153" s="18" t="n">
        <x:v>698</x:v>
      </x:c>
      <x:c r="V153" s="14" t="str">
        <x:v>Uploaded Pokémon chat JSON / prior card-by-card research</x:v>
      </x:c>
      <x:c r="W153" s="14"/>
    </x:row>
    <x:row r="154">
      <x:c r="A154" s="18" t="n">
        <x:v>204</x:v>
      </x:c>
      <x:c r="B154" s="14" t="str">
        <x:v>Dragon / Dragon Vault</x:v>
      </x:c>
      <x:c r="C154" s="14" t="str">
        <x:v>Black Kyurem</x:v>
      </x:c>
      <x:c r="D154" s="14" t="str">
        <x:v>100/149</x:v>
      </x:c>
      <x:c r="E154" s="14" t="str">
        <x:v>Boundaries Crossed</x:v>
      </x:c>
      <x:c r="F154" s="18" t="n">
        <x:v>2012</x:v>
      </x:c>
      <x:c r="G154" s="14" t="str">
        <x:v>Regular</x:v>
      </x:c>
      <x:c r="H154" s="14" t="str">
        <x:v>1 of 1</x:v>
      </x:c>
      <x:c r="I154" s="16" t="n">
        <x:v>1</x:v>
      </x:c>
      <x:c r="J154" s="16" t="n">
        <x:v>1.5</x:v>
      </x:c>
      <x:c r="K154" s="16" t="n">
        <x:v>1.25</x:v>
      </x:c>
      <x:c r="L154" s="14" t="str">
        <x:v>$1–5</x:v>
      </x:c>
      <x:c r="M154" s="14" t="str">
        <x:v>Yes</x:v>
      </x:c>
      <x:c r="N154" s="14" t="str">
        <x:v>No</x:v>
      </x:c>
      <x:c r="O154" s="14" t="str">
        <x:v>Yes</x:v>
      </x:c>
      <x:c r="P154" s="14" t="str">
        <x:v>Clean/NM benchmark unless noted</x:v>
      </x:c>
      <x:c r="Q154" s="16" t="n">
        <x:v>1</x:v>
      </x:c>
      <x:c r="R154" s="16" t="n">
        <x:v>1.5</x:v>
      </x:c>
      <x:c r="S154" s="16" t="n">
        <x:v>1.25</x:v>
      </x:c>
      <x:c r="T154" s="14"/>
      <x:c r="U154" s="18" t="n">
        <x:v>704</x:v>
      </x:c>
      <x:c r="V154" s="14" t="str">
        <x:v>Uploaded Pokémon chat JSON / prior card-by-card research</x:v>
      </x:c>
      <x:c r="W154" s="14"/>
    </x:row>
    <x:row r="155">
      <x:c r="A155" s="18" t="n">
        <x:v>206</x:v>
      </x:c>
      <x:c r="B155" s="14" t="str">
        <x:v>Dragon / Dragon Vault</x:v>
      </x:c>
      <x:c r="C155" s="14" t="str">
        <x:v>Dragonair</x:v>
      </x:c>
      <x:c r="D155" s="14" t="str">
        <x:v>82/116</x:v>
      </x:c>
      <x:c r="E155" s="14" t="str">
        <x:v>Plasma Freeze</x:v>
      </x:c>
      <x:c r="F155" s="18" t="n">
        <x:v>2013</x:v>
      </x:c>
      <x:c r="G155" s="14" t="str">
        <x:v>Regular</x:v>
      </x:c>
      <x:c r="H155" s="14" t="str">
        <x:v>1 of 2</x:v>
      </x:c>
      <x:c r="I155" s="16" t="n">
        <x:v>2</x:v>
      </x:c>
      <x:c r="J155" s="16" t="n">
        <x:v>2.06</x:v>
      </x:c>
      <x:c r="K155" s="16" t="n">
        <x:v>2.0300000000000002</x:v>
      </x:c>
      <x:c r="L155" s="14" t="str">
        <x:v>$1–5</x:v>
      </x:c>
      <x:c r="M155" s="14" t="str">
        <x:v>Yes</x:v>
      </x:c>
      <x:c r="N155" s="14" t="str">
        <x:v>No</x:v>
      </x:c>
      <x:c r="O155" s="14" t="str">
        <x:v>Yes</x:v>
      </x:c>
      <x:c r="P155" s="14" t="str">
        <x:v>Clean/NM benchmark unless noted</x:v>
      </x:c>
      <x:c r="Q155" s="16" t="n">
        <x:v>2</x:v>
      </x:c>
      <x:c r="R155" s="16" t="n">
        <x:v>2.06</x:v>
      </x:c>
      <x:c r="S155" s="16" t="n">
        <x:v>2.0300000000000002</x:v>
      </x:c>
      <x:c r="T155" s="14"/>
      <x:c r="U155" s="18" t="n">
        <x:v>710</x:v>
      </x:c>
      <x:c r="V155" s="14" t="str">
        <x:v>Uploaded Pokémon chat JSON / prior card-by-card research</x:v>
      </x:c>
      <x:c r="W155" s="14"/>
    </x:row>
    <x:row r="156">
      <x:c r="A156" s="18" t="n">
        <x:v>207</x:v>
      </x:c>
      <x:c r="B156" s="14" t="str">
        <x:v>Dragon / Dragon Vault</x:v>
      </x:c>
      <x:c r="C156" s="14" t="str">
        <x:v>Gabite</x:v>
      </x:c>
      <x:c r="D156" s="14" t="str">
        <x:v>88/124</x:v>
      </x:c>
      <x:c r="E156" s="14" t="str">
        <x:v>Dragons Exalted</x:v>
      </x:c>
      <x:c r="F156" s="18" t="n">
        <x:v>2012</x:v>
      </x:c>
      <x:c r="G156" s="14" t="str">
        <x:v>Reverse Holo</x:v>
      </x:c>
      <x:c r="H156" s="14" t="str">
        <x:v>1 of 1</x:v>
      </x:c>
      <x:c r="I156" s="16" t="n">
        <x:v>2.75</x:v>
      </x:c>
      <x:c r="J156" s="16" t="n">
        <x:v>3</x:v>
      </x:c>
      <x:c r="K156" s="16" t="n">
        <x:v>2.875</x:v>
      </x:c>
      <x:c r="L156" s="14" t="str">
        <x:v>$1–5</x:v>
      </x:c>
      <x:c r="M156" s="14" t="str">
        <x:v>Yes</x:v>
      </x:c>
      <x:c r="N156" s="14" t="str">
        <x:v>No</x:v>
      </x:c>
      <x:c r="O156" s="14" t="str">
        <x:v>Yes</x:v>
      </x:c>
      <x:c r="P156" s="14" t="str">
        <x:v>Clean/NM benchmark unless noted</x:v>
      </x:c>
      <x:c r="Q156" s="16" t="n">
        <x:v>2.75</x:v>
      </x:c>
      <x:c r="R156" s="16" t="n">
        <x:v>3</x:v>
      </x:c>
      <x:c r="S156" s="16" t="n">
        <x:v>2.875</x:v>
      </x:c>
      <x:c r="T156" s="14"/>
      <x:c r="U156" s="18" t="n">
        <x:v>722</x:v>
      </x:c>
      <x:c r="V156" s="14" t="str">
        <x:v>Uploaded Pokémon chat JSON / prior card-by-card research</x:v>
      </x:c>
      <x:c r="W156" s="14"/>
    </x:row>
    <x:row r="157">
      <x:c r="A157" s="18" t="n">
        <x:v>208</x:v>
      </x:c>
      <x:c r="B157" s="14" t="str">
        <x:v>Dragon / Dragon Vault</x:v>
      </x:c>
      <x:c r="C157" s="14" t="str">
        <x:v>Zweilous</x:v>
      </x:c>
      <x:c r="D157" s="14" t="str">
        <x:v>95/124</x:v>
      </x:c>
      <x:c r="E157" s="14" t="str">
        <x:v>Dragons Exalted</x:v>
      </x:c>
      <x:c r="F157" s="18" t="n">
        <x:v>2012</x:v>
      </x:c>
      <x:c r="G157" s="14" t="str">
        <x:v>Reverse Holo</x:v>
      </x:c>
      <x:c r="H157" s="14" t="str">
        <x:v>1 of 1</x:v>
      </x:c>
      <x:c r="I157" s="16" t="n">
        <x:v>1.1</x:v>
      </x:c>
      <x:c r="J157" s="16" t="n">
        <x:v>1.1</x:v>
      </x:c>
      <x:c r="K157" s="16" t="n">
        <x:v>1.1</x:v>
      </x:c>
      <x:c r="L157" s="14" t="str">
        <x:v>$1–5</x:v>
      </x:c>
      <x:c r="M157" s="14" t="str">
        <x:v>Yes</x:v>
      </x:c>
      <x:c r="N157" s="14" t="str">
        <x:v>No</x:v>
      </x:c>
      <x:c r="O157" s="14" t="str">
        <x:v>Yes</x:v>
      </x:c>
      <x:c r="P157" s="14" t="str">
        <x:v>Clean/NM benchmark unless noted</x:v>
      </x:c>
      <x:c r="Q157" s="16" t="n">
        <x:v>1.1</x:v>
      </x:c>
      <x:c r="R157" s="16" t="n">
        <x:v>1.1</x:v>
      </x:c>
      <x:c r="S157" s="16" t="n">
        <x:v>1.1</x:v>
      </x:c>
      <x:c r="T157" s="14"/>
      <x:c r="U157" s="18" t="n">
        <x:v>728</x:v>
      </x:c>
      <x:c r="V157" s="14" t="str">
        <x:v>Uploaded Pokémon chat JSON / prior card-by-card research</x:v>
      </x:c>
      <x:c r="W157" s="14"/>
    </x:row>
    <x:row r="158">
      <x:c r="A158" s="18" t="n">
        <x:v>209</x:v>
      </x:c>
      <x:c r="B158" s="14" t="str">
        <x:v>Post-Dragon / Mixed Pokémon</x:v>
      </x:c>
      <x:c r="C158" s="14" t="str">
        <x:v>Latios</x:v>
      </x:c>
      <x:c r="D158" s="14" t="str">
        <x:v>10/20</x:v>
      </x:c>
      <x:c r="E158" s="14" t="str">
        <x:v>Dragon Vault</x:v>
      </x:c>
      <x:c r="F158" s="18" t="n">
        <x:v>2012</x:v>
      </x:c>
      <x:c r="G158" s="14" t="str">
        <x:v>Holo</x:v>
      </x:c>
      <x:c r="H158" s="14" t="str">
        <x:v>1 of 1</x:v>
      </x:c>
      <x:c r="I158" s="16" t="n">
        <x:v>9</x:v>
      </x:c>
      <x:c r="J158" s="16" t="n">
        <x:v>11</x:v>
      </x:c>
      <x:c r="K158" s="16" t="n">
        <x:v>10</x:v>
      </x:c>
      <x:c r="L158" s="14" t="str">
        <x:v>$5–20</x:v>
      </x:c>
      <x:c r="M158" s="14" t="str">
        <x:v>Yes</x:v>
      </x:c>
      <x:c r="N158" s="14" t="str">
        <x:v>Yes</x:v>
      </x:c>
      <x:c r="O158" s="14" t="str">
        <x:v>Yes</x:v>
      </x:c>
      <x:c r="P158" s="14" t="str">
        <x:v>Clean/NM benchmark unless noted</x:v>
      </x:c>
      <x:c r="Q158" s="16" t="n">
        <x:v>9</x:v>
      </x:c>
      <x:c r="R158" s="16" t="n">
        <x:v>11</x:v>
      </x:c>
      <x:c r="S158" s="16" t="n">
        <x:v>10</x:v>
      </x:c>
      <x:c r="T158" s="14" t="str">
        <x:v>Additional physical copy; makes 3 total overall.</x:v>
      </x:c>
      <x:c r="U158" s="18" t="n">
        <x:v>751</x:v>
      </x:c>
      <x:c r="V158" s="14" t="str">
        <x:v>Uploaded Pokémon chat JSON / prior card-by-card research</x:v>
      </x:c>
      <x:c r="W158" s="14"/>
    </x:row>
    <x:row r="159">
      <x:c r="A159" s="18" t="n">
        <x:v>210</x:v>
      </x:c>
      <x:c r="B159" s="14" t="str">
        <x:v>Post-Dragon / Mixed Pokémon</x:v>
      </x:c>
      <x:c r="C159" s="14" t="str">
        <x:v>Salamence</x:v>
      </x:c>
      <x:c r="D159" s="14" t="str">
        <x:v>8/20</x:v>
      </x:c>
      <x:c r="E159" s="14" t="str">
        <x:v>Dragon Vault</x:v>
      </x:c>
      <x:c r="F159" s="18" t="n">
        <x:v>2012</x:v>
      </x:c>
      <x:c r="G159" s="14" t="str">
        <x:v>Holo</x:v>
      </x:c>
      <x:c r="H159" s="14" t="str">
        <x:v>3 of 6</x:v>
      </x:c>
      <x:c r="I159" s="16" t="n">
        <x:v>5.5</x:v>
      </x:c>
      <x:c r="J159" s="16" t="n">
        <x:v>6</x:v>
      </x:c>
      <x:c r="K159" s="16" t="n">
        <x:v>5.75</x:v>
      </x:c>
      <x:c r="L159" s="14" t="str">
        <x:v>$5–20</x:v>
      </x:c>
      <x:c r="M159" s="14" t="str">
        <x:v>Yes</x:v>
      </x:c>
      <x:c r="N159" s="14" t="str">
        <x:v>No</x:v>
      </x:c>
      <x:c r="O159" s="14" t="str">
        <x:v>Yes</x:v>
      </x:c>
      <x:c r="P159" s="14" t="str">
        <x:v>Clean/NM benchmark unless noted</x:v>
      </x:c>
      <x:c r="Q159" s="16" t="n">
        <x:v>5.5</x:v>
      </x:c>
      <x:c r="R159" s="16" t="n">
        <x:v>6</x:v>
      </x:c>
      <x:c r="S159" s="16" t="n">
        <x:v>5.75</x:v>
      </x:c>
      <x:c r="T159" s="14" t="str">
        <x:v>Additional physical copy; makes 3 total overall.</x:v>
      </x:c>
      <x:c r="U159" s="18" t="n">
        <x:v>751</x:v>
      </x:c>
      <x:c r="V159" s="14" t="str">
        <x:v>Uploaded Pokémon chat JSON / prior card-by-card research</x:v>
      </x:c>
      <x:c r="W159" s="14"/>
    </x:row>
    <x:row r="160">
      <x:c r="A160" s="18" t="n">
        <x:v>211</x:v>
      </x:c>
      <x:c r="B160" s="14" t="str">
        <x:v>Post-Dragon / Mixed Pokémon</x:v>
      </x:c>
      <x:c r="C160" s="14" t="str">
        <x:v>Raichu</x:v>
      </x:c>
      <x:c r="D160" s="14" t="str">
        <x:v>43/146</x:v>
      </x:c>
      <x:c r="E160" s="14" t="str">
        <x:v>XY Base Set</x:v>
      </x:c>
      <x:c r="F160" s="18" t="n">
        <x:v>2014</x:v>
      </x:c>
      <x:c r="G160" s="14" t="str">
        <x:v>Holo Rare</x:v>
      </x:c>
      <x:c r="H160" s="14" t="str">
        <x:v>1 of 1</x:v>
      </x:c>
      <x:c r="I160" s="16" t="n">
        <x:v>2.85</x:v>
      </x:c>
      <x:c r="J160" s="16" t="n">
        <x:v>3</x:v>
      </x:c>
      <x:c r="K160" s="16" t="n">
        <x:v>2.925</x:v>
      </x:c>
      <x:c r="L160" s="14" t="str">
        <x:v>$1–5</x:v>
      </x:c>
      <x:c r="M160" s="14" t="str">
        <x:v>Yes</x:v>
      </x:c>
      <x:c r="N160" s="14" t="str">
        <x:v>No</x:v>
      </x:c>
      <x:c r="O160" s="14" t="str">
        <x:v>Yes</x:v>
      </x:c>
      <x:c r="P160" s="14" t="str">
        <x:v>Clean/NM benchmark unless noted</x:v>
      </x:c>
      <x:c r="Q160" s="16" t="n">
        <x:v>2.85</x:v>
      </x:c>
      <x:c r="R160" s="16" t="n">
        <x:v>3</x:v>
      </x:c>
      <x:c r="S160" s="16" t="n">
        <x:v>2.925</x:v>
      </x:c>
      <x:c r="T160" s="14"/>
      <x:c r="U160" s="18" t="n">
        <x:v>760</x:v>
      </x:c>
      <x:c r="V160" s="14" t="str">
        <x:v>Uploaded Pokémon chat JSON / prior card-by-card research</x:v>
      </x:c>
      <x:c r="W160" s="14"/>
    </x:row>
    <x:row r="161">
      <x:c r="A161" s="18" t="n">
        <x:v>212</x:v>
      </x:c>
      <x:c r="B161" s="14" t="str">
        <x:v>Post-Dragon / Mixed Pokémon</x:v>
      </x:c>
      <x:c r="C161" s="14" t="str">
        <x:v>Hydreigon</x:v>
      </x:c>
      <x:c r="D161" s="14" t="str">
        <x:v>79/101</x:v>
      </x:c>
      <x:c r="E161" s="14" t="str">
        <x:v>Noble Victories</x:v>
      </x:c>
      <x:c r="F161" s="18" t="n">
        <x:v>2011</x:v>
      </x:c>
      <x:c r="G161" s="14" t="str">
        <x:v>Holo Rare</x:v>
      </x:c>
      <x:c r="H161" s="14" t="str">
        <x:v>1 of 1</x:v>
      </x:c>
      <x:c r="I161" s="16" t="n">
        <x:v>7</x:v>
      </x:c>
      <x:c r="J161" s="16" t="n">
        <x:v>10</x:v>
      </x:c>
      <x:c r="K161" s="16" t="n">
        <x:v>8.5</x:v>
      </x:c>
      <x:c r="L161" s="14" t="str">
        <x:v>$5–20</x:v>
      </x:c>
      <x:c r="M161" s="14" t="str">
        <x:v>Yes</x:v>
      </x:c>
      <x:c r="N161" s="14" t="str">
        <x:v>Yes</x:v>
      </x:c>
      <x:c r="O161" s="14" t="str">
        <x:v>Yes</x:v>
      </x:c>
      <x:c r="P161" s="14" t="str">
        <x:v>Clean/NM benchmark unless noted</x:v>
      </x:c>
      <x:c r="Q161" s="16" t="n">
        <x:v>7</x:v>
      </x:c>
      <x:c r="R161" s="16" t="n">
        <x:v>10</x:v>
      </x:c>
      <x:c r="S161" s="16" t="n">
        <x:v>8.5</x:v>
      </x:c>
      <x:c r="T161" s="14" t="str">
        <x:v>Old chat top-loaded due current market near/over $10.</x:v>
      </x:c>
      <x:c r="U161" s="18" t="n">
        <x:v>766</x:v>
      </x:c>
      <x:c r="V161" s="14" t="str">
        <x:v>Uploaded Pokémon chat JSON / prior card-by-card research</x:v>
      </x:c>
      <x:c r="W161" s="14"/>
    </x:row>
    <x:row r="162">
      <x:c r="A162" s="18" t="n">
        <x:v>220</x:v>
      </x:c>
      <x:c r="B162" s="14" t="str">
        <x:v>Post-Dragon / Mixed Pokémon</x:v>
      </x:c>
      <x:c r="C162" s="14" t="str">
        <x:v>Froslass</x:v>
      </x:c>
      <x:c r="D162" s="14" t="str">
        <x:v>23/101</x:v>
      </x:c>
      <x:c r="E162" s="14" t="str">
        <x:v>Plasma Blast</x:v>
      </x:c>
      <x:c r="F162" s="18" t="n">
        <x:v>2013</x:v>
      </x:c>
      <x:c r="G162" s="14" t="str">
        <x:v>Reverse Holo</x:v>
      </x:c>
      <x:c r="H162" s="14" t="str">
        <x:v>1 of 1</x:v>
      </x:c>
      <x:c r="I162" s="16" t="n">
        <x:v>1.94</x:v>
      </x:c>
      <x:c r="J162" s="16" t="n">
        <x:v>2</x:v>
      </x:c>
      <x:c r="K162" s="16" t="n">
        <x:v>1.97</x:v>
      </x:c>
      <x:c r="L162" s="14" t="str">
        <x:v>$1–5</x:v>
      </x:c>
      <x:c r="M162" s="14" t="str">
        <x:v>Yes</x:v>
      </x:c>
      <x:c r="N162" s="14" t="str">
        <x:v>No</x:v>
      </x:c>
      <x:c r="O162" s="14" t="str">
        <x:v>Yes</x:v>
      </x:c>
      <x:c r="P162" s="14" t="str">
        <x:v>Clean/NM benchmark unless noted</x:v>
      </x:c>
      <x:c r="Q162" s="16" t="n">
        <x:v>1.94</x:v>
      </x:c>
      <x:c r="R162" s="16" t="n">
        <x:v>2</x:v>
      </x:c>
      <x:c r="S162" s="16" t="n">
        <x:v>1.97</x:v>
      </x:c>
      <x:c r="T162" s="14"/>
      <x:c r="U162" s="18" t="n">
        <x:v>779</x:v>
      </x:c>
      <x:c r="V162" s="14" t="str">
        <x:v>Uploaded Pokémon chat JSON / prior card-by-card research</x:v>
      </x:c>
      <x:c r="W162" s="14"/>
    </x:row>
    <x:row r="163">
      <x:c r="A163" s="18" t="n">
        <x:v>221</x:v>
      </x:c>
      <x:c r="B163" s="14" t="str">
        <x:v>Post-Dragon / Mixed Pokémon</x:v>
      </x:c>
      <x:c r="C163" s="14" t="str">
        <x:v>Golduck</x:v>
      </x:c>
      <x:c r="D163" s="14" t="str">
        <x:v>35/149</x:v>
      </x:c>
      <x:c r="E163" s="14" t="str">
        <x:v>Boundaries Crossed</x:v>
      </x:c>
      <x:c r="F163" s="18" t="n">
        <x:v>2012</x:v>
      </x:c>
      <x:c r="G163" s="14" t="str">
        <x:v>Reverse Holo</x:v>
      </x:c>
      <x:c r="H163" s="14" t="str">
        <x:v>1 of 1</x:v>
      </x:c>
      <x:c r="I163" s="16" t="n">
        <x:v>3</x:v>
      </x:c>
      <x:c r="J163" s="16" t="n">
        <x:v>3.22</x:v>
      </x:c>
      <x:c r="K163" s="16" t="n">
        <x:v>3.1100000000000003</x:v>
      </x:c>
      <x:c r="L163" s="14" t="str">
        <x:v>$1–5</x:v>
      </x:c>
      <x:c r="M163" s="14" t="str">
        <x:v>Yes</x:v>
      </x:c>
      <x:c r="N163" s="14" t="str">
        <x:v>No</x:v>
      </x:c>
      <x:c r="O163" s="14" t="str">
        <x:v>Yes</x:v>
      </x:c>
      <x:c r="P163" s="14" t="str">
        <x:v>Clean/NM benchmark unless noted</x:v>
      </x:c>
      <x:c r="Q163" s="16" t="n">
        <x:v>3</x:v>
      </x:c>
      <x:c r="R163" s="16" t="n">
        <x:v>3.22</x:v>
      </x:c>
      <x:c r="S163" s="16" t="n">
        <x:v>3.1100000000000003</x:v>
      </x:c>
      <x:c r="T163" s="14"/>
      <x:c r="U163" s="18" t="n">
        <x:v>779</x:v>
      </x:c>
      <x:c r="V163" s="14" t="str">
        <x:v>Uploaded Pokémon chat JSON / prior card-by-card research</x:v>
      </x:c>
      <x:c r="W163" s="14"/>
    </x:row>
    <x:row r="164">
      <x:c r="A164" s="18" t="n">
        <x:v>224</x:v>
      </x:c>
      <x:c r="B164" s="14" t="str">
        <x:v>Post-Dragon / Mixed Pokémon</x:v>
      </x:c>
      <x:c r="C164" s="14" t="str">
        <x:v>Luxray BREAK</x:v>
      </x:c>
      <x:c r="D164" s="14" t="str">
        <x:v>47/122</x:v>
      </x:c>
      <x:c r="E164" s="14" t="str">
        <x:v>BREAKpoint</x:v>
      </x:c>
      <x:c r="F164" s="18" t="n">
        <x:v>2016</x:v>
      </x:c>
      <x:c r="G164" s="14" t="str">
        <x:v>BREAK</x:v>
      </x:c>
      <x:c r="H164" s="14" t="str">
        <x:v>1 of 1</x:v>
      </x:c>
      <x:c r="I164" s="16" t="n">
        <x:v>6.22</x:v>
      </x:c>
      <x:c r="J164" s="16" t="n">
        <x:v>6.96</x:v>
      </x:c>
      <x:c r="K164" s="16" t="n">
        <x:v>6.59</x:v>
      </x:c>
      <x:c r="L164" s="14" t="str">
        <x:v>$5–20</x:v>
      </x:c>
      <x:c r="M164" s="14" t="str">
        <x:v>Yes</x:v>
      </x:c>
      <x:c r="N164" s="14" t="str">
        <x:v>No</x:v>
      </x:c>
      <x:c r="O164" s="14" t="str">
        <x:v>Yes</x:v>
      </x:c>
      <x:c r="P164" s="14" t="str">
        <x:v>LP / borderline NM-LP</x:v>
      </x:c>
      <x:c r="Q164" s="16" t="n">
        <x:v>4</x:v>
      </x:c>
      <x:c r="R164" s="16" t="n">
        <x:v>6</x:v>
      </x:c>
      <x:c r="S164" s="16" t="n">
        <x:v>5</x:v>
      </x:c>
      <x:c r="T164" s="14" t="str">
        <x:v>Few white spots on back.</x:v>
      </x:c>
      <x:c r="U164" s="18" t="n">
        <x:v>791</x:v>
      </x:c>
      <x:c r="V164" s="14" t="str">
        <x:v>Uploaded Pokémon chat JSON / prior card-by-card research</x:v>
      </x:c>
      <x:c r="W164" s="14"/>
    </x:row>
    <x:row r="165">
      <x:c r="A165" s="18" t="n">
        <x:v>226</x:v>
      </x:c>
      <x:c r="B165" s="14" t="str">
        <x:v>Post-Dragon / Mixed Pokémon</x:v>
      </x:c>
      <x:c r="C165" s="14" t="str">
        <x:v>Aerodactyl-EX</x:v>
      </x:c>
      <x:c r="D165" s="14" t="str">
        <x:v>XY97</x:v>
      </x:c>
      <x:c r="E165" s="14" t="str">
        <x:v>XY Black Star Promo</x:v>
      </x:c>
      <x:c r="F165" s="18" t="n">
        <x:v>2016</x:v>
      </x:c>
      <x:c r="G165" s="14" t="str">
        <x:v>EX Promo</x:v>
      </x:c>
      <x:c r="H165" s="14" t="str">
        <x:v>1 of 1</x:v>
      </x:c>
      <x:c r="I165" s="16" t="n">
        <x:v>5.25</x:v>
      </x:c>
      <x:c r="J165" s="16" t="n">
        <x:v>5.5</x:v>
      </x:c>
      <x:c r="K165" s="16" t="n">
        <x:v>5.375</x:v>
      </x:c>
      <x:c r="L165" s="14" t="str">
        <x:v>$5–20</x:v>
      </x:c>
      <x:c r="M165" s="14" t="str">
        <x:v>Yes</x:v>
      </x:c>
      <x:c r="N165" s="14" t="str">
        <x:v>No</x:v>
      </x:c>
      <x:c r="O165" s="14" t="str">
        <x:v>Yes</x:v>
      </x:c>
      <x:c r="P165" s="14" t="str">
        <x:v>Clean/NM benchmark unless noted</x:v>
      </x:c>
      <x:c r="Q165" s="16" t="n">
        <x:v>5.25</x:v>
      </x:c>
      <x:c r="R165" s="16" t="n">
        <x:v>5.5</x:v>
      </x:c>
      <x:c r="S165" s="16" t="n">
        <x:v>5.375</x:v>
      </x:c>
      <x:c r="T165" s="14"/>
      <x:c r="U165" s="18" t="n">
        <x:v>803</x:v>
      </x:c>
      <x:c r="V165" s="14" t="str">
        <x:v>Uploaded Pokémon chat JSON / prior card-by-card research</x:v>
      </x:c>
      <x:c r="W165" s="14"/>
    </x:row>
    <x:row r="166">
      <x:c r="A166" s="18" t="n">
        <x:v>228</x:v>
      </x:c>
      <x:c r="B166" s="14" t="str">
        <x:v>Post-Dragon / Mixed Pokémon</x:v>
      </x:c>
      <x:c r="C166" s="14" t="str">
        <x:v>Jolteon</x:v>
      </x:c>
      <x:c r="D166" s="14" t="str">
        <x:v>34/116</x:v>
      </x:c>
      <x:c r="E166" s="14" t="str">
        <x:v>Plasma Freeze</x:v>
      </x:c>
      <x:c r="F166" s="18" t="n">
        <x:v>2013</x:v>
      </x:c>
      <x:c r="G166" s="14" t="str">
        <x:v>Team Plasma regular</x:v>
      </x:c>
      <x:c r="H166" s="14" t="str">
        <x:v>1 of 1</x:v>
      </x:c>
      <x:c r="I166" s="16" t="n">
        <x:v>4.4</x:v>
      </x:c>
      <x:c r="J166" s="16" t="n">
        <x:v>4.43</x:v>
      </x:c>
      <x:c r="K166" s="16" t="n">
        <x:v>4.415</x:v>
      </x:c>
      <x:c r="L166" s="14" t="str">
        <x:v>$1–5</x:v>
      </x:c>
      <x:c r="M166" s="14" t="str">
        <x:v>Yes</x:v>
      </x:c>
      <x:c r="N166" s="14" t="str">
        <x:v>No</x:v>
      </x:c>
      <x:c r="O166" s="14" t="str">
        <x:v>Yes</x:v>
      </x:c>
      <x:c r="P166" s="14" t="str">
        <x:v>Clean/NM benchmark unless noted</x:v>
      </x:c>
      <x:c r="Q166" s="16" t="n">
        <x:v>4.4</x:v>
      </x:c>
      <x:c r="R166" s="16" t="n">
        <x:v>4.43</x:v>
      </x:c>
      <x:c r="S166" s="16" t="n">
        <x:v>4.415</x:v>
      </x:c>
      <x:c r="T166" s="14"/>
      <x:c r="U166" s="18" t="n">
        <x:v>809</x:v>
      </x:c>
      <x:c r="V166" s="14" t="str">
        <x:v>Uploaded Pokémon chat JSON / prior card-by-card research</x:v>
      </x:c>
      <x:c r="W166" s="14"/>
    </x:row>
    <x:row r="167">
      <x:c r="A167" s="18" t="n">
        <x:v>229</x:v>
      </x:c>
      <x:c r="B167" s="14" t="str">
        <x:v>Post-Dragon / Mixed Pokémon</x:v>
      </x:c>
      <x:c r="C167" s="14" t="str">
        <x:v>Beartic</x:v>
      </x:c>
      <x:c r="D167" s="14" t="str">
        <x:v>37/99</x:v>
      </x:c>
      <x:c r="E167" s="14" t="str">
        <x:v>Next Destinies</x:v>
      </x:c>
      <x:c r="F167" s="18" t="n">
        <x:v>2012</x:v>
      </x:c>
      <x:c r="G167" s="14" t="str">
        <x:v>Reverse Holo</x:v>
      </x:c>
      <x:c r="H167" s="14" t="str">
        <x:v>1 of 2</x:v>
      </x:c>
      <x:c r="I167" s="16" t="n">
        <x:v>1.75</x:v>
      </x:c>
      <x:c r="J167" s="16" t="n">
        <x:v>2.75</x:v>
      </x:c>
      <x:c r="K167" s="16" t="n">
        <x:v>2.25</x:v>
      </x:c>
      <x:c r="L167" s="14" t="str">
        <x:v>$1–5</x:v>
      </x:c>
      <x:c r="M167" s="14" t="str">
        <x:v>Yes</x:v>
      </x:c>
      <x:c r="N167" s="14" t="str">
        <x:v>No</x:v>
      </x:c>
      <x:c r="O167" s="14" t="str">
        <x:v>Yes</x:v>
      </x:c>
      <x:c r="P167" s="14" t="str">
        <x:v>Clean/NM benchmark unless noted</x:v>
      </x:c>
      <x:c r="Q167" s="16" t="n">
        <x:v>1.75</x:v>
      </x:c>
      <x:c r="R167" s="16" t="n">
        <x:v>2.75</x:v>
      </x:c>
      <x:c r="S167" s="16" t="n">
        <x:v>2.25</x:v>
      </x:c>
      <x:c r="T167" s="14"/>
      <x:c r="U167" s="18" t="n">
        <x:v>809</x:v>
      </x:c>
      <x:c r="V167" s="14" t="str">
        <x:v>Uploaded Pokémon chat JSON / prior card-by-card research</x:v>
      </x:c>
      <x:c r="W167" s="14"/>
    </x:row>
    <x:row r="168">
      <x:c r="A168" s="18" t="n">
        <x:v>233</x:v>
      </x:c>
      <x:c r="B168" s="14" t="str">
        <x:v>Post-Dragon / Mixed Pokémon</x:v>
      </x:c>
      <x:c r="C168" s="14" t="str">
        <x:v>Chesnaught</x:v>
      </x:c>
      <x:c r="D168" s="14" t="str">
        <x:v>5/39</x:v>
      </x:c>
      <x:c r="E168" s="14" t="str">
        <x:v>Kalos Starter Set</x:v>
      </x:c>
      <x:c r="F168" s="18" t="n">
        <x:v>2013</x:v>
      </x:c>
      <x:c r="G168" s="14" t="str">
        <x:v>Regular</x:v>
      </x:c>
      <x:c r="H168" s="14" t="str">
        <x:v>1 of 1</x:v>
      </x:c>
      <x:c r="I168" s="16" t="n">
        <x:v>3.5</x:v>
      </x:c>
      <x:c r="J168" s="16" t="n">
        <x:v>3.54</x:v>
      </x:c>
      <x:c r="K168" s="16" t="n">
        <x:v>3.52</x:v>
      </x:c>
      <x:c r="L168" s="14" t="str">
        <x:v>$1–5</x:v>
      </x:c>
      <x:c r="M168" s="14" t="str">
        <x:v>Yes</x:v>
      </x:c>
      <x:c r="N168" s="14" t="str">
        <x:v>No</x:v>
      </x:c>
      <x:c r="O168" s="14" t="str">
        <x:v>Yes</x:v>
      </x:c>
      <x:c r="P168" s="14" t="str">
        <x:v>Clean/NM benchmark unless noted</x:v>
      </x:c>
      <x:c r="Q168" s="16" t="n">
        <x:v>3.5</x:v>
      </x:c>
      <x:c r="R168" s="16" t="n">
        <x:v>3.54</x:v>
      </x:c>
      <x:c r="S168" s="16" t="n">
        <x:v>3.52</x:v>
      </x:c>
      <x:c r="T168" s="14"/>
      <x:c r="U168" s="18" t="n">
        <x:v>822</x:v>
      </x:c>
      <x:c r="V168" s="14" t="str">
        <x:v>Uploaded Pokémon chat JSON / prior card-by-card research</x:v>
      </x:c>
      <x:c r="W168" s="14"/>
    </x:row>
    <x:row r="169">
      <x:c r="A169" s="18" t="n">
        <x:v>239</x:v>
      </x:c>
      <x:c r="B169" s="14" t="str">
        <x:v>Post-Dragon / Mixed Pokémon</x:v>
      </x:c>
      <x:c r="C169" s="14" t="str">
        <x:v>Whimsicott</x:v>
      </x:c>
      <x:c r="D169" s="14" t="str">
        <x:v>12/98</x:v>
      </x:c>
      <x:c r="E169" s="14" t="str">
        <x:v>Emerging Powers</x:v>
      </x:c>
      <x:c r="F169" s="18" t="n">
        <x:v>2011</x:v>
      </x:c>
      <x:c r="G169" s="14" t="str">
        <x:v>Regular</x:v>
      </x:c>
      <x:c r="H169" s="14" t="str">
        <x:v>1 of 1</x:v>
      </x:c>
      <x:c r="I169" s="16" t="n">
        <x:v>1.6</x:v>
      </x:c>
      <x:c r="J169" s="16" t="n">
        <x:v>1.8</x:v>
      </x:c>
      <x:c r="K169" s="16" t="n">
        <x:v>1.7000000000000002</x:v>
      </x:c>
      <x:c r="L169" s="14" t="str">
        <x:v>$1–5</x:v>
      </x:c>
      <x:c r="M169" s="14" t="str">
        <x:v>Yes</x:v>
      </x:c>
      <x:c r="N169" s="14" t="str">
        <x:v>No</x:v>
      </x:c>
      <x:c r="O169" s="14" t="str">
        <x:v>Yes</x:v>
      </x:c>
      <x:c r="P169" s="14" t="str">
        <x:v>Clean/NM benchmark unless noted</x:v>
      </x:c>
      <x:c r="Q169" s="16" t="n">
        <x:v>1.6</x:v>
      </x:c>
      <x:c r="R169" s="16" t="n">
        <x:v>1.8</x:v>
      </x:c>
      <x:c r="S169" s="16" t="n">
        <x:v>1.7000000000000002</x:v>
      </x:c>
      <x:c r="T169" s="14"/>
      <x:c r="U169" s="18" t="n">
        <x:v>837</x:v>
      </x:c>
      <x:c r="V169" s="14" t="str">
        <x:v>Uploaded Pokémon chat JSON / prior card-by-card research</x:v>
      </x:c>
      <x:c r="W169" s="14"/>
    </x:row>
    <x:row r="170">
      <x:c r="A170" s="18" t="n">
        <x:v>240</x:v>
      </x:c>
      <x:c r="B170" s="14" t="str">
        <x:v>Post-Dragon / Mixed Pokémon</x:v>
      </x:c>
      <x:c r="C170" s="14" t="str">
        <x:v>Leavanny</x:v>
      </x:c>
      <x:c r="D170" s="14" t="str">
        <x:v>3/101</x:v>
      </x:c>
      <x:c r="E170" s="14" t="str">
        <x:v>Noble Victories</x:v>
      </x:c>
      <x:c r="F170" s="18" t="n">
        <x:v>2011</x:v>
      </x:c>
      <x:c r="G170" s="14" t="str">
        <x:v>Holo</x:v>
      </x:c>
      <x:c r="H170" s="14" t="str">
        <x:v>1 of 2</x:v>
      </x:c>
      <x:c r="I170" s="16" t="n">
        <x:v>1.4</x:v>
      </x:c>
      <x:c r="J170" s="16" t="n">
        <x:v>1.6</x:v>
      </x:c>
      <x:c r="K170" s="16" t="n">
        <x:v>1.5</x:v>
      </x:c>
      <x:c r="L170" s="14" t="str">
        <x:v>$1–5</x:v>
      </x:c>
      <x:c r="M170" s="14" t="str">
        <x:v>Yes</x:v>
      </x:c>
      <x:c r="N170" s="14" t="str">
        <x:v>No</x:v>
      </x:c>
      <x:c r="O170" s="14" t="str">
        <x:v>Yes</x:v>
      </x:c>
      <x:c r="P170" s="14" t="str">
        <x:v>Clean/NM benchmark unless noted</x:v>
      </x:c>
      <x:c r="Q170" s="16" t="n">
        <x:v>1.4</x:v>
      </x:c>
      <x:c r="R170" s="16" t="n">
        <x:v>1.6</x:v>
      </x:c>
      <x:c r="S170" s="16" t="n">
        <x:v>1.5</x:v>
      </x:c>
      <x:c r="T170" s="14"/>
      <x:c r="U170" s="18" t="n">
        <x:v>837</x:v>
      </x:c>
      <x:c r="V170" s="14" t="str">
        <x:v>Uploaded Pokémon chat JSON / prior card-by-card research</x:v>
      </x:c>
      <x:c r="W170" s="14"/>
    </x:row>
    <x:row r="171">
      <x:c r="A171" s="18" t="n">
        <x:v>241</x:v>
      </x:c>
      <x:c r="B171" s="14" t="str">
        <x:v>Post-Dragon / Mixed Pokémon</x:v>
      </x:c>
      <x:c r="C171" s="14" t="str">
        <x:v>Leavanny</x:v>
      </x:c>
      <x:c r="D171" s="14" t="str">
        <x:v>3/101</x:v>
      </x:c>
      <x:c r="E171" s="14" t="str">
        <x:v>Noble Victories</x:v>
      </x:c>
      <x:c r="F171" s="18" t="n">
        <x:v>2011</x:v>
      </x:c>
      <x:c r="G171" s="14" t="str">
        <x:v>Holo</x:v>
      </x:c>
      <x:c r="H171" s="14" t="str">
        <x:v>2 of 2</x:v>
      </x:c>
      <x:c r="I171" s="16" t="n">
        <x:v>1.4</x:v>
      </x:c>
      <x:c r="J171" s="16" t="n">
        <x:v>1.6</x:v>
      </x:c>
      <x:c r="K171" s="16" t="n">
        <x:v>1.5</x:v>
      </x:c>
      <x:c r="L171" s="14" t="str">
        <x:v>$1–5</x:v>
      </x:c>
      <x:c r="M171" s="14" t="str">
        <x:v>Yes</x:v>
      </x:c>
      <x:c r="N171" s="14" t="str">
        <x:v>No</x:v>
      </x:c>
      <x:c r="O171" s="14" t="str">
        <x:v>Yes</x:v>
      </x:c>
      <x:c r="P171" s="14" t="str">
        <x:v>Clean/NM benchmark unless noted</x:v>
      </x:c>
      <x:c r="Q171" s="16" t="n">
        <x:v>1.4</x:v>
      </x:c>
      <x:c r="R171" s="16" t="n">
        <x:v>1.6</x:v>
      </x:c>
      <x:c r="S171" s="16" t="n">
        <x:v>1.5</x:v>
      </x:c>
      <x:c r="T171" s="14"/>
      <x:c r="U171" s="18" t="n">
        <x:v>837</x:v>
      </x:c>
      <x:c r="V171" s="14" t="str">
        <x:v>Uploaded Pokémon chat JSON / prior card-by-card research</x:v>
      </x:c>
      <x:c r="W171" s="14"/>
    </x:row>
    <x:row r="172">
      <x:c r="A172" s="18" t="n">
        <x:v>243</x:v>
      </x:c>
      <x:c r="B172" s="14" t="str">
        <x:v>Post-Dragon / Mixed Pokémon</x:v>
      </x:c>
      <x:c r="C172" s="14" t="str">
        <x:v>Whimsicott</x:v>
      </x:c>
      <x:c r="D172" s="14" t="str">
        <x:v>15/149</x:v>
      </x:c>
      <x:c r="E172" s="14" t="str">
        <x:v>Boundaries Crossed</x:v>
      </x:c>
      <x:c r="F172" s="18" t="n">
        <x:v>2012</x:v>
      </x:c>
      <x:c r="G172" s="14" t="str">
        <x:v>Reverse Holo</x:v>
      </x:c>
      <x:c r="H172" s="14" t="str">
        <x:v>1 of 2</x:v>
      </x:c>
      <x:c r="I172" s="16" t="n">
        <x:v>1.75</x:v>
      </x:c>
      <x:c r="J172" s="16" t="n">
        <x:v>2.25</x:v>
      </x:c>
      <x:c r="K172" s="16" t="n">
        <x:v>2</x:v>
      </x:c>
      <x:c r="L172" s="14" t="str">
        <x:v>$1–5</x:v>
      </x:c>
      <x:c r="M172" s="14" t="str">
        <x:v>Yes</x:v>
      </x:c>
      <x:c r="N172" s="14" t="str">
        <x:v>No</x:v>
      </x:c>
      <x:c r="O172" s="14" t="str">
        <x:v>Yes</x:v>
      </x:c>
      <x:c r="P172" s="14" t="str">
        <x:v>Clean/NM benchmark unless noted</x:v>
      </x:c>
      <x:c r="Q172" s="16" t="n">
        <x:v>1.75</x:v>
      </x:c>
      <x:c r="R172" s="16" t="n">
        <x:v>2.25</x:v>
      </x:c>
      <x:c r="S172" s="16" t="n">
        <x:v>2</x:v>
      </x:c>
      <x:c r="T172" s="14"/>
      <x:c r="U172" s="18" t="n">
        <x:v>837</x:v>
      </x:c>
      <x:c r="V172" s="14" t="str">
        <x:v>Uploaded Pokémon chat JSON / prior card-by-card research</x:v>
      </x:c>
      <x:c r="W172" s="14"/>
    </x:row>
    <x:row r="173">
      <x:c r="A173" s="18" t="n">
        <x:v>244</x:v>
      </x:c>
      <x:c r="B173" s="14" t="str">
        <x:v>Post-Dragon / Mixed Pokémon</x:v>
      </x:c>
      <x:c r="C173" s="14" t="str">
        <x:v>Whimsicott</x:v>
      </x:c>
      <x:c r="D173" s="14" t="str">
        <x:v>15/149</x:v>
      </x:c>
      <x:c r="E173" s="14" t="str">
        <x:v>Boundaries Crossed</x:v>
      </x:c>
      <x:c r="F173" s="18" t="n">
        <x:v>2012</x:v>
      </x:c>
      <x:c r="G173" s="14" t="str">
        <x:v>Reverse Holo</x:v>
      </x:c>
      <x:c r="H173" s="14" t="str">
        <x:v>2 of 2</x:v>
      </x:c>
      <x:c r="I173" s="16" t="n">
        <x:v>1.75</x:v>
      </x:c>
      <x:c r="J173" s="16" t="n">
        <x:v>2.25</x:v>
      </x:c>
      <x:c r="K173" s="16" t="n">
        <x:v>2</x:v>
      </x:c>
      <x:c r="L173" s="14" t="str">
        <x:v>$1–5</x:v>
      </x:c>
      <x:c r="M173" s="14" t="str">
        <x:v>Yes</x:v>
      </x:c>
      <x:c r="N173" s="14" t="str">
        <x:v>No</x:v>
      </x:c>
      <x:c r="O173" s="14" t="str">
        <x:v>Yes</x:v>
      </x:c>
      <x:c r="P173" s="14" t="str">
        <x:v>Clean/NM benchmark unless noted</x:v>
      </x:c>
      <x:c r="Q173" s="16" t="n">
        <x:v>1.75</x:v>
      </x:c>
      <x:c r="R173" s="16" t="n">
        <x:v>2.25</x:v>
      </x:c>
      <x:c r="S173" s="16" t="n">
        <x:v>2</x:v>
      </x:c>
      <x:c r="T173" s="14"/>
      <x:c r="U173" s="18" t="n">
        <x:v>837</x:v>
      </x:c>
      <x:c r="V173" s="14" t="str">
        <x:v>Uploaded Pokémon chat JSON / prior card-by-card research</x:v>
      </x:c>
      <x:c r="W173" s="14"/>
    </x:row>
    <x:row r="174">
      <x:c r="A174" s="18" t="n">
        <x:v>248</x:v>
      </x:c>
      <x:c r="B174" s="14" t="str">
        <x:v>Post-Dragon / Mixed Pokémon</x:v>
      </x:c>
      <x:c r="C174" s="14" t="str">
        <x:v>Cradily</x:v>
      </x:c>
      <x:c r="D174" s="14" t="str">
        <x:v>4/101</x:v>
      </x:c>
      <x:c r="E174" s="14" t="str">
        <x:v>Plasma Blast</x:v>
      </x:c>
      <x:c r="F174" s="18" t="n">
        <x:v>2013</x:v>
      </x:c>
      <x:c r="G174" s="14" t="str">
        <x:v>Regular</x:v>
      </x:c>
      <x:c r="H174" s="14" t="str">
        <x:v>1 of 1</x:v>
      </x:c>
      <x:c r="I174" s="16" t="n">
        <x:v>1.3</x:v>
      </x:c>
      <x:c r="J174" s="16" t="n">
        <x:v>1.3</x:v>
      </x:c>
      <x:c r="K174" s="16" t="n">
        <x:v>1.3</x:v>
      </x:c>
      <x:c r="L174" s="14" t="str">
        <x:v>$1–5</x:v>
      </x:c>
      <x:c r="M174" s="14" t="str">
        <x:v>Yes</x:v>
      </x:c>
      <x:c r="N174" s="14" t="str">
        <x:v>No</x:v>
      </x:c>
      <x:c r="O174" s="14" t="str">
        <x:v>Yes</x:v>
      </x:c>
      <x:c r="P174" s="14" t="str">
        <x:v>Clean/NM benchmark unless noted</x:v>
      </x:c>
      <x:c r="Q174" s="16" t="n">
        <x:v>1.3</x:v>
      </x:c>
      <x:c r="R174" s="16" t="n">
        <x:v>1.3</x:v>
      </x:c>
      <x:c r="S174" s="16" t="n">
        <x:v>1.3</x:v>
      </x:c>
      <x:c r="T174" s="14"/>
      <x:c r="U174" s="18" t="n">
        <x:v>844</x:v>
      </x:c>
      <x:c r="V174" s="14" t="str">
        <x:v>Uploaded Pokémon chat JSON / prior card-by-card research</x:v>
      </x:c>
      <x:c r="W174" s="14"/>
    </x:row>
    <x:row r="175">
      <x:c r="A175" s="18" t="n">
        <x:v>250</x:v>
      </x:c>
      <x:c r="B175" s="14" t="str">
        <x:v>Post-Dragon / Mixed Pokémon</x:v>
      </x:c>
      <x:c r="C175" s="14" t="str">
        <x:v>Camerupt</x:v>
      </x:c>
      <x:c r="D175" s="14" t="str">
        <x:v>22/149</x:v>
      </x:c>
      <x:c r="E175" s="14" t="str">
        <x:v>Boundaries Crossed</x:v>
      </x:c>
      <x:c r="F175" s="18" t="n">
        <x:v>2012</x:v>
      </x:c>
      <x:c r="G175" s="14" t="str">
        <x:v>Reverse Holo</x:v>
      </x:c>
      <x:c r="H175" s="14" t="str">
        <x:v>1 of 1</x:v>
      </x:c>
      <x:c r="I175" s="16" t="n">
        <x:v>1.05</x:v>
      </x:c>
      <x:c r="J175" s="16" t="n">
        <x:v>1.05</x:v>
      </x:c>
      <x:c r="K175" s="16" t="n">
        <x:v>1.05</x:v>
      </x:c>
      <x:c r="L175" s="14" t="str">
        <x:v>$1–5</x:v>
      </x:c>
      <x:c r="M175" s="14" t="str">
        <x:v>Yes</x:v>
      </x:c>
      <x:c r="N175" s="14" t="str">
        <x:v>No</x:v>
      </x:c>
      <x:c r="O175" s="14" t="str">
        <x:v>Yes</x:v>
      </x:c>
      <x:c r="P175" s="14" t="str">
        <x:v>Clean/NM benchmark unless noted</x:v>
      </x:c>
      <x:c r="Q175" s="16" t="n">
        <x:v>1.05</x:v>
      </x:c>
      <x:c r="R175" s="16" t="n">
        <x:v>1.05</x:v>
      </x:c>
      <x:c r="S175" s="16" t="n">
        <x:v>1.05</x:v>
      </x:c>
      <x:c r="T175" s="14"/>
      <x:c r="U175" s="18" t="n">
        <x:v>844</x:v>
      </x:c>
      <x:c r="V175" s="14" t="str">
        <x:v>Uploaded Pokémon chat JSON / prior card-by-card research</x:v>
      </x:c>
      <x:c r="W175" s="14"/>
    </x:row>
    <x:row r="176">
      <x:c r="A176" s="18" t="n">
        <x:v>253</x:v>
      </x:c>
      <x:c r="B176" s="14" t="str">
        <x:v>After $1+ Logging Rule / Rares</x:v>
      </x:c>
      <x:c r="C176" s="14" t="str">
        <x:v>Articuno</x:v>
      </x:c>
      <x:c r="D176" s="14" t="str">
        <x:v>#22</x:v>
      </x:c>
      <x:c r="E176" s="14" t="str">
        <x:v>Wizards Black Star Promo</x:v>
      </x:c>
      <x:c r="F176" s="18" t="n">
        <x:v>2000</x:v>
      </x:c>
      <x:c r="G176" s="14" t="str">
        <x:v>Promo</x:v>
      </x:c>
      <x:c r="H176" s="14" t="str">
        <x:v>1 of 1</x:v>
      </x:c>
      <x:c r="I176" s="16" t="n">
        <x:v>18</x:v>
      </x:c>
      <x:c r="J176" s="16" t="n">
        <x:v>20</x:v>
      </x:c>
      <x:c r="K176" s="16" t="n">
        <x:v>19</x:v>
      </x:c>
      <x:c r="L176" s="14" t="str">
        <x:v>$5–20</x:v>
      </x:c>
      <x:c r="M176" s="14" t="str">
        <x:v>Yes</x:v>
      </x:c>
      <x:c r="N176" s="14" t="str">
        <x:v>Yes</x:v>
      </x:c>
      <x:c r="O176" s="14" t="str">
        <x:v>Yes</x:v>
      </x:c>
      <x:c r="P176" s="14" t="str">
        <x:v>Not best condition / likely LP-MP</x:v>
      </x:c>
      <x:c r="Q176" s="16" t="n">
        <x:v>8</x:v>
      </x:c>
      <x:c r="R176" s="16" t="n">
        <x:v>14</x:v>
      </x:c>
      <x:c r="S176" s="16" t="n">
        <x:v>11</x:v>
      </x:c>
      <x:c r="T176" s="14" t="str">
        <x:v>Check illustrator: Toshinao Aoki vs rarer corrected Naoyo Kimura.</x:v>
      </x:c>
      <x:c r="U176" s="18" t="n">
        <x:v>860</x:v>
      </x:c>
      <x:c r="V176" s="14" t="str">
        <x:v>Uploaded Pokémon chat JSON / prior card-by-card research</x:v>
      </x:c>
      <x:c r="W176" s="14"/>
    </x:row>
    <x:row r="177">
      <x:c r="A177" s="18" t="n">
        <x:v>254</x:v>
      </x:c>
      <x:c r="B177" s="14" t="str">
        <x:v>After $1+ Logging Rule / Rares</x:v>
      </x:c>
      <x:c r="C177" s="14" t="str">
        <x:v>Nuzleaf</x:v>
      </x:c>
      <x:c r="D177" s="14" t="str">
        <x:v>75/111</x:v>
      </x:c>
      <x:c r="E177" s="14" t="str">
        <x:v>Rising Rivals</x:v>
      </x:c>
      <x:c r="F177" s="18" t="n">
        <x:v>2009</x:v>
      </x:c>
      <x:c r="G177" s="14" t="str">
        <x:v>Lv.25 Reverse Holo</x:v>
      </x:c>
      <x:c r="H177" s="14" t="str">
        <x:v>1 of 1</x:v>
      </x:c>
      <x:c r="I177" s="16" t="n">
        <x:v>1.44</x:v>
      </x:c>
      <x:c r="J177" s="16" t="n">
        <x:v>1.44</x:v>
      </x:c>
      <x:c r="K177" s="16" t="n">
        <x:v>1.44</x:v>
      </x:c>
      <x:c r="L177" s="14" t="str">
        <x:v>$1–5</x:v>
      </x:c>
      <x:c r="M177" s="14" t="str">
        <x:v>Yes</x:v>
      </x:c>
      <x:c r="N177" s="14" t="str">
        <x:v>No</x:v>
      </x:c>
      <x:c r="O177" s="14" t="str">
        <x:v>Yes</x:v>
      </x:c>
      <x:c r="P177" s="14" t="str">
        <x:v>Clean/NM benchmark unless noted</x:v>
      </x:c>
      <x:c r="Q177" s="16" t="n">
        <x:v>1.44</x:v>
      </x:c>
      <x:c r="R177" s="16" t="n">
        <x:v>1.44</x:v>
      </x:c>
      <x:c r="S177" s="16" t="n">
        <x:v>1.44</x:v>
      </x:c>
      <x:c r="T177" s="14"/>
      <x:c r="U177" s="18" t="n">
        <x:v>866</x:v>
      </x:c>
      <x:c r="V177" s="14" t="str">
        <x:v>Uploaded Pokémon chat JSON / prior card-by-card research</x:v>
      </x:c>
      <x:c r="W177" s="14"/>
    </x:row>
    <x:row r="178">
      <x:c r="A178" s="18" t="n">
        <x:v>257</x:v>
      </x:c>
      <x:c r="B178" s="14" t="str">
        <x:v>After $1+ Logging Rule / Rares</x:v>
      </x:c>
      <x:c r="C178" s="14" t="str">
        <x:v>Houndour</x:v>
      </x:c>
      <x:c r="D178" s="14" t="str">
        <x:v>74/124</x:v>
      </x:c>
      <x:c r="E178" s="14" t="str">
        <x:v>Dragons Exalted</x:v>
      </x:c>
      <x:c r="F178" s="18" t="n">
        <x:v>2012</x:v>
      </x:c>
      <x:c r="G178" s="14" t="str">
        <x:v>Reverse Holo</x:v>
      </x:c>
      <x:c r="H178" s="14" t="str">
        <x:v>1 of 1</x:v>
      </x:c>
      <x:c r="I178" s="16" t="n">
        <x:v>6.5</x:v>
      </x:c>
      <x:c r="J178" s="16" t="n">
        <x:v>6.5</x:v>
      </x:c>
      <x:c r="K178" s="16" t="n">
        <x:v>6.5</x:v>
      </x:c>
      <x:c r="L178" s="14" t="str">
        <x:v>$5–20</x:v>
      </x:c>
      <x:c r="M178" s="14" t="str">
        <x:v>Yes</x:v>
      </x:c>
      <x:c r="N178" s="14" t="str">
        <x:v>No</x:v>
      </x:c>
      <x:c r="O178" s="14" t="str">
        <x:v>Yes</x:v>
      </x:c>
      <x:c r="P178" s="14" t="str">
        <x:v>Clean/NM benchmark unless noted</x:v>
      </x:c>
      <x:c r="Q178" s="16" t="n">
        <x:v>6.5</x:v>
      </x:c>
      <x:c r="R178" s="16" t="n">
        <x:v>6.5</x:v>
      </x:c>
      <x:c r="S178" s="16" t="n">
        <x:v>6.5</x:v>
      </x:c>
      <x:c r="T178" s="14"/>
      <x:c r="U178" s="18" t="n">
        <x:v>872</x:v>
      </x:c>
      <x:c r="V178" s="14" t="str">
        <x:v>Uploaded Pokémon chat JSON / prior card-by-card research</x:v>
      </x:c>
      <x:c r="W178" s="14"/>
    </x:row>
    <x:row r="179">
      <x:c r="A179" s="18" t="n">
        <x:v>258</x:v>
      </x:c>
      <x:c r="B179" s="14" t="str">
        <x:v>After $1+ Logging Rule / Rares</x:v>
      </x:c>
      <x:c r="C179" s="14" t="str">
        <x:v>Scraggy</x:v>
      </x:c>
      <x:c r="D179" s="14" t="str">
        <x:v>BW25</x:v>
      </x:c>
      <x:c r="E179" s="14" t="str">
        <x:v>Black &amp; White Promo</x:v>
      </x:c>
      <x:c r="F179" s="18" t="n">
        <x:v>2011</x:v>
      </x:c>
      <x:c r="G179" s="14" t="str">
        <x:v>Holo — Cosmos vs Cracked Ice pending</x:v>
      </x:c>
      <x:c r="H179" s="14" t="str">
        <x:v>1 of 1</x:v>
      </x:c>
      <x:c r="I179" s="16" t="n">
        <x:v>5.3</x:v>
      </x:c>
      <x:c r="J179" s="16" t="n">
        <x:v>10</x:v>
      </x:c>
      <x:c r="K179" s="16" t="n">
        <x:v>7.65</x:v>
      </x:c>
      <x:c r="L179" s="14" t="str">
        <x:v>$5–20</x:v>
      </x:c>
      <x:c r="M179" s="14" t="str">
        <x:v>Yes</x:v>
      </x:c>
      <x:c r="N179" s="14" t="str">
        <x:v>No</x:v>
      </x:c>
      <x:c r="O179" s="14" t="str">
        <x:v>Yes</x:v>
      </x:c>
      <x:c r="P179" s="14" t="str">
        <x:v>Clean/NM benchmark unless noted</x:v>
      </x:c>
      <x:c r="Q179" s="16" t="n">
        <x:v>5.3</x:v>
      </x:c>
      <x:c r="R179" s="16" t="n">
        <x:v>10</x:v>
      </x:c>
      <x:c r="S179" s="16" t="n">
        <x:v>7.65</x:v>
      </x:c>
      <x:c r="T179" s="14" t="str">
        <x:v>Cosmos ~5.3; Cracked Ice ~9–10. Variant not resolved in JSON.</x:v>
      </x:c>
      <x:c r="U179" s="18" t="n">
        <x:v>872</x:v>
      </x:c>
      <x:c r="V179" s="14" t="str">
        <x:v>Uploaded Pokémon chat JSON / prior card-by-card research</x:v>
      </x:c>
      <x:c r="W179" s="14"/>
    </x:row>
    <x:row r="180">
      <x:c r="A180" s="18" t="n">
        <x:v>259</x:v>
      </x:c>
      <x:c r="B180" s="14" t="str">
        <x:v>After $1+ Logging Rule / Rares</x:v>
      </x:c>
      <x:c r="C180" s="14" t="str">
        <x:v>Murkrow</x:v>
      </x:c>
      <x:c r="D180" s="14" t="str">
        <x:v>72/124</x:v>
      </x:c>
      <x:c r="E180" s="14" t="str">
        <x:v>Dragons Exalted</x:v>
      </x:c>
      <x:c r="F180" s="18" t="n">
        <x:v>2012</x:v>
      </x:c>
      <x:c r="G180" s="14" t="str">
        <x:v>Reverse Holo</x:v>
      </x:c>
      <x:c r="H180" s="14" t="str">
        <x:v>1 of 1</x:v>
      </x:c>
      <x:c r="I180" s="16" t="n">
        <x:v>3.3</x:v>
      </x:c>
      <x:c r="J180" s="16" t="n">
        <x:v>3.3</x:v>
      </x:c>
      <x:c r="K180" s="16" t="n">
        <x:v>3.3</x:v>
      </x:c>
      <x:c r="L180" s="14" t="str">
        <x:v>$1–5</x:v>
      </x:c>
      <x:c r="M180" s="14" t="str">
        <x:v>Yes</x:v>
      </x:c>
      <x:c r="N180" s="14" t="str">
        <x:v>No</x:v>
      </x:c>
      <x:c r="O180" s="14" t="str">
        <x:v>Yes</x:v>
      </x:c>
      <x:c r="P180" s="14" t="str">
        <x:v>Clean/NM benchmark unless noted</x:v>
      </x:c>
      <x:c r="Q180" s="16" t="n">
        <x:v>3.3</x:v>
      </x:c>
      <x:c r="R180" s="16" t="n">
        <x:v>3.3</x:v>
      </x:c>
      <x:c r="S180" s="16" t="n">
        <x:v>3.3</x:v>
      </x:c>
      <x:c r="T180" s="14"/>
      <x:c r="U180" s="18" t="n">
        <x:v>872</x:v>
      </x:c>
      <x:c r="V180" s="14" t="str">
        <x:v>Uploaded Pokémon chat JSON / prior card-by-card research</x:v>
      </x:c>
      <x:c r="W180" s="14"/>
    </x:row>
    <x:row r="181">
      <x:c r="A181" s="18" t="n">
        <x:v>261</x:v>
      </x:c>
      <x:c r="B181" s="14" t="str">
        <x:v>After $1+ Logging Rule / Rares</x:v>
      </x:c>
      <x:c r="C181" s="14" t="str">
        <x:v>Zoroark</x:v>
      </x:c>
      <x:c r="D181" s="14" t="str">
        <x:v>BW09</x:v>
      </x:c>
      <x:c r="E181" s="14" t="str">
        <x:v>Black &amp; White Black Star Promo</x:v>
      </x:c>
      <x:c r="F181" s="18" t="n">
        <x:v>2011</x:v>
      </x:c>
      <x:c r="G181" s="14" t="str">
        <x:v>Holo</x:v>
      </x:c>
      <x:c r="H181" s="14" t="str">
        <x:v>1 of 2</x:v>
      </x:c>
      <x:c r="I181" s="16" t="n">
        <x:v>4.5</x:v>
      </x:c>
      <x:c r="J181" s="16" t="n">
        <x:v>5</x:v>
      </x:c>
      <x:c r="K181" s="16" t="n">
        <x:v>4.75</x:v>
      </x:c>
      <x:c r="L181" s="14" t="str">
        <x:v>$1–5</x:v>
      </x:c>
      <x:c r="M181" s="14" t="str">
        <x:v>Yes</x:v>
      </x:c>
      <x:c r="N181" s="14" t="str">
        <x:v>No</x:v>
      </x:c>
      <x:c r="O181" s="14" t="str">
        <x:v>Yes</x:v>
      </x:c>
      <x:c r="P181" s="14" t="str">
        <x:v>Clean/NM benchmark unless noted</x:v>
      </x:c>
      <x:c r="Q181" s="16" t="n">
        <x:v>4.5</x:v>
      </x:c>
      <x:c r="R181" s="16" t="n">
        <x:v>5</x:v>
      </x:c>
      <x:c r="S181" s="16" t="n">
        <x:v>4.75</x:v>
      </x:c>
      <x:c r="T181" s="14"/>
      <x:c r="U181" s="18" t="n">
        <x:v>879</x:v>
      </x:c>
      <x:c r="V181" s="14" t="str">
        <x:v>Uploaded Pokémon chat JSON / prior card-by-card research</x:v>
      </x:c>
      <x:c r="W181" s="14"/>
    </x:row>
    <x:row r="182">
      <x:c r="A182" s="18" t="n">
        <x:v>262</x:v>
      </x:c>
      <x:c r="B182" s="14" t="str">
        <x:v>After $1+ Logging Rule / Rares</x:v>
      </x:c>
      <x:c r="C182" s="14" t="str">
        <x:v>Zoroark</x:v>
      </x:c>
      <x:c r="D182" s="14" t="str">
        <x:v>BW09</x:v>
      </x:c>
      <x:c r="E182" s="14" t="str">
        <x:v>Black &amp; White Black Star Promo</x:v>
      </x:c>
      <x:c r="F182" s="18" t="n">
        <x:v>2011</x:v>
      </x:c>
      <x:c r="G182" s="14" t="str">
        <x:v>Holo</x:v>
      </x:c>
      <x:c r="H182" s="14" t="str">
        <x:v>2 of 2</x:v>
      </x:c>
      <x:c r="I182" s="16" t="n">
        <x:v>4.5</x:v>
      </x:c>
      <x:c r="J182" s="16" t="n">
        <x:v>5</x:v>
      </x:c>
      <x:c r="K182" s="16" t="n">
        <x:v>4.75</x:v>
      </x:c>
      <x:c r="L182" s="14" t="str">
        <x:v>$1–5</x:v>
      </x:c>
      <x:c r="M182" s="14" t="str">
        <x:v>Yes</x:v>
      </x:c>
      <x:c r="N182" s="14" t="str">
        <x:v>No</x:v>
      </x:c>
      <x:c r="O182" s="14" t="str">
        <x:v>Yes</x:v>
      </x:c>
      <x:c r="P182" s="14" t="str">
        <x:v>Clean/NM benchmark unless noted</x:v>
      </x:c>
      <x:c r="Q182" s="16" t="n">
        <x:v>4.5</x:v>
      </x:c>
      <x:c r="R182" s="16" t="n">
        <x:v>5</x:v>
      </x:c>
      <x:c r="S182" s="16" t="n">
        <x:v>4.75</x:v>
      </x:c>
      <x:c r="T182" s="14"/>
      <x:c r="U182" s="18" t="n">
        <x:v>879</x:v>
      </x:c>
      <x:c r="V182" s="14" t="str">
        <x:v>Uploaded Pokémon chat JSON / prior card-by-card research</x:v>
      </x:c>
      <x:c r="W182" s="14"/>
    </x:row>
    <x:row r="183">
      <x:c r="A183" s="18" t="n">
        <x:v>263</x:v>
      </x:c>
      <x:c r="B183" s="14" t="str">
        <x:v>After $1+ Logging Rule / Rares</x:v>
      </x:c>
      <x:c r="C183" s="14" t="str">
        <x:v>Zoroark</x:v>
      </x:c>
      <x:c r="D183" s="14" t="str">
        <x:v>71/?</x:v>
      </x:c>
      <x:c r="E183" s="14" t="str">
        <x:v>Black &amp; White 71/114 OR Dark Explorers 71/108</x:v>
      </x:c>
      <x:c r="F183" s="18"/>
      <x:c r="G183" s="14" t="str">
        <x:v>Rare — exact set/printing pending</x:v>
      </x:c>
      <x:c r="H183" s="14" t="str">
        <x:v>1 of 2</x:v>
      </x:c>
      <x:c r="I183" s="16" t="n">
        <x:v>1.16</x:v>
      </x:c>
      <x:c r="J183" s="16" t="n">
        <x:v>4.8</x:v>
      </x:c>
      <x:c r="K183" s="16" t="n">
        <x:v>2.98</x:v>
      </x:c>
      <x:c r="L183" s="14" t="str">
        <x:v>$1–5</x:v>
      </x:c>
      <x:c r="M183" s="14" t="str">
        <x:v>Yes</x:v>
      </x:c>
      <x:c r="N183" s="14" t="str">
        <x:v>No</x:v>
      </x:c>
      <x:c r="O183" s="14" t="str">
        <x:v>Yes</x:v>
      </x:c>
      <x:c r="P183" s="14" t="str">
        <x:v>Clean/NM benchmark unless noted</x:v>
      </x:c>
      <x:c r="Q183" s="16" t="n">
        <x:v>1.16</x:v>
      </x:c>
      <x:c r="R183" s="16" t="n">
        <x:v>4.8</x:v>
      </x:c>
      <x:c r="S183" s="16" t="n">
        <x:v>2.98</x:v>
      </x:c>
      <x:c r="T183" s="14" t="str">
        <x:v>JSON ends before assistant identified this card. Two likely English #71 printings: Black &amp; White 71/114 Holo Rare (~$4.8) or Dark Explorers 71/108 Rare (~$1.16). Verify denominator/foil before locking value.</x:v>
      </x:c>
      <x:c r="U183" s="18" t="n">
        <x:v>885</x:v>
      </x:c>
      <x:c r="V183" s="14" t="str">
        <x:v>Uploaded Pokémon chat JSON / prior card-by-card research</x:v>
      </x:c>
      <x:c r="W183" s="14" t="str">
        <x:v>https://www.tcgplayer.com/search/pokemon/product?q=Zoroark+Black+%26+White&amp;view=grid</x:v>
      </x:c>
    </x:row>
    <x:row r="184">
      <x:c r="A184" s="18" t="n">
        <x:v>264</x:v>
      </x:c>
      <x:c r="B184" s="14" t="str">
        <x:v>After $1+ Logging Rule / Rares</x:v>
      </x:c>
      <x:c r="C184" s="14" t="str">
        <x:v>Zoroark</x:v>
      </x:c>
      <x:c r="D184" s="14" t="str">
        <x:v>71/?</x:v>
      </x:c>
      <x:c r="E184" s="14" t="str">
        <x:v>Black &amp; White 71/114 OR Dark Explorers 71/108</x:v>
      </x:c>
      <x:c r="F184" s="18"/>
      <x:c r="G184" s="14" t="str">
        <x:v>Rare — exact set/printing pending</x:v>
      </x:c>
      <x:c r="H184" s="14" t="str">
        <x:v>2 of 2</x:v>
      </x:c>
      <x:c r="I184" s="16" t="n">
        <x:v>1.16</x:v>
      </x:c>
      <x:c r="J184" s="16" t="n">
        <x:v>4.8</x:v>
      </x:c>
      <x:c r="K184" s="16" t="n">
        <x:v>2.98</x:v>
      </x:c>
      <x:c r="L184" s="14" t="str">
        <x:v>$1–5</x:v>
      </x:c>
      <x:c r="M184" s="14" t="str">
        <x:v>Yes</x:v>
      </x:c>
      <x:c r="N184" s="14" t="str">
        <x:v>No</x:v>
      </x:c>
      <x:c r="O184" s="14" t="str">
        <x:v>Yes</x:v>
      </x:c>
      <x:c r="P184" s="14" t="str">
        <x:v>Clean/NM benchmark unless noted</x:v>
      </x:c>
      <x:c r="Q184" s="16" t="n">
        <x:v>1.16</x:v>
      </x:c>
      <x:c r="R184" s="16" t="n">
        <x:v>4.8</x:v>
      </x:c>
      <x:c r="S184" s="16" t="n">
        <x:v>2.98</x:v>
      </x:c>
      <x:c r="T184" s="14" t="str">
        <x:v>JSON ends before assistant identified this card. Two likely English #71 printings: Black &amp; White 71/114 Holo Rare (~$4.8) or Dark Explorers 71/108 Rare (~$1.16). Verify denominator/foil before locking value.</x:v>
      </x:c>
      <x:c r="U184" s="18" t="n">
        <x:v>885</x:v>
      </x:c>
      <x:c r="V184" s="14" t="str">
        <x:v>Uploaded Pokémon chat JSON / prior card-by-card research</x:v>
      </x:c>
      <x:c r="W184" s="14" t="str">
        <x:v>https://www.tcgplayer.com/search/pokemon/product?q=Zoroark+Black+%26+White&amp;view=grid</x:v>
      </x:c>
    </x:row>
    <x:row r="185">
      <x:c r="A185" t="n">
        <x:v>265</x:v>
      </x:c>
      <x:c r="B185" t="str">
        <x:v>After $1+ Logging Rule / Rares</x:v>
      </x:c>
      <x:c r="C185" t="str">
        <x:v>Zoroark</x:v>
      </x:c>
      <x:c r="D185" t="str">
        <x:v>30/30</x:v>
      </x:c>
      <x:c r="E185" t="str">
        <x:v>BW Trainer Kit: Excadrill &amp; Zoroark</x:v>
      </x:c>
      <x:c r="F185" t="n">
        <x:v>2011</x:v>
      </x:c>
      <x:c r="G185" t="str">
        <x:v>Holofoil</x:v>
      </x:c>
      <x:c r="H185" t="str">
        <x:v>1 of 1</x:v>
      </x:c>
      <x:c r="I185" t="n">
        <x:v>0.9</x:v>
      </x:c>
      <x:c r="J185" t="n">
        <x:v>1</x:v>
      </x:c>
      <x:c r="K185" t="n">
        <x:v>0.95</x:v>
      </x:c>
      <x:c r="L185" t="str">
        <x:v>$1–5</x:v>
      </x:c>
      <x:c r="M185" t="str">
        <x:v>Yes</x:v>
      </x:c>
      <x:c r="N185" t="str">
        <x:v>No</x:v>
      </x:c>
      <x:c r="O185" t="str">
        <x:v>Yes</x:v>
      </x:c>
      <x:c r="P185" t="str">
        <x:v>Clean/NM benchmark unless noted</x:v>
      </x:c>
      <x:c r="Q185" t="n">
        <x:v>0.9</x:v>
      </x:c>
      <x:c r="R185" t="n">
        <x:v>1</x:v>
      </x:c>
      <x:c r="S185" t="n">
        <x:v>0.95</x:v>
      </x:c>
      <x:c r="T185" t="str">
        <x:v>Market is just under $1; retained in $1+ collection because the agreed threshold is about $1+.</x:v>
      </x:c>
      <x:c r="U185" t="n">
        <x:v>886</x:v>
      </x:c>
      <x:c r="V185" t="str">
        <x:v>Current chat continuation / researched 2026-08-15</x:v>
      </x:c>
      <x:c r="W185" t="str">
        <x:v>https://www.tcgplayer.com/categories/trading-and-collectible-card-games/pokemon/price-guides/bw-trainer-kit-excadrill-and-zoroark</x:v>
      </x:c>
    </x:row>
    <x:row r="186">
      <x:c r="A186" t="n">
        <x:v>266</x:v>
      </x:c>
      <x:c r="B186" t="str">
        <x:v>After $1+ Logging Rule / Rares</x:v>
      </x:c>
      <x:c r="C186" t="str">
        <x:v>Hydreigon</x:v>
      </x:c>
      <x:c r="D186" t="str">
        <x:v>79/101</x:v>
      </x:c>
      <x:c r="E186" t="str">
        <x:v>Noble Victories</x:v>
      </x:c>
      <x:c r="F186" t="n">
        <x:v>2011</x:v>
      </x:c>
      <x:c r="G186" t="str">
        <x:v>Holofoil</x:v>
      </x:c>
      <x:c r="H186" t="str">
        <x:v>1 of 1</x:v>
      </x:c>
      <x:c r="I186" t="n">
        <x:v>10</x:v>
      </x:c>
      <x:c r="J186" t="n">
        <x:v>11.5</x:v>
      </x:c>
      <x:c r="K186" t="n">
        <x:v>10.75</x:v>
      </x:c>
      <x:c r="L186" t="str">
        <x:v>$5–20</x:v>
      </x:c>
      <x:c r="M186" t="str">
        <x:v>Yes</x:v>
      </x:c>
      <x:c r="N186" t="str">
        <x:v>Yes</x:v>
      </x:c>
      <x:c r="O186" t="str">
        <x:v>Yes</x:v>
      </x:c>
      <x:c r="P186" t="str">
        <x:v>Clean/NM benchmark unless noted</x:v>
      </x:c>
      <x:c r="Q186" t="n">
        <x:v>10</x:v>
      </x:c>
      <x:c r="R186" t="n">
        <x:v>11.5</x:v>
      </x:c>
      <x:c r="S186" t="n">
        <x:v>10.75</x:v>
      </x:c>
      <x:c r="T186" t="str">
        <x:v>Borderline top-loader card; current clean/NM market is around $10–11+.</x:v>
      </x:c>
      <x:c r="U186" t="n">
        <x:v>886</x:v>
      </x:c>
      <x:c r="V186" t="str">
        <x:v>Current chat continuation / researched 2026-08-15</x:v>
      </x:c>
      <x:c r="W186" t="str">
        <x:v>https://www.tcgplayer.com/search/pokemon/product?productLineName=pokemon&amp;productName=Hydreigon</x:v>
      </x:c>
    </x:row>
    <x:row r="187">
      <x:c r="A187" t="n">
        <x:v>267</x:v>
      </x:c>
      <x:c r="B187" t="str">
        <x:v>After $1+ Logging Rule / Rares</x:v>
      </x:c>
      <x:c r="C187" t="str">
        <x:v>Hydreigon</x:v>
      </x:c>
      <x:c r="D187" t="str">
        <x:v>79/101</x:v>
      </x:c>
      <x:c r="E187" t="str">
        <x:v>Noble Victories</x:v>
      </x:c>
      <x:c r="F187" t="n">
        <x:v>2011</x:v>
      </x:c>
      <x:c r="G187" t="str">
        <x:v>Reverse Holo</x:v>
      </x:c>
      <x:c r="H187" t="str">
        <x:v>1 of 1</x:v>
      </x:c>
      <x:c r="I187" t="n">
        <x:v>6.1</x:v>
      </x:c>
      <x:c r="J187" t="n">
        <x:v>7.3</x:v>
      </x:c>
      <x:c r="K187" t="n">
        <x:v>6.699999999999999</x:v>
      </x:c>
      <x:c r="L187" t="str">
        <x:v>$5–20</x:v>
      </x:c>
      <x:c r="M187" t="str">
        <x:v>Yes</x:v>
      </x:c>
      <x:c r="N187" t="str">
        <x:v>No</x:v>
      </x:c>
      <x:c r="O187" t="str">
        <x:v>Yes</x:v>
      </x:c>
      <x:c r="P187" t="str">
        <x:v>Clean/NM benchmark unless noted</x:v>
      </x:c>
      <x:c r="Q187" t="n">
        <x:v>6.1</x:v>
      </x:c>
      <x:c r="R187" t="n">
        <x:v>7.3</x:v>
      </x:c>
      <x:c r="S187" t="n">
        <x:v>6.699999999999999</x:v>
      </x:c>
      <x:c r="T187"/>
      <x:c r="U187" t="n">
        <x:v>886</x:v>
      </x:c>
      <x:c r="V187" t="str">
        <x:v>Current chat continuation / researched 2026-08-15</x:v>
      </x:c>
      <x:c r="W187" t="str">
        <x:v>https://www.pricecharting.com/game/pokemon-noble-victories/hydreigon-reverse-holo-79</x:v>
      </x:c>
    </x:row>
    <x:row r="188">
      <x:c r="A188" t="n">
        <x:v>268</x:v>
      </x:c>
      <x:c r="B188" t="str">
        <x:v>After $1+ Logging Rule / Rares</x:v>
      </x:c>
      <x:c r="C188" t="str">
        <x:v>Zoroark</x:v>
      </x:c>
      <x:c r="D188" t="str">
        <x:v>67/98</x:v>
      </x:c>
      <x:c r="E188" t="str">
        <x:v>Emerging Powers</x:v>
      </x:c>
      <x:c r="F188" t="n">
        <x:v>2011</x:v>
      </x:c>
      <x:c r="G188" t="str">
        <x:v>Holofoil</x:v>
      </x:c>
      <x:c r="H188" t="str">
        <x:v>1 of 2</x:v>
      </x:c>
      <x:c r="I188" t="n">
        <x:v>2.7</x:v>
      </x:c>
      <x:c r="J188" t="n">
        <x:v>3</x:v>
      </x:c>
      <x:c r="K188" t="n">
        <x:v>2.85</x:v>
      </x:c>
      <x:c r="L188" t="str">
        <x:v>$1–5</x:v>
      </x:c>
      <x:c r="M188" t="str">
        <x:v>Yes</x:v>
      </x:c>
      <x:c r="N188" t="str">
        <x:v>No</x:v>
      </x:c>
      <x:c r="O188" t="str">
        <x:v>Yes</x:v>
      </x:c>
      <x:c r="P188" t="str">
        <x:v>Clean/NM benchmark unless noted</x:v>
      </x:c>
      <x:c r="Q188" t="n">
        <x:v>2.7</x:v>
      </x:c>
      <x:c r="R188" t="n">
        <x:v>3</x:v>
      </x:c>
      <x:c r="S188" t="n">
        <x:v>2.85</x:v>
      </x:c>
      <x:c r="T188"/>
      <x:c r="U188" t="n">
        <x:v>886</x:v>
      </x:c>
      <x:c r="V188" t="str">
        <x:v>Current chat continuation / researched 2026-08-15</x:v>
      </x:c>
      <x:c r="W188" t="str">
        <x:v>https://www.tcgplayer.com/search/pokemon/product?productLineName=pokemon&amp;q=Zoroark+Emerging+Powers</x:v>
      </x:c>
    </x:row>
    <x:row r="189">
      <x:c r="A189" t="n">
        <x:v>269</x:v>
      </x:c>
      <x:c r="B189" t="str">
        <x:v>After $1+ Logging Rule / Rares</x:v>
      </x:c>
      <x:c r="C189" t="str">
        <x:v>Zoroark</x:v>
      </x:c>
      <x:c r="D189" t="str">
        <x:v>67/98</x:v>
      </x:c>
      <x:c r="E189" t="str">
        <x:v>Emerging Powers</x:v>
      </x:c>
      <x:c r="F189" t="n">
        <x:v>2011</x:v>
      </x:c>
      <x:c r="G189" t="str">
        <x:v>Holofoil</x:v>
      </x:c>
      <x:c r="H189" t="str">
        <x:v>2 of 2</x:v>
      </x:c>
      <x:c r="I189" t="n">
        <x:v>2.7</x:v>
      </x:c>
      <x:c r="J189" t="n">
        <x:v>3</x:v>
      </x:c>
      <x:c r="K189" t="n">
        <x:v>2.85</x:v>
      </x:c>
      <x:c r="L189" t="str">
        <x:v>$1–5</x:v>
      </x:c>
      <x:c r="M189" t="str">
        <x:v>Yes</x:v>
      </x:c>
      <x:c r="N189" t="str">
        <x:v>No</x:v>
      </x:c>
      <x:c r="O189" t="str">
        <x:v>Yes</x:v>
      </x:c>
      <x:c r="P189" t="str">
        <x:v>Clean/NM benchmark unless noted</x:v>
      </x:c>
      <x:c r="Q189" t="n">
        <x:v>2.7</x:v>
      </x:c>
      <x:c r="R189" t="n">
        <x:v>3</x:v>
      </x:c>
      <x:c r="S189" t="n">
        <x:v>2.85</x:v>
      </x:c>
      <x:c r="T189"/>
      <x:c r="U189" t="n">
        <x:v>886</x:v>
      </x:c>
      <x:c r="V189" t="str">
        <x:v>Current chat continuation / researched 2026-08-15</x:v>
      </x:c>
      <x:c r="W189" t="str">
        <x:v>https://www.tcgplayer.com/search/pokemon/product?productLineName=pokemon&amp;q=Zoroark+Emerging+Powers</x:v>
      </x:c>
    </x:row>
    <x:row r="190">
      <x:c r="A190" t="n">
        <x:v>270</x:v>
      </x:c>
      <x:c r="B190" t="str">
        <x:v>After $1+ Logging Rule / Rares</x:v>
      </x:c>
      <x:c r="C190" t="str">
        <x:v>Krookodile</x:v>
      </x:c>
      <x:c r="D190" t="str">
        <x:v>66/108</x:v>
      </x:c>
      <x:c r="E190" t="str">
        <x:v>Dark Explorers</x:v>
      </x:c>
      <x:c r="F190" t="n">
        <x:v>2012</x:v>
      </x:c>
      <x:c r="G190" t="str">
        <x:v>Holofoil</x:v>
      </x:c>
      <x:c r="H190" t="str">
        <x:v>1 of 1</x:v>
      </x:c>
      <x:c r="I190" t="n">
        <x:v>1.6</x:v>
      </x:c>
      <x:c r="J190" t="n">
        <x:v>2.2</x:v>
      </x:c>
      <x:c r="K190" t="n">
        <x:v>1.9000000000000001</x:v>
      </x:c>
      <x:c r="L190" t="str">
        <x:v>$1–5</x:v>
      </x:c>
      <x:c r="M190" t="str">
        <x:v>Yes</x:v>
      </x:c>
      <x:c r="N190" t="str">
        <x:v>No</x:v>
      </x:c>
      <x:c r="O190" t="str">
        <x:v>Yes</x:v>
      </x:c>
      <x:c r="P190" t="str">
        <x:v>Clean/NM benchmark unless noted</x:v>
      </x:c>
      <x:c r="Q190" t="n">
        <x:v>1.6</x:v>
      </x:c>
      <x:c r="R190" t="n">
        <x:v>2.2</x:v>
      </x:c>
      <x:c r="S190" t="n">
        <x:v>1.9000000000000001</x:v>
      </x:c>
      <x:c r="T190"/>
      <x:c r="U190" t="n">
        <x:v>886</x:v>
      </x:c>
      <x:c r="V190" t="str">
        <x:v>Current chat continuation / researched 2026-08-15</x:v>
      </x:c>
      <x:c r="W190" t="str">
        <x:v>https://www.tcgplayer.com/categories/trading-and-collectible-card-games/pokemon/price-guides/dark-explorers</x:v>
      </x:c>
    </x:row>
    <x:row r="191">
      <x:c r="A191" t="n">
        <x:v>271</x:v>
      </x:c>
      <x:c r="B191" t="str">
        <x:v>After $1+ Logging Rule / Rares</x:v>
      </x:c>
      <x:c r="C191" t="str">
        <x:v>Krookodile</x:v>
      </x:c>
      <x:c r="D191" t="str">
        <x:v>66/108</x:v>
      </x:c>
      <x:c r="E191" t="str">
        <x:v>Dark Explorers</x:v>
      </x:c>
      <x:c r="F191" t="n">
        <x:v>2012</x:v>
      </x:c>
      <x:c r="G191" t="str">
        <x:v>Reverse Holo</x:v>
      </x:c>
      <x:c r="H191" t="str">
        <x:v>1 of 1</x:v>
      </x:c>
      <x:c r="I191" t="n">
        <x:v>1.4</x:v>
      </x:c>
      <x:c r="J191" t="n">
        <x:v>2.4</x:v>
      </x:c>
      <x:c r="K191" t="n">
        <x:v>1.9</x:v>
      </x:c>
      <x:c r="L191" t="str">
        <x:v>$1–5</x:v>
      </x:c>
      <x:c r="M191" t="str">
        <x:v>Yes</x:v>
      </x:c>
      <x:c r="N191" t="str">
        <x:v>No</x:v>
      </x:c>
      <x:c r="O191" t="str">
        <x:v>Yes</x:v>
      </x:c>
      <x:c r="P191" t="str">
        <x:v>Clean/NM benchmark unless noted</x:v>
      </x:c>
      <x:c r="Q191" t="n">
        <x:v>1.4</x:v>
      </x:c>
      <x:c r="R191" t="n">
        <x:v>2.4</x:v>
      </x:c>
      <x:c r="S191" t="n">
        <x:v>1.9</x:v>
      </x:c>
      <x:c r="T191"/>
      <x:c r="U191" t="n">
        <x:v>886</x:v>
      </x:c>
      <x:c r="V191" t="str">
        <x:v>Current chat continuation / researched 2026-08-15</x:v>
      </x:c>
      <x:c r="W191" t="str">
        <x:v>https://www.tcgplayer.com/categories/trading-and-collectible-card-games/pokemon/price-guides/dark-explorers</x:v>
      </x:c>
    </x:row>
    <x:row r="192">
      <x:c r="A192" t="n">
        <x:v>272</x:v>
      </x:c>
      <x:c r="B192" t="str">
        <x:v>After $1+ Logging Rule / Rares</x:v>
      </x:c>
      <x:c r="C192" t="str">
        <x:v>Liepard</x:v>
      </x:c>
      <x:c r="D192" t="str">
        <x:v>67/114</x:v>
      </x:c>
      <x:c r="E192" t="str">
        <x:v>Black &amp; White</x:v>
      </x:c>
      <x:c r="F192" t="n">
        <x:v>2011</x:v>
      </x:c>
      <x:c r="G192" t="str">
        <x:v>Reverse Holo</x:v>
      </x:c>
      <x:c r="H192" t="str">
        <x:v>1 of 1</x:v>
      </x:c>
      <x:c r="I192" t="n">
        <x:v>1.5</x:v>
      </x:c>
      <x:c r="J192" t="n">
        <x:v>2.2</x:v>
      </x:c>
      <x:c r="K192" t="n">
        <x:v>1.85</x:v>
      </x:c>
      <x:c r="L192" t="str">
        <x:v>$1–5</x:v>
      </x:c>
      <x:c r="M192" t="str">
        <x:v>Yes</x:v>
      </x:c>
      <x:c r="N192" t="str">
        <x:v>No</x:v>
      </x:c>
      <x:c r="O192" t="str">
        <x:v>Yes</x:v>
      </x:c>
      <x:c r="P192" t="str">
        <x:v>Clean/NM benchmark unless noted</x:v>
      </x:c>
      <x:c r="Q192" t="n">
        <x:v>1.5</x:v>
      </x:c>
      <x:c r="R192" t="n">
        <x:v>2.2</x:v>
      </x:c>
      <x:c r="S192" t="n">
        <x:v>1.85</x:v>
      </x:c>
      <x:c r="T192"/>
      <x:c r="U192" t="n">
        <x:v>887</x:v>
      </x:c>
      <x:c r="V192" t="str">
        <x:v>Current chat continuation / researched 2026-08-15</x:v>
      </x:c>
      <x:c r="W192" t="str">
        <x:v>https://www.tcgplayer.com/categories/trading-and-collectible-card-games/pokemon/price-guides/black-and-white</x:v>
      </x:c>
    </x:row>
    <x:row r="193">
      <x:c r="A193" t="n">
        <x:v>273</x:v>
      </x:c>
      <x:c r="B193" t="str">
        <x:v>After $1+ Logging Rule / Rares</x:v>
      </x:c>
      <x:c r="C193" t="str">
        <x:v>Honchkrow</x:v>
      </x:c>
      <x:c r="D193" t="str">
        <x:v>29/147</x:v>
      </x:c>
      <x:c r="E193" t="str">
        <x:v>Supreme Victors</x:v>
      </x:c>
      <x:c r="F193" t="n">
        <x:v>2009</x:v>
      </x:c>
      <x:c r="G193" t="str">
        <x:v>Regular</x:v>
      </x:c>
      <x:c r="H193" t="str">
        <x:v>1 of 1</x:v>
      </x:c>
      <x:c r="I193" t="n">
        <x:v>1.4</x:v>
      </x:c>
      <x:c r="J193" t="n">
        <x:v>1.8</x:v>
      </x:c>
      <x:c r="K193" t="n">
        <x:v>1.6</x:v>
      </x:c>
      <x:c r="L193" t="str">
        <x:v>$1–5</x:v>
      </x:c>
      <x:c r="M193" t="str">
        <x:v>Yes</x:v>
      </x:c>
      <x:c r="N193" t="str">
        <x:v>No</x:v>
      </x:c>
      <x:c r="O193" t="str">
        <x:v>Yes</x:v>
      </x:c>
      <x:c r="P193" t="str">
        <x:v>Clean/NM benchmark unless noted</x:v>
      </x:c>
      <x:c r="Q193" t="n">
        <x:v>1.4</x:v>
      </x:c>
      <x:c r="R193" t="n">
        <x:v>1.8</x:v>
      </x:c>
      <x:c r="S193" t="n">
        <x:v>1.6</x:v>
      </x:c>
      <x:c r="T193" t="str">
        <x:v>User specified LV.46; this is the standard non-holo rare.</x:v>
      </x:c>
      <x:c r="U193" t="n">
        <x:v>887</x:v>
      </x:c>
      <x:c r="V193" t="str">
        <x:v>Current chat continuation / researched 2026-08-15</x:v>
      </x:c>
      <x:c r="W193" t="str">
        <x:v>https://www.tcgplayer.com/categories/trading-and-collectible-card-games/pokemon/price-guides/supreme-victors</x:v>
      </x:c>
    </x:row>
    <x:row r="194">
      <x:c r="A194" t="n">
        <x:v>274</x:v>
      </x:c>
      <x:c r="B194" t="str">
        <x:v>After $1+ Logging Rule / Rares</x:v>
      </x:c>
      <x:c r="C194" t="str">
        <x:v>Absol G</x:v>
      </x:c>
      <x:c r="D194" t="str">
        <x:v>1/147</x:v>
      </x:c>
      <x:c r="E194" t="str">
        <x:v>Supreme Victors</x:v>
      </x:c>
      <x:c r="F194" t="n">
        <x:v>2009</x:v>
      </x:c>
      <x:c r="G194" t="str">
        <x:v>Reverse Holo</x:v>
      </x:c>
      <x:c r="H194" t="str">
        <x:v>1 of 2</x:v>
      </x:c>
      <x:c r="I194" t="n">
        <x:v>40</x:v>
      </x:c>
      <x:c r="J194" t="n">
        <x:v>45</x:v>
      </x:c>
      <x:c r="K194" t="n">
        <x:v>42.5</x:v>
      </x:c>
      <x:c r="L194" t="str">
        <x:v>$20+</x:v>
      </x:c>
      <x:c r="M194" t="str">
        <x:v>Yes</x:v>
      </x:c>
      <x:c r="N194" t="str">
        <x:v>Yes</x:v>
      </x:c>
      <x:c r="O194" t="str">
        <x:v>Yes</x:v>
      </x:c>
      <x:c r="P194" t="str">
        <x:v>Clean/NM benchmark unless noted</x:v>
      </x:c>
      <x:c r="Q194" t="n">
        <x:v>40</x:v>
      </x:c>
      <x:c r="R194" t="n">
        <x:v>45</x:v>
      </x:c>
      <x:c r="S194" t="n">
        <x:v>42.5</x:v>
      </x:c>
      <x:c r="T194" t="str">
        <x:v>User specified LV.59. TCGplayer NM reverse-holo market was about $42.50 at research time.</x:v>
      </x:c>
      <x:c r="U194" t="n">
        <x:v>887</x:v>
      </x:c>
      <x:c r="V194" t="str">
        <x:v>Current chat continuation / researched 2026-08-15</x:v>
      </x:c>
      <x:c r="W194" t="str">
        <x:v>https://www.tcgplayer.com/categories/trading-and-collectible-card-games/pokemon/price-guides/supreme-victors</x:v>
      </x:c>
    </x:row>
    <x:row r="195">
      <x:c r="A195" t="n">
        <x:v>275</x:v>
      </x:c>
      <x:c r="B195" t="str">
        <x:v>After $1+ Logging Rule / Rares</x:v>
      </x:c>
      <x:c r="C195" t="str">
        <x:v>Houndoom</x:v>
      </x:c>
      <x:c r="D195" t="str">
        <x:v>10/95</x:v>
      </x:c>
      <x:c r="E195" t="str">
        <x:v>Call of Legends</x:v>
      </x:c>
      <x:c r="F195" t="n">
        <x:v>2011</x:v>
      </x:c>
      <x:c r="G195" t="str">
        <x:v>Holofoil</x:v>
      </x:c>
      <x:c r="H195" t="str">
        <x:v>1 of 1</x:v>
      </x:c>
      <x:c r="I195" t="n">
        <x:v>21</x:v>
      </x:c>
      <x:c r="J195" t="n">
        <x:v>26</x:v>
      </x:c>
      <x:c r="K195" t="n">
        <x:v>23.5</x:v>
      </x:c>
      <x:c r="L195" t="str">
        <x:v>$20+</x:v>
      </x:c>
      <x:c r="M195" t="str">
        <x:v>Yes</x:v>
      </x:c>
      <x:c r="N195" t="str">
        <x:v>Yes</x:v>
      </x:c>
      <x:c r="O195" t="str">
        <x:v>Yes</x:v>
      </x:c>
      <x:c r="P195" t="str">
        <x:v>Clean/NM benchmark unless noted</x:v>
      </x:c>
      <x:c r="Q195" t="n">
        <x:v>21</x:v>
      </x:c>
      <x:c r="R195" t="n">
        <x:v>26</x:v>
      </x:c>
      <x:c r="S195" t="n">
        <x:v>23.5</x:v>
      </x:c>
      <x:c r="T195" t="str">
        <x:v>TCGplayer market around $23 at research time.</x:v>
      </x:c>
      <x:c r="U195" t="n">
        <x:v>887</x:v>
      </x:c>
      <x:c r="V195" t="str">
        <x:v>Current chat continuation / researched 2026-08-15</x:v>
      </x:c>
      <x:c r="W195" t="str">
        <x:v>https://www.tcgplayer.com/categories/trading-and-collectible-card-games/pokemon/price-guides/call-of-legends</x:v>
      </x:c>
    </x:row>
    <x:row r="196">
      <x:c r="A196" t="n">
        <x:v>276</x:v>
      </x:c>
      <x:c r="B196" t="str">
        <x:v>After $1+ Logging Rule / Rares</x:v>
      </x:c>
      <x:c r="C196" t="str">
        <x:v>Cacturne</x:v>
      </x:c>
      <x:c r="D196" t="str">
        <x:v>27/108</x:v>
      </x:c>
      <x:c r="E196" t="str">
        <x:v>EX Power Keepers</x:v>
      </x:c>
      <x:c r="F196" t="n">
        <x:v>2007</x:v>
      </x:c>
      <x:c r="G196" t="str">
        <x:v>Reverse Holo (Power Keepers stamped foil)</x:v>
      </x:c>
      <x:c r="H196" t="str">
        <x:v>1 of 1</x:v>
      </x:c>
      <x:c r="I196" t="n">
        <x:v>17.5</x:v>
      </x:c>
      <x:c r="J196" t="n">
        <x:v>20</x:v>
      </x:c>
      <x:c r="K196" t="n">
        <x:v>18.75</x:v>
      </x:c>
      <x:c r="L196" t="str">
        <x:v>$5–20</x:v>
      </x:c>
      <x:c r="M196" t="str">
        <x:v>Yes</x:v>
      </x:c>
      <x:c r="N196" t="str">
        <x:v>Yes</x:v>
      </x:c>
      <x:c r="O196" t="str">
        <x:v>Yes</x:v>
      </x:c>
      <x:c r="P196" t="str">
        <x:v>Clean/NM benchmark unless noted</x:v>
      </x:c>
      <x:c r="Q196" t="n">
        <x:v>17.5</x:v>
      </x:c>
      <x:c r="R196" t="n">
        <x:v>20</x:v>
      </x:c>
      <x:c r="S196" t="n">
        <x:v>18.75</x:v>
      </x:c>
      <x:c r="T196" t="str">
        <x:v>Confirmed EX Power Keepers #27. This foil printing is the reverse-holo/stamped version; TCGplayer NM market was $18.75 at research time.</x:v>
      </x:c>
      <x:c r="U196" t="n">
        <x:v>887</x:v>
      </x:c>
      <x:c r="V196" t="str">
        <x:v>Current chat continuation / confirmed 2026-08-15</x:v>
      </x:c>
      <x:c r="W196" t="str">
        <x:v>https://www.tcgplayer.com/categories/trading-and-collectible-card-games/pokemon/price-guides/power-keepers</x:v>
      </x:c>
    </x:row>
    <x:row r="197">
      <x:c r="A197" t="n">
        <x:v>277</x:v>
      </x:c>
      <x:c r="B197" t="str">
        <x:v>After $1+ Logging Rule / Rares</x:v>
      </x:c>
      <x:c r="C197" t="str">
        <x:v>Drapion</x:v>
      </x:c>
      <x:c r="D197" t="str">
        <x:v>15/100</x:v>
      </x:c>
      <x:c r="E197" t="str">
        <x:v>Stormfront</x:v>
      </x:c>
      <x:c r="F197" t="n">
        <x:v>2008</x:v>
      </x:c>
      <x:c r="G197" t="str">
        <x:v>Reverse Holo</x:v>
      </x:c>
      <x:c r="H197" t="str">
        <x:v>1 of 1</x:v>
      </x:c>
      <x:c r="I197" t="n">
        <x:v>2.5</x:v>
      </x:c>
      <x:c r="J197" t="n">
        <x:v>3</x:v>
      </x:c>
      <x:c r="K197" t="n">
        <x:v>2.75</x:v>
      </x:c>
      <x:c r="L197" t="str">
        <x:v>$1–5</x:v>
      </x:c>
      <x:c r="M197" t="str">
        <x:v>Yes</x:v>
      </x:c>
      <x:c r="N197" t="str">
        <x:v>No</x:v>
      </x:c>
      <x:c r="O197" t="str">
        <x:v>Yes</x:v>
      </x:c>
      <x:c r="P197" t="str">
        <x:v>Clean/NM benchmark unless noted</x:v>
      </x:c>
      <x:c r="Q197" t="n">
        <x:v>2.5</x:v>
      </x:c>
      <x:c r="R197" t="n">
        <x:v>3</x:v>
      </x:c>
      <x:c r="S197" t="n">
        <x:v>2.75</x:v>
      </x:c>
      <x:c r="T197" t="str">
        <x:v>User specified LV.44.</x:v>
      </x:c>
      <x:c r="U197" t="n">
        <x:v>887</x:v>
      </x:c>
      <x:c r="V197" t="str">
        <x:v>Current chat continuation / researched 2026-08-15</x:v>
      </x:c>
      <x:c r="W197" t="str">
        <x:v>https://www.thepricedex.com/pokemon/452/drapion/price-list</x:v>
      </x:c>
    </x:row>
    <x:row r="198">
      <x:c r="A198" t="n">
        <x:v>278</x:v>
      </x:c>
      <x:c r="B198" t="str">
        <x:v>After $1+ Logging Rule / Rares</x:v>
      </x:c>
      <x:c r="C198" t="str">
        <x:v>Umbreon</x:v>
      </x:c>
      <x:c r="D198" t="str">
        <x:v>61/108</x:v>
      </x:c>
      <x:c r="E198" t="str">
        <x:v>Dark Explorers</x:v>
      </x:c>
      <x:c r="F198" t="n">
        <x:v>2012</x:v>
      </x:c>
      <x:c r="G198" t="str">
        <x:v>Reverse Holo</x:v>
      </x:c>
      <x:c r="H198" t="str">
        <x:v>1 of 2</x:v>
      </x:c>
      <x:c r="I198" t="n">
        <x:v>60</x:v>
      </x:c>
      <x:c r="J198" t="n">
        <x:v>100</x:v>
      </x:c>
      <x:c r="K198" t="n">
        <x:v>80</x:v>
      </x:c>
      <x:c r="L198" t="str">
        <x:v>$20+</x:v>
      </x:c>
      <x:c r="M198" t="str">
        <x:v>Yes</x:v>
      </x:c>
      <x:c r="N198" t="str">
        <x:v>Yes</x:v>
      </x:c>
      <x:c r="O198" t="str">
        <x:v>Yes</x:v>
      </x:c>
      <x:c r="P198" t="str">
        <x:v>Clean/NM benchmark unless noted</x:v>
      </x:c>
      <x:c r="Q198" t="n">
        <x:v>60</x:v>
      </x:c>
      <x:c r="R198" t="n">
        <x:v>100</x:v>
      </x:c>
      <x:c r="S198" t="n">
        <x:v>80</x:v>
      </x:c>
      <x:c r="T198" t="str">
        <x:v>User owns one reverse-holo copy. High-value Dark Explorers Umbreon; recent raw NM sales/market support a broad ~$60–100 range.</x:v>
      </x:c>
      <x:c r="U198" t="n">
        <x:v>888</x:v>
      </x:c>
      <x:c r="V198" t="str">
        <x:v>Current chat continuation / researched 2026-08-15</x:v>
      </x:c>
      <x:c r="W198" t="str">
        <x:v>https://tcgscreener.com/pokemon/dark-explorers/umbreon-rev-holo-61</x:v>
      </x:c>
    </x:row>
    <x:row r="199">
      <x:c r="A199" t="n">
        <x:v>279</x:v>
      </x:c>
      <x:c r="B199" t="str">
        <x:v>After $1+ Logging Rule / Rares</x:v>
      </x:c>
      <x:c r="C199" t="str">
        <x:v>Umbreon</x:v>
      </x:c>
      <x:c r="D199" t="str">
        <x:v>61/108</x:v>
      </x:c>
      <x:c r="E199" t="str">
        <x:v>Dark Explorers</x:v>
      </x:c>
      <x:c r="F199" t="n">
        <x:v>2012</x:v>
      </x:c>
      <x:c r="G199" t="str">
        <x:v>Regular</x:v>
      </x:c>
      <x:c r="H199" t="str">
        <x:v>1 of 7</x:v>
      </x:c>
      <x:c r="I199" t="n">
        <x:v>16.95</x:v>
      </x:c>
      <x:c r="J199" t="n">
        <x:v>17.1</x:v>
      </x:c>
      <x:c r="K199" t="n">
        <x:v>17.025</x:v>
      </x:c>
      <x:c r="L199" t="str">
        <x:v>$5–20</x:v>
      </x:c>
      <x:c r="M199" t="str">
        <x:v>Yes</x:v>
      </x:c>
      <x:c r="N199" t="str">
        <x:v>Yes</x:v>
      </x:c>
      <x:c r="O199" t="str">
        <x:v>Yes</x:v>
      </x:c>
      <x:c r="P199" t="str">
        <x:v>Clean/NM benchmark unless noted</x:v>
      </x:c>
      <x:c r="Q199" t="n">
        <x:v>16.95</x:v>
      </x:c>
      <x:c r="R199" t="n">
        <x:v>17.1</x:v>
      </x:c>
      <x:c r="S199" t="n">
        <x:v>17.025</x:v>
      </x:c>
      <x:c r="T199" t="str">
        <x:v>One of seven regular Dark Explorers Umbreon 61/108 copies.</x:v>
      </x:c>
      <x:c r="U199" t="n">
        <x:v>888</x:v>
      </x:c>
      <x:c r="V199" t="str">
        <x:v>Current chat continuation / researched 2026-08-15</x:v>
      </x:c>
      <x:c r="W199" t="str">
        <x:v>https://www.tcgplayer.com/search/pokemon/product?page=1&amp;productLineName=pokemon&amp;q=Umbreon+Dark+Explorers+%2361&amp;view=grid</x:v>
      </x:c>
    </x:row>
    <x:row r="200">
      <x:c r="A200" t="n">
        <x:v>280</x:v>
      </x:c>
      <x:c r="B200" t="str">
        <x:v>After $1+ Logging Rule / Rares</x:v>
      </x:c>
      <x:c r="C200" t="str">
        <x:v>Umbreon</x:v>
      </x:c>
      <x:c r="D200" t="str">
        <x:v>61/108</x:v>
      </x:c>
      <x:c r="E200" t="str">
        <x:v>Dark Explorers</x:v>
      </x:c>
      <x:c r="F200" t="n">
        <x:v>2012</x:v>
      </x:c>
      <x:c r="G200" t="str">
        <x:v>Regular</x:v>
      </x:c>
      <x:c r="H200" t="str">
        <x:v>2 of 7</x:v>
      </x:c>
      <x:c r="I200" t="n">
        <x:v>16.95</x:v>
      </x:c>
      <x:c r="J200" t="n">
        <x:v>17.1</x:v>
      </x:c>
      <x:c r="K200" t="n">
        <x:v>17.025</x:v>
      </x:c>
      <x:c r="L200" t="str">
        <x:v>$5–20</x:v>
      </x:c>
      <x:c r="M200" t="str">
        <x:v>Yes</x:v>
      </x:c>
      <x:c r="N200" t="str">
        <x:v>Yes</x:v>
      </x:c>
      <x:c r="O200" t="str">
        <x:v>Yes</x:v>
      </x:c>
      <x:c r="P200" t="str">
        <x:v>Clean/NM benchmark unless noted</x:v>
      </x:c>
      <x:c r="Q200" t="n">
        <x:v>16.95</x:v>
      </x:c>
      <x:c r="R200" t="n">
        <x:v>17.1</x:v>
      </x:c>
      <x:c r="S200" t="n">
        <x:v>17.025</x:v>
      </x:c>
      <x:c r="T200" t="str">
        <x:v>One of seven regular Dark Explorers Umbreon 61/108 copies.</x:v>
      </x:c>
      <x:c r="U200" t="n">
        <x:v>888</x:v>
      </x:c>
      <x:c r="V200" t="str">
        <x:v>Current chat continuation / researched 2026-08-15</x:v>
      </x:c>
      <x:c r="W200" t="str">
        <x:v>https://www.tcgplayer.com/search/pokemon/product?page=1&amp;productLineName=pokemon&amp;q=Umbreon+Dark+Explorers+%2361&amp;view=grid</x:v>
      </x:c>
    </x:row>
    <x:row r="201">
      <x:c r="A201" t="n">
        <x:v>281</x:v>
      </x:c>
      <x:c r="B201" t="str">
        <x:v>After $1+ Logging Rule / Rares</x:v>
      </x:c>
      <x:c r="C201" t="str">
        <x:v>Umbreon</x:v>
      </x:c>
      <x:c r="D201" t="str">
        <x:v>61/108</x:v>
      </x:c>
      <x:c r="E201" t="str">
        <x:v>Dark Explorers</x:v>
      </x:c>
      <x:c r="F201" t="n">
        <x:v>2012</x:v>
      </x:c>
      <x:c r="G201" t="str">
        <x:v>Regular</x:v>
      </x:c>
      <x:c r="H201" t="str">
        <x:v>3 of 7</x:v>
      </x:c>
      <x:c r="I201" t="n">
        <x:v>16.95</x:v>
      </x:c>
      <x:c r="J201" t="n">
        <x:v>17.1</x:v>
      </x:c>
      <x:c r="K201" t="n">
        <x:v>17.025</x:v>
      </x:c>
      <x:c r="L201" t="str">
        <x:v>$5–20</x:v>
      </x:c>
      <x:c r="M201" t="str">
        <x:v>Yes</x:v>
      </x:c>
      <x:c r="N201" t="str">
        <x:v>Yes</x:v>
      </x:c>
      <x:c r="O201" t="str">
        <x:v>Yes</x:v>
      </x:c>
      <x:c r="P201" t="str">
        <x:v>Clean/NM benchmark unless noted</x:v>
      </x:c>
      <x:c r="Q201" t="n">
        <x:v>16.95</x:v>
      </x:c>
      <x:c r="R201" t="n">
        <x:v>17.1</x:v>
      </x:c>
      <x:c r="S201" t="n">
        <x:v>17.025</x:v>
      </x:c>
      <x:c r="T201" t="str">
        <x:v>One of seven regular Dark Explorers Umbreon 61/108 copies.</x:v>
      </x:c>
      <x:c r="U201" t="n">
        <x:v>888</x:v>
      </x:c>
      <x:c r="V201" t="str">
        <x:v>Current chat continuation / researched 2026-08-15</x:v>
      </x:c>
      <x:c r="W201" t="str">
        <x:v>https://www.tcgplayer.com/search/pokemon/product?page=1&amp;productLineName=pokemon&amp;q=Umbreon+Dark+Explorers+%2361&amp;view=grid</x:v>
      </x:c>
    </x:row>
    <x:row r="202">
      <x:c r="A202" t="n">
        <x:v>282</x:v>
      </x:c>
      <x:c r="B202" t="str">
        <x:v>After $1+ Logging Rule / Rares</x:v>
      </x:c>
      <x:c r="C202" t="str">
        <x:v>Umbreon</x:v>
      </x:c>
      <x:c r="D202" t="str">
        <x:v>61/108</x:v>
      </x:c>
      <x:c r="E202" t="str">
        <x:v>Dark Explorers</x:v>
      </x:c>
      <x:c r="F202" t="n">
        <x:v>2012</x:v>
      </x:c>
      <x:c r="G202" t="str">
        <x:v>Regular</x:v>
      </x:c>
      <x:c r="H202" t="str">
        <x:v>4 of 7</x:v>
      </x:c>
      <x:c r="I202" t="n">
        <x:v>16.95</x:v>
      </x:c>
      <x:c r="J202" t="n">
        <x:v>17.1</x:v>
      </x:c>
      <x:c r="K202" t="n">
        <x:v>17.025</x:v>
      </x:c>
      <x:c r="L202" t="str">
        <x:v>$5–20</x:v>
      </x:c>
      <x:c r="M202" t="str">
        <x:v>Yes</x:v>
      </x:c>
      <x:c r="N202" t="str">
        <x:v>Yes</x:v>
      </x:c>
      <x:c r="O202" t="str">
        <x:v>Yes</x:v>
      </x:c>
      <x:c r="P202" t="str">
        <x:v>Clean/NM benchmark unless noted</x:v>
      </x:c>
      <x:c r="Q202" t="n">
        <x:v>16.95</x:v>
      </x:c>
      <x:c r="R202" t="n">
        <x:v>17.1</x:v>
      </x:c>
      <x:c r="S202" t="n">
        <x:v>17.025</x:v>
      </x:c>
      <x:c r="T202" t="str">
        <x:v>One of seven regular Dark Explorers Umbreon 61/108 copies.</x:v>
      </x:c>
      <x:c r="U202" t="n">
        <x:v>888</x:v>
      </x:c>
      <x:c r="V202" t="str">
        <x:v>Current chat continuation / researched 2026-08-15</x:v>
      </x:c>
      <x:c r="W202" t="str">
        <x:v>https://www.tcgplayer.com/search/pokemon/product?page=1&amp;productLineName=pokemon&amp;q=Umbreon+Dark+Explorers+%2361&amp;view=grid</x:v>
      </x:c>
    </x:row>
    <x:row r="203">
      <x:c r="A203" t="n">
        <x:v>283</x:v>
      </x:c>
      <x:c r="B203" t="str">
        <x:v>After $1+ Logging Rule / Rares</x:v>
      </x:c>
      <x:c r="C203" t="str">
        <x:v>Umbreon</x:v>
      </x:c>
      <x:c r="D203" t="str">
        <x:v>61/108</x:v>
      </x:c>
      <x:c r="E203" t="str">
        <x:v>Dark Explorers</x:v>
      </x:c>
      <x:c r="F203" t="n">
        <x:v>2012</x:v>
      </x:c>
      <x:c r="G203" t="str">
        <x:v>Regular</x:v>
      </x:c>
      <x:c r="H203" t="str">
        <x:v>5 of 7</x:v>
      </x:c>
      <x:c r="I203" t="n">
        <x:v>16.95</x:v>
      </x:c>
      <x:c r="J203" t="n">
        <x:v>17.1</x:v>
      </x:c>
      <x:c r="K203" t="n">
        <x:v>17.025</x:v>
      </x:c>
      <x:c r="L203" t="str">
        <x:v>$5–20</x:v>
      </x:c>
      <x:c r="M203" t="str">
        <x:v>Yes</x:v>
      </x:c>
      <x:c r="N203" t="str">
        <x:v>Yes</x:v>
      </x:c>
      <x:c r="O203" t="str">
        <x:v>Yes</x:v>
      </x:c>
      <x:c r="P203" t="str">
        <x:v>Clean/NM benchmark unless noted</x:v>
      </x:c>
      <x:c r="Q203" t="n">
        <x:v>16.95</x:v>
      </x:c>
      <x:c r="R203" t="n">
        <x:v>17.1</x:v>
      </x:c>
      <x:c r="S203" t="n">
        <x:v>17.025</x:v>
      </x:c>
      <x:c r="T203" t="str">
        <x:v>One of seven regular Dark Explorers Umbreon 61/108 copies.</x:v>
      </x:c>
      <x:c r="U203" t="n">
        <x:v>888</x:v>
      </x:c>
      <x:c r="V203" t="str">
        <x:v>Current chat continuation / researched 2026-08-15</x:v>
      </x:c>
      <x:c r="W203" t="str">
        <x:v>https://www.tcgplayer.com/search/pokemon/product?page=1&amp;productLineName=pokemon&amp;q=Umbreon+Dark+Explorers+%2361&amp;view=grid</x:v>
      </x:c>
    </x:row>
    <x:row r="204">
      <x:c r="A204" t="n">
        <x:v>284</x:v>
      </x:c>
      <x:c r="B204" t="str">
        <x:v>After $1+ Logging Rule / Rares</x:v>
      </x:c>
      <x:c r="C204" t="str">
        <x:v>Umbreon</x:v>
      </x:c>
      <x:c r="D204" t="str">
        <x:v>61/108</x:v>
      </x:c>
      <x:c r="E204" t="str">
        <x:v>Dark Explorers</x:v>
      </x:c>
      <x:c r="F204" t="n">
        <x:v>2012</x:v>
      </x:c>
      <x:c r="G204" t="str">
        <x:v>Regular</x:v>
      </x:c>
      <x:c r="H204" t="str">
        <x:v>6 of 7</x:v>
      </x:c>
      <x:c r="I204" t="n">
        <x:v>16.95</x:v>
      </x:c>
      <x:c r="J204" t="n">
        <x:v>17.1</x:v>
      </x:c>
      <x:c r="K204" t="n">
        <x:v>17.025</x:v>
      </x:c>
      <x:c r="L204" t="str">
        <x:v>$5–20</x:v>
      </x:c>
      <x:c r="M204" t="str">
        <x:v>Yes</x:v>
      </x:c>
      <x:c r="N204" t="str">
        <x:v>Yes</x:v>
      </x:c>
      <x:c r="O204" t="str">
        <x:v>Yes</x:v>
      </x:c>
      <x:c r="P204" t="str">
        <x:v>Clean/NM benchmark unless noted</x:v>
      </x:c>
      <x:c r="Q204" t="n">
        <x:v>16.95</x:v>
      </x:c>
      <x:c r="R204" t="n">
        <x:v>17.1</x:v>
      </x:c>
      <x:c r="S204" t="n">
        <x:v>17.025</x:v>
      </x:c>
      <x:c r="T204" t="str">
        <x:v>One of seven regular Dark Explorers Umbreon 61/108 copies.</x:v>
      </x:c>
      <x:c r="U204" t="n">
        <x:v>888</x:v>
      </x:c>
      <x:c r="V204" t="str">
        <x:v>Current chat continuation / researched 2026-08-15</x:v>
      </x:c>
      <x:c r="W204" t="str">
        <x:v>https://www.tcgplayer.com/search/pokemon/product?page=1&amp;productLineName=pokemon&amp;q=Umbreon+Dark+Explorers+%2361&amp;view=grid</x:v>
      </x:c>
    </x:row>
    <x:row r="205">
      <x:c r="A205" t="n">
        <x:v>285</x:v>
      </x:c>
      <x:c r="B205" t="str">
        <x:v>After $1+ Logging Rule / Rares</x:v>
      </x:c>
      <x:c r="C205" t="str">
        <x:v>Umbreon</x:v>
      </x:c>
      <x:c r="D205" t="str">
        <x:v>61/108</x:v>
      </x:c>
      <x:c r="E205" t="str">
        <x:v>Dark Explorers</x:v>
      </x:c>
      <x:c r="F205" t="n">
        <x:v>2012</x:v>
      </x:c>
      <x:c r="G205" t="str">
        <x:v>Regular</x:v>
      </x:c>
      <x:c r="H205" t="str">
        <x:v>7 of 7</x:v>
      </x:c>
      <x:c r="I205" t="n">
        <x:v>16.95</x:v>
      </x:c>
      <x:c r="J205" t="n">
        <x:v>17.1</x:v>
      </x:c>
      <x:c r="K205" t="n">
        <x:v>17.025</x:v>
      </x:c>
      <x:c r="L205" t="str">
        <x:v>$5–20</x:v>
      </x:c>
      <x:c r="M205" t="str">
        <x:v>Yes</x:v>
      </x:c>
      <x:c r="N205" t="str">
        <x:v>Yes</x:v>
      </x:c>
      <x:c r="O205" t="str">
        <x:v>Yes</x:v>
      </x:c>
      <x:c r="P205" t="str">
        <x:v>Clean/NM benchmark unless noted</x:v>
      </x:c>
      <x:c r="Q205" t="n">
        <x:v>16.95</x:v>
      </x:c>
      <x:c r="R205" t="n">
        <x:v>17.1</x:v>
      </x:c>
      <x:c r="S205" t="n">
        <x:v>17.025</x:v>
      </x:c>
      <x:c r="T205" t="str">
        <x:v>One of seven regular Dark Explorers Umbreon 61/108 copies.</x:v>
      </x:c>
      <x:c r="U205" t="n">
        <x:v>888</x:v>
      </x:c>
      <x:c r="V205" t="str">
        <x:v>Current chat continuation / researched 2026-08-15</x:v>
      </x:c>
      <x:c r="W205" t="str">
        <x:v>https://www.tcgplayer.com/search/pokemon/product?page=1&amp;productLineName=pokemon&amp;q=Umbreon+Dark+Explorers+%2361&amp;view=grid</x:v>
      </x:c>
    </x:row>
    <x:row r="206">
      <x:c r="A206" t="n">
        <x:v>286</x:v>
      </x:c>
      <x:c r="B206" t="str">
        <x:v>After $1+ Logging Rule / Rares</x:v>
      </x:c>
      <x:c r="C206" t="str">
        <x:v>Umbreon</x:v>
      </x:c>
      <x:c r="D206" t="str">
        <x:v>60/108</x:v>
      </x:c>
      <x:c r="E206" t="str">
        <x:v>Dark Explorers</x:v>
      </x:c>
      <x:c r="F206" t="n">
        <x:v>2012</x:v>
      </x:c>
      <x:c r="G206" t="str">
        <x:v>Regular</x:v>
      </x:c>
      <x:c r="H206" t="str">
        <x:v>1 of 1</x:v>
      </x:c>
      <x:c r="I206" t="n">
        <x:v>20</x:v>
      </x:c>
      <x:c r="J206" t="n">
        <x:v>22</x:v>
      </x:c>
      <x:c r="K206" t="n">
        <x:v>21</x:v>
      </x:c>
      <x:c r="L206" t="str">
        <x:v>$20+</x:v>
      </x:c>
      <x:c r="M206" t="str">
        <x:v>Yes</x:v>
      </x:c>
      <x:c r="N206" t="str">
        <x:v>Yes</x:v>
      </x:c>
      <x:c r="O206" t="str">
        <x:v>Yes</x:v>
      </x:c>
      <x:c r="P206" t="str">
        <x:v>Clean/NM benchmark unless noted</x:v>
      </x:c>
      <x:c r="Q206" t="n">
        <x:v>20</x:v>
      </x:c>
      <x:c r="R206" t="n">
        <x:v>22</x:v>
      </x:c>
      <x:c r="S206" t="n">
        <x:v>21</x:v>
      </x:c>
      <x:c r="T206" t="str">
        <x:v>Corrected from prior mistaken 61/108 entry. User specified one Umbreon 60/108; logged as regular because reverse was not stated.</x:v>
      </x:c>
      <x:c r="U206" t="n">
        <x:v>889</x:v>
      </x:c>
      <x:c r="V206" t="str">
        <x:v>Current chat continuation / corrected 2026-08-15</x:v>
      </x:c>
      <x:c r="W206" t="str">
        <x:v>https://www.tcgplayer.com/search/pokemon/product?productLineName=pokemon&amp;q=Umbreon+Dark+Explorers+%2360</x:v>
      </x:c>
    </x:row>
    <x:row r="207">
      <x:c r="A207" t="n">
        <x:v>287</x:v>
      </x:c>
      <x:c r="B207" t="str">
        <x:v>After $1+ Logging Rule / Rares</x:v>
      </x:c>
      <x:c r="C207" t="str">
        <x:v>Zorua</x:v>
      </x:c>
      <x:c r="D207" t="str">
        <x:v>66/98</x:v>
      </x:c>
      <x:c r="E207" t="str">
        <x:v>Emerging Powers</x:v>
      </x:c>
      <x:c r="F207" t="n">
        <x:v>2011</x:v>
      </x:c>
      <x:c r="G207" t="str">
        <x:v>Reverse Holo</x:v>
      </x:c>
      <x:c r="H207" t="str">
        <x:v>1 of 2</x:v>
      </x:c>
      <x:c r="I207" t="n">
        <x:v>1</x:v>
      </x:c>
      <x:c r="J207" t="n">
        <x:v>1.3</x:v>
      </x:c>
      <x:c r="K207" t="n">
        <x:v>1.15</x:v>
      </x:c>
      <x:c r="L207" t="str">
        <x:v>$1–5</x:v>
      </x:c>
      <x:c r="M207" t="str">
        <x:v>Yes</x:v>
      </x:c>
      <x:c r="N207" t="str">
        <x:v>No</x:v>
      </x:c>
      <x:c r="O207" t="str">
        <x:v>Yes</x:v>
      </x:c>
      <x:c r="P207" t="str">
        <x:v>Clean/NM benchmark unless noted</x:v>
      </x:c>
      <x:c r="Q207" t="n">
        <x:v>1</x:v>
      </x:c>
      <x:c r="R207" t="n">
        <x:v>1.3</x:v>
      </x:c>
      <x:c r="S207" t="n">
        <x:v>1.15</x:v>
      </x:c>
      <x:c r="T207" t="str">
        <x:v>First of two Emerging Powers Zorua 66/98 reverse-holo copies.</x:v>
      </x:c>
      <x:c r="U207" t="n">
        <x:v>890</x:v>
      </x:c>
      <x:c r="V207" t="str">
        <x:v>Current chat continuation / researched 2026-08-15</x:v>
      </x:c>
      <x:c r="W207" t="str">
        <x:v>https://pokemoncard.io/card/zorua-bw2-66</x:v>
      </x:c>
    </x:row>
    <x:row r="208">
      <x:c r="A208" t="n">
        <x:v>288</x:v>
      </x:c>
      <x:c r="B208" t="str">
        <x:v>After $1+ Logging Rule / Rares</x:v>
      </x:c>
      <x:c r="C208" t="str">
        <x:v>Zorua</x:v>
      </x:c>
      <x:c r="D208" t="str">
        <x:v>66/98</x:v>
      </x:c>
      <x:c r="E208" t="str">
        <x:v>Emerging Powers</x:v>
      </x:c>
      <x:c r="F208" t="n">
        <x:v>2011</x:v>
      </x:c>
      <x:c r="G208" t="str">
        <x:v>Reverse Holo</x:v>
      </x:c>
      <x:c r="H208" t="str">
        <x:v>2 of 2</x:v>
      </x:c>
      <x:c r="I208" t="n">
        <x:v>1</x:v>
      </x:c>
      <x:c r="J208" t="n">
        <x:v>1.3</x:v>
      </x:c>
      <x:c r="K208" t="n">
        <x:v>1.15</x:v>
      </x:c>
      <x:c r="L208" t="str">
        <x:v>$1–5</x:v>
      </x:c>
      <x:c r="M208" t="str">
        <x:v>Yes</x:v>
      </x:c>
      <x:c r="N208" t="str">
        <x:v>No</x:v>
      </x:c>
      <x:c r="O208" t="str">
        <x:v>Yes</x:v>
      </x:c>
      <x:c r="P208" t="str">
        <x:v>Clean/NM benchmark unless noted</x:v>
      </x:c>
      <x:c r="Q208" t="n">
        <x:v>1</x:v>
      </x:c>
      <x:c r="R208" t="n">
        <x:v>1.3</x:v>
      </x:c>
      <x:c r="S208" t="n">
        <x:v>1.15</x:v>
      </x:c>
      <x:c r="T208" t="str">
        <x:v>Second of two Emerging Powers Zorua 66/98 reverse-holo copies.</x:v>
      </x:c>
      <x:c r="U208" t="n">
        <x:v>890</x:v>
      </x:c>
      <x:c r="V208" t="str">
        <x:v>Current chat continuation / researched 2026-08-15</x:v>
      </x:c>
      <x:c r="W208" t="str">
        <x:v>https://pokemoncard.io/card/zorua-bw2-66</x:v>
      </x:c>
    </x:row>
    <x:row r="209">
      <x:c r="A209" t="n">
        <x:v>289</x:v>
      </x:c>
      <x:c r="B209" t="str">
        <x:v>After $1+ Logging Rule / Rares</x:v>
      </x:c>
      <x:c r="C209" t="str">
        <x:v>Dark Arbok</x:v>
      </x:c>
      <x:c r="D209" t="str">
        <x:v>29/109</x:v>
      </x:c>
      <x:c r="E209" t="str">
        <x:v>EX Team Rocket Returns</x:v>
      </x:c>
      <x:c r="F209" t="n">
        <x:v>2004</x:v>
      </x:c>
      <x:c r="G209" t="str">
        <x:v>Regular</x:v>
      </x:c>
      <x:c r="H209" t="str">
        <x:v>1 of 1</x:v>
      </x:c>
      <x:c r="I209" t="n">
        <x:v>4.5</x:v>
      </x:c>
      <x:c r="J209" t="n">
        <x:v>5</x:v>
      </x:c>
      <x:c r="K209" t="n">
        <x:v>4.75</x:v>
      </x:c>
      <x:c r="L209" t="str">
        <x:v>$1–5</x:v>
      </x:c>
      <x:c r="M209" t="str">
        <x:v>Yes</x:v>
      </x:c>
      <x:c r="N209" t="str">
        <x:v>No</x:v>
      </x:c>
      <x:c r="O209" t="str">
        <x:v>Yes</x:v>
      </x:c>
      <x:c r="P209" t="str">
        <x:v>Clean/NM benchmark unless noted</x:v>
      </x:c>
      <x:c r="Q209" t="n">
        <x:v>4.5</x:v>
      </x:c>
      <x:c r="R209" t="n">
        <x:v>5</x:v>
      </x:c>
      <x:c r="S209" t="n">
        <x:v>4.75</x:v>
      </x:c>
      <x:c r="T209" t="str">
        <x:v>EX Team Rocket Returns Dark Arbok 29/109 regular uncommon.</x:v>
      </x:c>
      <x:c r="U209" t="n">
        <x:v>890</x:v>
      </x:c>
      <x:c r="V209" t="str">
        <x:v>Current chat continuation / researched 2026-08-15</x:v>
      </x:c>
      <x:c r="W209" t="str">
        <x:v>https://www.tcgplayer.com/search/pokemon/product?q=Dark+Arbok+Team+Rocket+Returns+29</x:v>
      </x:c>
    </x:row>
    <x:row r="210">
      <x:c r="A210" t="n">
        <x:v>290</x:v>
      </x:c>
      <x:c r="B210" t="str">
        <x:v>After $1+ Logging Rule / Rares</x:v>
      </x:c>
      <x:c r="C210" t="str">
        <x:v>Purrloin</x:v>
      </x:c>
      <x:c r="D210" t="str">
        <x:v>RC13/RC25</x:v>
      </x:c>
      <x:c r="E210" t="str">
        <x:v>Legendary Treasures: Radiant Collection</x:v>
      </x:c>
      <x:c r="F210" t="n">
        <x:v>2013</x:v>
      </x:c>
      <x:c r="G210" t="str">
        <x:v>Holofoil</x:v>
      </x:c>
      <x:c r="H210" t="str">
        <x:v>1 of 1</x:v>
      </x:c>
      <x:c r="I210" t="n">
        <x:v>7.25</x:v>
      </x:c>
      <x:c r="J210" t="n">
        <x:v>8</x:v>
      </x:c>
      <x:c r="K210" t="n">
        <x:v>7.625</x:v>
      </x:c>
      <x:c r="L210" t="str">
        <x:v>$5–20</x:v>
      </x:c>
      <x:c r="M210" t="str">
        <x:v>Yes</x:v>
      </x:c>
      <x:c r="N210" t="str">
        <x:v>No</x:v>
      </x:c>
      <x:c r="O210" t="str">
        <x:v>Yes</x:v>
      </x:c>
      <x:c r="P210" t="str">
        <x:v>Clean/NM benchmark unless noted</x:v>
      </x:c>
      <x:c r="Q210" t="n">
        <x:v>7.25</x:v>
      </x:c>
      <x:c r="R210" t="n">
        <x:v>8</x:v>
      </x:c>
      <x:c r="S210" t="n">
        <x:v>7.625</x:v>
      </x:c>
      <x:c r="T210" t="str">
        <x:v>Radiant Collection Purrloin RC13/RC25. TCGplayer NM market around $7.7–7.8 at research time.</x:v>
      </x:c>
      <x:c r="U210" t="n">
        <x:v>891</x:v>
      </x:c>
      <x:c r="V210" t="str">
        <x:v>Current chat continuation / researched 2026-08-15</x:v>
      </x:c>
      <x:c r="W210" t="str">
        <x:v>https://www.tcgplayer.com/search/pokemon/product?productLineName=pokemon&amp;q=purrloin+legendary+treasures+rc13</x:v>
      </x:c>
    </x:row>
    <x:row r="211">
      <x:c r="A211" t="n">
        <x:v>295</x:v>
      </x:c>
      <x:c r="B211" t="str">
        <x:v>Fire / Commons</x:v>
      </x:c>
      <x:c r="C211" t="str">
        <x:v>Brock's Vulpix</x:v>
      </x:c>
      <x:c r="D211" t="str">
        <x:v>73/132</x:v>
      </x:c>
      <x:c r="E211" t="str">
        <x:v>Gym Heroes</x:v>
      </x:c>
      <x:c r="F211" t="n">
        <x:v>2000</x:v>
      </x:c>
      <x:c r="G211" t="str">
        <x:v>Regular (Unlimited assumed)</x:v>
      </x:c>
      <x:c r="H211" t="str">
        <x:v>1 of 2</x:v>
      </x:c>
      <x:c r="I211" t="n">
        <x:v>2.3</x:v>
      </x:c>
      <x:c r="J211" t="n">
        <x:v>3</x:v>
      </x:c>
      <x:c r="K211" t="n">
        <x:v>2.65</x:v>
      </x:c>
      <x:c r="L211" t="str">
        <x:v>$1–5</x:v>
      </x:c>
      <x:c r="M211" t="str">
        <x:v>Yes</x:v>
      </x:c>
      <x:c r="N211" t="str">
        <x:v>No</x:v>
      </x:c>
      <x:c r="O211" t="str">
        <x:v>Yes</x:v>
      </x:c>
      <x:c r="P211" t="str">
        <x:v>Clean/NM benchmark unless noted</x:v>
      </x:c>
      <x:c r="Q211" t="n">
        <x:v>2.3</x:v>
      </x:c>
      <x:c r="R211" t="n">
        <x:v>3</x:v>
      </x:c>
      <x:c r="S211" t="n">
        <x:v>2.65</x:v>
      </x:c>
      <x:c r="T211" t="str">
        <x:v>Gym Heroes common. Current unlimited raw/NM market roughly $2.5–3; if 1st Edition, value is materially higher.</x:v>
      </x:c>
      <x:c r="U211" t="n">
        <x:v>894</x:v>
      </x:c>
      <x:c r="V211" t="str">
        <x:v>Current chat continuation / researched 2026-08-15</x:v>
      </x:c>
      <x:c r="W211" t="str">
        <x:v>https://www.pricecharting.com/game/pokemon-gym-heroes/brock%27s-vulpix-73</x:v>
      </x:c>
    </x:row>
    <x:row r="212">
      <x:c r="A212" t="n">
        <x:v>296</x:v>
      </x:c>
      <x:c r="B212" t="str">
        <x:v>Fire / Commons</x:v>
      </x:c>
      <x:c r="C212" t="str">
        <x:v>Brock's Vulpix</x:v>
      </x:c>
      <x:c r="D212" t="str">
        <x:v>73/132</x:v>
      </x:c>
      <x:c r="E212" t="str">
        <x:v>Gym Heroes</x:v>
      </x:c>
      <x:c r="F212" t="n">
        <x:v>2000</x:v>
      </x:c>
      <x:c r="G212" t="str">
        <x:v>Regular (Unlimited assumed)</x:v>
      </x:c>
      <x:c r="H212" t="str">
        <x:v>2 of 2</x:v>
      </x:c>
      <x:c r="I212" t="n">
        <x:v>2.3</x:v>
      </x:c>
      <x:c r="J212" t="n">
        <x:v>3</x:v>
      </x:c>
      <x:c r="K212" t="n">
        <x:v>2.65</x:v>
      </x:c>
      <x:c r="L212" t="str">
        <x:v>$1–5</x:v>
      </x:c>
      <x:c r="M212" t="str">
        <x:v>Yes</x:v>
      </x:c>
      <x:c r="N212" t="str">
        <x:v>No</x:v>
      </x:c>
      <x:c r="O212" t="str">
        <x:v>Yes</x:v>
      </x:c>
      <x:c r="P212" t="str">
        <x:v>Clean/NM benchmark unless noted</x:v>
      </x:c>
      <x:c r="Q212" t="n">
        <x:v>2.3</x:v>
      </x:c>
      <x:c r="R212" t="n">
        <x:v>3</x:v>
      </x:c>
      <x:c r="S212" t="n">
        <x:v>2.65</x:v>
      </x:c>
      <x:c r="T212" t="str">
        <x:v>Gym Heroes common. Current unlimited raw/NM market roughly $2.5–3; if 1st Edition, value is materially higher.</x:v>
      </x:c>
      <x:c r="U212" t="n">
        <x:v>894</x:v>
      </x:c>
      <x:c r="V212" t="str">
        <x:v>Current chat continuation / researched 2026-08-15</x:v>
      </x:c>
      <x:c r="W212" t="str">
        <x:v>https://www.pricecharting.com/game/pokemon-gym-heroes/brock%27s-vulpix-73</x:v>
      </x:c>
    </x:row>
    <x:row r="213">
      <x:c r="A213" t="n">
        <x:v>297</x:v>
      </x:c>
      <x:c r="B213" t="str">
        <x:v>Fire / Commons</x:v>
      </x:c>
      <x:c r="C213" t="str">
        <x:v>Growlithe</x:v>
      </x:c>
      <x:c r="D213" t="str">
        <x:v>68/105</x:v>
      </x:c>
      <x:c r="E213" t="str">
        <x:v>Neo Destiny</x:v>
      </x:c>
      <x:c r="F213" t="n">
        <x:v>2002</x:v>
      </x:c>
      <x:c r="G213" t="str">
        <x:v>Regular (Unlimited assumed)</x:v>
      </x:c>
      <x:c r="H213" t="str">
        <x:v>1 of 1</x:v>
      </x:c>
      <x:c r="I213" t="n">
        <x:v>4.5</x:v>
      </x:c>
      <x:c r="J213" t="n">
        <x:v>6.1</x:v>
      </x:c>
      <x:c r="K213" t="n">
        <x:v>5.3</x:v>
      </x:c>
      <x:c r="L213" t="str">
        <x:v>$5–20</x:v>
      </x:c>
      <x:c r="M213" t="str">
        <x:v>Yes</x:v>
      </x:c>
      <x:c r="N213" t="str">
        <x:v>No</x:v>
      </x:c>
      <x:c r="O213" t="str">
        <x:v>Yes</x:v>
      </x:c>
      <x:c r="P213" t="str">
        <x:v>Clean/NM benchmark unless noted</x:v>
      </x:c>
      <x:c r="Q213" t="n">
        <x:v>4.5</x:v>
      </x:c>
      <x:c r="R213" t="n">
        <x:v>6.1</x:v>
      </x:c>
      <x:c r="S213" t="n">
        <x:v>5.3</x:v>
      </x:c>
      <x:c r="T213" t="str">
        <x:v>Neo Destiny common. Recent TCGplayer NM sales around $5–6; if 1st Edition, reprice separately.</x:v>
      </x:c>
      <x:c r="U213" t="n">
        <x:v>894</x:v>
      </x:c>
      <x:c r="V213" t="str">
        <x:v>Current chat continuation / researched 2026-08-15</x:v>
      </x:c>
      <x:c r="W213" t="str">
        <x:v>https://www.pricecharting.com/game/pokemon-neo-destiny/growlithe-68</x:v>
      </x:c>
    </x:row>
    <x:row r="214">
      <x:c r="A214" t="n">
        <x:v>298</x:v>
      </x:c>
      <x:c r="B214" t="str">
        <x:v>Fire / Commons</x:v>
      </x:c>
      <x:c r="C214" t="str">
        <x:v>Vulpix</x:v>
      </x:c>
      <x:c r="D214" t="str">
        <x:v>68/102</x:v>
      </x:c>
      <x:c r="E214" t="str">
        <x:v>Base Set</x:v>
      </x:c>
      <x:c r="F214" t="n">
        <x:v>1999</x:v>
      </x:c>
      <x:c r="G214" t="str">
        <x:v>Regular (Unlimited assumed)</x:v>
      </x:c>
      <x:c r="H214" t="str">
        <x:v>1 of 1</x:v>
      </x:c>
      <x:c r="I214" t="n">
        <x:v>0.85</x:v>
      </x:c>
      <x:c r="J214" t="n">
        <x:v>1.05</x:v>
      </x:c>
      <x:c r="K214" t="n">
        <x:v>0.95</x:v>
      </x:c>
      <x:c r="L214" t="str">
        <x:v>&lt;$1</x:v>
      </x:c>
      <x:c r="M214" t="str">
        <x:v>Yes</x:v>
      </x:c>
      <x:c r="N214" t="str">
        <x:v>No</x:v>
      </x:c>
      <x:c r="O214" t="str">
        <x:v>Yes</x:v>
      </x:c>
      <x:c r="P214" t="str">
        <x:v>Clean/NM benchmark unless noted</x:v>
      </x:c>
      <x:c r="Q214" t="n">
        <x:v>0.85</x:v>
      </x:c>
      <x:c r="R214" t="n">
        <x:v>1.05</x:v>
      </x:c>
      <x:c r="S214" t="n">
        <x:v>0.95</x:v>
      </x:c>
      <x:c r="T214" t="str">
        <x:v>Base Set common. Logged on $1+ tab because clean raw is essentially at the ~$1 threshold. If Shadowless or 1st Edition, value increases sharply.</x:v>
      </x:c>
      <x:c r="U214" t="n">
        <x:v>894</x:v>
      </x:c>
      <x:c r="V214" t="str">
        <x:v>Current chat continuation / researched 2026-08-15</x:v>
      </x:c>
      <x:c r="W214" t="str">
        <x:v>https://www.tcgplayer.com/search/pokemon/product?page=1&amp;productLineName=pokemon&amp;q=Vulpix+Base+Set&amp;setName=product&amp;view=grid</x:v>
      </x:c>
    </x:row>
    <x:row r="215">
      <x:c r="A215" t="n">
        <x:v>299</x:v>
      </x:c>
      <x:c r="B215" t="str">
        <x:v>Fire / Commons</x:v>
      </x:c>
      <x:c r="C215" t="str">
        <x:v>Blaine's Vulpix</x:v>
      </x:c>
      <x:c r="D215" t="str">
        <x:v>65/132</x:v>
      </x:c>
      <x:c r="E215" t="str">
        <x:v>Gym Heroes</x:v>
      </x:c>
      <x:c r="F215" t="n">
        <x:v>2000</x:v>
      </x:c>
      <x:c r="G215" t="str">
        <x:v>Regular (Unlimited assumed)</x:v>
      </x:c>
      <x:c r="H215" t="str">
        <x:v>1 of 2</x:v>
      </x:c>
      <x:c r="I215" t="n">
        <x:v>2.5</x:v>
      </x:c>
      <x:c r="J215" t="n">
        <x:v>3.25</x:v>
      </x:c>
      <x:c r="K215" t="n">
        <x:v>2.875</x:v>
      </x:c>
      <x:c r="L215" t="str">
        <x:v>$1–5</x:v>
      </x:c>
      <x:c r="M215" t="str">
        <x:v>Yes</x:v>
      </x:c>
      <x:c r="N215" t="str">
        <x:v>No</x:v>
      </x:c>
      <x:c r="O215" t="str">
        <x:v>Yes</x:v>
      </x:c>
      <x:c r="P215" t="str">
        <x:v>Clean/NM benchmark unless noted</x:v>
      </x:c>
      <x:c r="Q215" t="n">
        <x:v>2.5</x:v>
      </x:c>
      <x:c r="R215" t="n">
        <x:v>3.25</x:v>
      </x:c>
      <x:c r="S215" t="n">
        <x:v>2.875</x:v>
      </x:c>
      <x:c r="T215" t="str">
        <x:v>Gym Heroes common. Unlimited NM benchmark around $3; 1st Edition would be worth more.</x:v>
      </x:c>
      <x:c r="U215" t="n">
        <x:v>894</x:v>
      </x:c>
      <x:c r="V215" t="str">
        <x:v>Current chat continuation / researched 2026-08-15</x:v>
      </x:c>
      <x:c r="W215" t="str">
        <x:v>https://www.tcgplayer.com/categories/trading-and-collectible-card-games/pokemon/price-guides/gym-heroes</x:v>
      </x:c>
    </x:row>
    <x:row r="216">
      <x:c r="A216" t="n">
        <x:v>300</x:v>
      </x:c>
      <x:c r="B216" t="str">
        <x:v>Fire / Commons</x:v>
      </x:c>
      <x:c r="C216" t="str">
        <x:v>Blaine's Vulpix</x:v>
      </x:c>
      <x:c r="D216" t="str">
        <x:v>65/132</x:v>
      </x:c>
      <x:c r="E216" t="str">
        <x:v>Gym Heroes</x:v>
      </x:c>
      <x:c r="F216" t="n">
        <x:v>2000</x:v>
      </x:c>
      <x:c r="G216" t="str">
        <x:v>Regular (Unlimited assumed)</x:v>
      </x:c>
      <x:c r="H216" t="str">
        <x:v>2 of 2</x:v>
      </x:c>
      <x:c r="I216" t="n">
        <x:v>2.5</x:v>
      </x:c>
      <x:c r="J216" t="n">
        <x:v>3.25</x:v>
      </x:c>
      <x:c r="K216" t="n">
        <x:v>2.875</x:v>
      </x:c>
      <x:c r="L216" t="str">
        <x:v>$1–5</x:v>
      </x:c>
      <x:c r="M216" t="str">
        <x:v>Yes</x:v>
      </x:c>
      <x:c r="N216" t="str">
        <x:v>No</x:v>
      </x:c>
      <x:c r="O216" t="str">
        <x:v>Yes</x:v>
      </x:c>
      <x:c r="P216" t="str">
        <x:v>Clean/NM benchmark unless noted</x:v>
      </x:c>
      <x:c r="Q216" t="n">
        <x:v>2.5</x:v>
      </x:c>
      <x:c r="R216" t="n">
        <x:v>3.25</x:v>
      </x:c>
      <x:c r="S216" t="n">
        <x:v>2.875</x:v>
      </x:c>
      <x:c r="T216" t="str">
        <x:v>Gym Heroes common. Unlimited NM benchmark around $3; 1st Edition would be worth more.</x:v>
      </x:c>
      <x:c r="U216" t="n">
        <x:v>894</x:v>
      </x:c>
      <x:c r="V216" t="str">
        <x:v>Current chat continuation / researched 2026-08-15</x:v>
      </x:c>
      <x:c r="W216" t="str">
        <x:v>https://www.tcgplayer.com/categories/trading-and-collectible-card-games/pokemon/price-guides/gym-heroes</x:v>
      </x:c>
    </x:row>
    <x:row r="217">
      <x:c r="A217" t="n">
        <x:v>301</x:v>
      </x:c>
      <x:c r="B217" t="str">
        <x:v>Fire / Commons</x:v>
      </x:c>
      <x:c r="C217" t="str">
        <x:v>Blaine's Vulpix</x:v>
      </x:c>
      <x:c r="D217" t="str">
        <x:v>66/132</x:v>
      </x:c>
      <x:c r="E217" t="str">
        <x:v>Gym Challenge</x:v>
      </x:c>
      <x:c r="F217" t="n">
        <x:v>2000</x:v>
      </x:c>
      <x:c r="G217" t="str">
        <x:v>Regular (Unlimited assumed)</x:v>
      </x:c>
      <x:c r="H217" t="str">
        <x:v>1 of 1</x:v>
      </x:c>
      <x:c r="I217" t="n">
        <x:v>2.5</x:v>
      </x:c>
      <x:c r="J217" t="n">
        <x:v>3.1</x:v>
      </x:c>
      <x:c r="K217" t="n">
        <x:v>2.8</x:v>
      </x:c>
      <x:c r="L217" t="str">
        <x:v>$1–5</x:v>
      </x:c>
      <x:c r="M217" t="str">
        <x:v>Yes</x:v>
      </x:c>
      <x:c r="N217" t="str">
        <x:v>No</x:v>
      </x:c>
      <x:c r="O217" t="str">
        <x:v>Yes</x:v>
      </x:c>
      <x:c r="P217" t="str">
        <x:v>Clean/NM benchmark unless noted</x:v>
      </x:c>
      <x:c r="Q217" t="n">
        <x:v>2.5</x:v>
      </x:c>
      <x:c r="R217" t="n">
        <x:v>3.1</x:v>
      </x:c>
      <x:c r="S217" t="n">
        <x:v>2.8</x:v>
      </x:c>
      <x:c r="T217" t="str">
        <x:v>Gym Challenge common. Current unlimited market about $2.8.</x:v>
      </x:c>
      <x:c r="U217" t="n">
        <x:v>894</x:v>
      </x:c>
      <x:c r="V217" t="str">
        <x:v>Current chat continuation / researched 2026-08-15</x:v>
      </x:c>
      <x:c r="W217" t="str">
        <x:v>https://www.pokemonwizard.com/cards/83886/blaines-vulpix</x:v>
      </x:c>
    </x:row>
    <x:row r="218">
      <x:c r="A218" t="n">
        <x:v>302</x:v>
      </x:c>
      <x:c r="B218" t="str">
        <x:v>Fire / Commons</x:v>
      </x:c>
      <x:c r="C218" t="str">
        <x:v>Blaine's Growlithe</x:v>
      </x:c>
      <x:c r="D218" t="str">
        <x:v>62/132</x:v>
      </x:c>
      <x:c r="E218" t="str">
        <x:v>Gym Heroes</x:v>
      </x:c>
      <x:c r="F218" t="n">
        <x:v>2000</x:v>
      </x:c>
      <x:c r="G218" t="str">
        <x:v>Regular (Unlimited assumed)</x:v>
      </x:c>
      <x:c r="H218" t="str">
        <x:v>1 of 4</x:v>
      </x:c>
      <x:c r="I218" t="n">
        <x:v>1.5</x:v>
      </x:c>
      <x:c r="J218" t="n">
        <x:v>2.25</x:v>
      </x:c>
      <x:c r="K218" t="n">
        <x:v>1.875</x:v>
      </x:c>
      <x:c r="L218" t="str">
        <x:v>$1–5</x:v>
      </x:c>
      <x:c r="M218" t="str">
        <x:v>Yes</x:v>
      </x:c>
      <x:c r="N218" t="str">
        <x:v>No</x:v>
      </x:c>
      <x:c r="O218" t="str">
        <x:v>Yes</x:v>
      </x:c>
      <x:c r="P218" t="str">
        <x:v>Clean/NM benchmark unless noted</x:v>
      </x:c>
      <x:c r="Q218" t="n">
        <x:v>1.5</x:v>
      </x:c>
      <x:c r="R218" t="n">
        <x:v>2.25</x:v>
      </x:c>
      <x:c r="S218" t="n">
        <x:v>1.875</x:v>
      </x:c>
      <x:c r="T218" t="str">
        <x:v>Gym Heroes common. Recent NM sales mostly around $1.5–2.25; 1st Edition would be worth more.</x:v>
      </x:c>
      <x:c r="U218" t="n">
        <x:v>894</x:v>
      </x:c>
      <x:c r="V218" t="str">
        <x:v>Current chat continuation / researched 2026-08-15</x:v>
      </x:c>
      <x:c r="W218" t="str">
        <x:v>https://www.pricecharting.com/game/pokemon-gym-heroes/blaine%27s-growlithe-62</x:v>
      </x:c>
    </x:row>
    <x:row r="219">
      <x:c r="A219" t="n">
        <x:v>303</x:v>
      </x:c>
      <x:c r="B219" t="str">
        <x:v>Fire / Commons</x:v>
      </x:c>
      <x:c r="C219" t="str">
        <x:v>Blaine's Growlithe</x:v>
      </x:c>
      <x:c r="D219" t="str">
        <x:v>62/132</x:v>
      </x:c>
      <x:c r="E219" t="str">
        <x:v>Gym Heroes</x:v>
      </x:c>
      <x:c r="F219" t="n">
        <x:v>2000</x:v>
      </x:c>
      <x:c r="G219" t="str">
        <x:v>Regular (Unlimited assumed)</x:v>
      </x:c>
      <x:c r="H219" t="str">
        <x:v>2 of 4</x:v>
      </x:c>
      <x:c r="I219" t="n">
        <x:v>1.5</x:v>
      </x:c>
      <x:c r="J219" t="n">
        <x:v>2.25</x:v>
      </x:c>
      <x:c r="K219" t="n">
        <x:v>1.875</x:v>
      </x:c>
      <x:c r="L219" t="str">
        <x:v>$1–5</x:v>
      </x:c>
      <x:c r="M219" t="str">
        <x:v>Yes</x:v>
      </x:c>
      <x:c r="N219" t="str">
        <x:v>No</x:v>
      </x:c>
      <x:c r="O219" t="str">
        <x:v>Yes</x:v>
      </x:c>
      <x:c r="P219" t="str">
        <x:v>Clean/NM benchmark unless noted</x:v>
      </x:c>
      <x:c r="Q219" t="n">
        <x:v>1.5</x:v>
      </x:c>
      <x:c r="R219" t="n">
        <x:v>2.25</x:v>
      </x:c>
      <x:c r="S219" t="n">
        <x:v>1.875</x:v>
      </x:c>
      <x:c r="T219" t="str">
        <x:v>Gym Heroes common. Recent NM sales mostly around $1.5–2.25; 1st Edition would be worth more.</x:v>
      </x:c>
      <x:c r="U219" t="n">
        <x:v>894</x:v>
      </x:c>
      <x:c r="V219" t="str">
        <x:v>Current chat continuation / researched 2026-08-15</x:v>
      </x:c>
      <x:c r="W219" t="str">
        <x:v>https://www.pricecharting.com/game/pokemon-gym-heroes/blaine%27s-growlithe-62</x:v>
      </x:c>
    </x:row>
    <x:row r="220">
      <x:c r="A220" t="n">
        <x:v>304</x:v>
      </x:c>
      <x:c r="B220" t="str">
        <x:v>Fire / Commons</x:v>
      </x:c>
      <x:c r="C220" t="str">
        <x:v>Blaine's Growlithe</x:v>
      </x:c>
      <x:c r="D220" t="str">
        <x:v>62/132</x:v>
      </x:c>
      <x:c r="E220" t="str">
        <x:v>Gym Heroes</x:v>
      </x:c>
      <x:c r="F220" t="n">
        <x:v>2000</x:v>
      </x:c>
      <x:c r="G220" t="str">
        <x:v>Regular (Unlimited assumed)</x:v>
      </x:c>
      <x:c r="H220" t="str">
        <x:v>3 of 4</x:v>
      </x:c>
      <x:c r="I220" t="n">
        <x:v>1.5</x:v>
      </x:c>
      <x:c r="J220" t="n">
        <x:v>2.25</x:v>
      </x:c>
      <x:c r="K220" t="n">
        <x:v>1.875</x:v>
      </x:c>
      <x:c r="L220" t="str">
        <x:v>$1–5</x:v>
      </x:c>
      <x:c r="M220" t="str">
        <x:v>Yes</x:v>
      </x:c>
      <x:c r="N220" t="str">
        <x:v>No</x:v>
      </x:c>
      <x:c r="O220" t="str">
        <x:v>Yes</x:v>
      </x:c>
      <x:c r="P220" t="str">
        <x:v>Clean/NM benchmark unless noted</x:v>
      </x:c>
      <x:c r="Q220" t="n">
        <x:v>1.5</x:v>
      </x:c>
      <x:c r="R220" t="n">
        <x:v>2.25</x:v>
      </x:c>
      <x:c r="S220" t="n">
        <x:v>1.875</x:v>
      </x:c>
      <x:c r="T220" t="str">
        <x:v>Gym Heroes common. Recent NM sales mostly around $1.5–2.25; 1st Edition would be worth more.</x:v>
      </x:c>
      <x:c r="U220" t="n">
        <x:v>894</x:v>
      </x:c>
      <x:c r="V220" t="str">
        <x:v>Current chat continuation / researched 2026-08-15</x:v>
      </x:c>
      <x:c r="W220" t="str">
        <x:v>https://www.pricecharting.com/game/pokemon-gym-heroes/blaine%27s-growlithe-62</x:v>
      </x:c>
    </x:row>
    <x:row r="221">
      <x:c r="A221" t="n">
        <x:v>305</x:v>
      </x:c>
      <x:c r="B221" t="str">
        <x:v>Fire / Commons</x:v>
      </x:c>
      <x:c r="C221" t="str">
        <x:v>Blaine's Growlithe</x:v>
      </x:c>
      <x:c r="D221" t="str">
        <x:v>62/132</x:v>
      </x:c>
      <x:c r="E221" t="str">
        <x:v>Gym Heroes</x:v>
      </x:c>
      <x:c r="F221" t="n">
        <x:v>2000</x:v>
      </x:c>
      <x:c r="G221" t="str">
        <x:v>Regular (Unlimited assumed)</x:v>
      </x:c>
      <x:c r="H221" t="str">
        <x:v>4 of 4</x:v>
      </x:c>
      <x:c r="I221" t="n">
        <x:v>1.5</x:v>
      </x:c>
      <x:c r="J221" t="n">
        <x:v>2.25</x:v>
      </x:c>
      <x:c r="K221" t="n">
        <x:v>1.875</x:v>
      </x:c>
      <x:c r="L221" t="str">
        <x:v>$1–5</x:v>
      </x:c>
      <x:c r="M221" t="str">
        <x:v>Yes</x:v>
      </x:c>
      <x:c r="N221" t="str">
        <x:v>No</x:v>
      </x:c>
      <x:c r="O221" t="str">
        <x:v>Yes</x:v>
      </x:c>
      <x:c r="P221" t="str">
        <x:v>Clean/NM benchmark unless noted</x:v>
      </x:c>
      <x:c r="Q221" t="n">
        <x:v>1.5</x:v>
      </x:c>
      <x:c r="R221" t="n">
        <x:v>2.25</x:v>
      </x:c>
      <x:c r="S221" t="n">
        <x:v>1.875</x:v>
      </x:c>
      <x:c r="T221" t="str">
        <x:v>Gym Heroes common. Recent NM sales mostly around $1.5–2.25; 1st Edition would be worth more.</x:v>
      </x:c>
      <x:c r="U221" t="n">
        <x:v>894</x:v>
      </x:c>
      <x:c r="V221" t="str">
        <x:v>Current chat continuation / researched 2026-08-15</x:v>
      </x:c>
      <x:c r="W221" t="str">
        <x:v>https://www.pricecharting.com/game/pokemon-gym-heroes/blaine%27s-growlithe-62</x:v>
      </x:c>
    </x:row>
    <x:row r="222">
      <x:c r="A222" t="n">
        <x:v>311</x:v>
      </x:c>
      <x:c r="B222" t="str">
        <x:v>Fire / Commons</x:v>
      </x:c>
      <x:c r="C222" t="str">
        <x:v>Cyndaquil</x:v>
      </x:c>
      <x:c r="D222" t="str">
        <x:v>54/115</x:v>
      </x:c>
      <x:c r="E222" t="str">
        <x:v>EX Unseen Forces</x:v>
      </x:c>
      <x:c r="F222" t="n">
        <x:v>2005</x:v>
      </x:c>
      <x:c r="G222" t="str">
        <x:v>Regular</x:v>
      </x:c>
      <x:c r="H222" t="str">
        <x:v>1 of 1</x:v>
      </x:c>
      <x:c r="I222" t="n">
        <x:v>2.25</x:v>
      </x:c>
      <x:c r="J222" t="n">
        <x:v>2.85</x:v>
      </x:c>
      <x:c r="K222" t="n">
        <x:v>2.55</x:v>
      </x:c>
      <x:c r="L222" t="str">
        <x:v>$1–5</x:v>
      </x:c>
      <x:c r="M222" t="str">
        <x:v>Yes</x:v>
      </x:c>
      <x:c r="N222" t="str">
        <x:v>No</x:v>
      </x:c>
      <x:c r="O222" t="str">
        <x:v>Yes</x:v>
      </x:c>
      <x:c r="P222" t="str">
        <x:v>Clean/NM benchmark unless noted</x:v>
      </x:c>
      <x:c r="Q222" t="n">
        <x:v>2.25</x:v>
      </x:c>
      <x:c r="R222" t="n">
        <x:v>2.85</x:v>
      </x:c>
      <x:c r="S222" t="n">
        <x:v>2.55</x:v>
      </x:c>
      <x:c r="T222" t="str">
        <x:v>EX Unseen Forces Cyndaquil 54/115 regular. TCGplayer NM market about $2.56.</x:v>
      </x:c>
      <x:c r="U222" t="n">
        <x:v>895</x:v>
      </x:c>
      <x:c r="V222" t="str">
        <x:v>Current chat continuation / researched 2026-08-15</x:v>
      </x:c>
      <x:c r="W222" t="str">
        <x:v>https://www.tcgplayer.com/search/pokemon/product?productLineName=pokemon&amp;q=cyndaquil+unseen+forces+54</x:v>
      </x:c>
    </x:row>
    <x:row r="223">
      <x:c r="A223" t="n">
        <x:v>310</x:v>
      </x:c>
      <x:c r="B223" t="str">
        <x:v>Fire / Commons</x:v>
      </x:c>
      <x:c r="C223" t="str">
        <x:v>Cyndaquil</x:v>
      </x:c>
      <x:c r="D223" t="str">
        <x:v>61/105</x:v>
      </x:c>
      <x:c r="E223" t="str">
        <x:v>Neo Destiny</x:v>
      </x:c>
      <x:c r="F223" t="n">
        <x:v>2002</x:v>
      </x:c>
      <x:c r="G223" t="str">
        <x:v>Regular (Unlimited)</x:v>
      </x:c>
      <x:c r="H223" t="str">
        <x:v>1 of 1</x:v>
      </x:c>
      <x:c r="I223" t="n">
        <x:v>2.5</x:v>
      </x:c>
      <x:c r="J223" t="n">
        <x:v>3</x:v>
      </x:c>
      <x:c r="K223" t="n">
        <x:v>2.75</x:v>
      </x:c>
      <x:c r="L223" t="str">
        <x:v>$1–5</x:v>
      </x:c>
      <x:c r="M223" t="str">
        <x:v>Yes</x:v>
      </x:c>
      <x:c r="N223" t="str">
        <x:v>No</x:v>
      </x:c>
      <x:c r="O223" t="str">
        <x:v>Yes</x:v>
      </x:c>
      <x:c r="P223" t="str">
        <x:v>Clean/NM benchmark unless noted</x:v>
      </x:c>
      <x:c r="Q223" t="n">
        <x:v>2.5</x:v>
      </x:c>
      <x:c r="R223" t="n">
        <x:v>3</x:v>
      </x:c>
      <x:c r="S223" t="n">
        <x:v>2.75</x:v>
      </x:c>
      <x:c r="T223" t="str">
        <x:v>Neo Destiny Cyndaquil 61/105 unlimited regular. TCGplayer NM guide about $2.71.</x:v>
      </x:c>
      <x:c r="U223" t="n">
        <x:v>895</x:v>
      </x:c>
      <x:c r="V223" t="str">
        <x:v>Current chat continuation / resolved 2026-08-15</x:v>
      </x:c>
      <x:c r="W223" t="str">
        <x:v>https://www.tcgplayer.com/categories/trading-and-collectible-card-games/pokemon/price-guides/neo-destiny</x:v>
      </x:c>
    </x:row>
    <x:row r="224">
      <x:c r="A224" t="n">
        <x:v>312</x:v>
      </x:c>
      <x:c r="B224" t="str">
        <x:v>Fire / Commons</x:v>
      </x:c>
      <x:c r="C224" t="str">
        <x:v>Charmander</x:v>
      </x:c>
      <x:c r="D224" t="str">
        <x:v>17/113</x:v>
      </x:c>
      <x:c r="E224" t="str">
        <x:v>Legendary Treasures</x:v>
      </x:c>
      <x:c r="F224" t="n">
        <x:v>2013</x:v>
      </x:c>
      <x:c r="G224" t="str">
        <x:v>Regular</x:v>
      </x:c>
      <x:c r="H224" t="str">
        <x:v>1 of 2</x:v>
      </x:c>
      <x:c r="I224" t="n">
        <x:v>1.4</x:v>
      </x:c>
      <x:c r="J224" t="n">
        <x:v>1.8</x:v>
      </x:c>
      <x:c r="K224" t="n">
        <x:v>1.6</x:v>
      </x:c>
      <x:c r="L224" t="str">
        <x:v>$1–5</x:v>
      </x:c>
      <x:c r="M224" t="str">
        <x:v>Yes</x:v>
      </x:c>
      <x:c r="N224" t="str">
        <x:v>No</x:v>
      </x:c>
      <x:c r="O224" t="str">
        <x:v>Yes</x:v>
      </x:c>
      <x:c r="P224" t="str">
        <x:v>Clean/NM benchmark unless noted</x:v>
      </x:c>
      <x:c r="Q224" t="n">
        <x:v>1.4</x:v>
      </x:c>
      <x:c r="R224" t="n">
        <x:v>1.8</x:v>
      </x:c>
      <x:c r="S224" t="n">
        <x:v>1.6</x:v>
      </x:c>
      <x:c r="T224" t="str">
        <x:v>Legendary Treasures Charmander 17/113 regular. Current market about $1.55 NM.</x:v>
      </x:c>
      <x:c r="U224" t="n">
        <x:v>896</x:v>
      </x:c>
      <x:c r="V224" t="str">
        <x:v>Current chat continuation / researched 2026-08-15</x:v>
      </x:c>
      <x:c r="W224" t="str">
        <x:v>https://www.tcgplayer.com/search/pokemon/product?page=1&amp;productLineName=pokemon&amp;q=Legendary+Treasures&amp;view=list</x:v>
      </x:c>
    </x:row>
    <x:row r="225">
      <x:c r="A225" t="n">
        <x:v>313</x:v>
      </x:c>
      <x:c r="B225" t="str">
        <x:v>Fire / Commons</x:v>
      </x:c>
      <x:c r="C225" t="str">
        <x:v>Charmander</x:v>
      </x:c>
      <x:c r="D225" t="str">
        <x:v>17/113</x:v>
      </x:c>
      <x:c r="E225" t="str">
        <x:v>Legendary Treasures</x:v>
      </x:c>
      <x:c r="F225" t="n">
        <x:v>2013</x:v>
      </x:c>
      <x:c r="G225" t="str">
        <x:v>Regular</x:v>
      </x:c>
      <x:c r="H225" t="str">
        <x:v>2 of 2</x:v>
      </x:c>
      <x:c r="I225" t="n">
        <x:v>1.4</x:v>
      </x:c>
      <x:c r="J225" t="n">
        <x:v>1.8</x:v>
      </x:c>
      <x:c r="K225" t="n">
        <x:v>1.6</x:v>
      </x:c>
      <x:c r="L225" t="str">
        <x:v>$1–5</x:v>
      </x:c>
      <x:c r="M225" t="str">
        <x:v>Yes</x:v>
      </x:c>
      <x:c r="N225" t="str">
        <x:v>No</x:v>
      </x:c>
      <x:c r="O225" t="str">
        <x:v>Yes</x:v>
      </x:c>
      <x:c r="P225" t="str">
        <x:v>Clean/NM benchmark unless noted</x:v>
      </x:c>
      <x:c r="Q225" t="n">
        <x:v>1.4</x:v>
      </x:c>
      <x:c r="R225" t="n">
        <x:v>1.8</x:v>
      </x:c>
      <x:c r="S225" t="n">
        <x:v>1.6</x:v>
      </x:c>
      <x:c r="T225" t="str">
        <x:v>Legendary Treasures Charmander 17/113 regular. Current market about $1.55 NM.</x:v>
      </x:c>
      <x:c r="U225" t="n">
        <x:v>896</x:v>
      </x:c>
      <x:c r="V225" t="str">
        <x:v>Current chat continuation / researched 2026-08-15</x:v>
      </x:c>
      <x:c r="W225" t="str">
        <x:v>https://www.tcgplayer.com/search/pokemon/product?page=1&amp;productLineName=pokemon&amp;q=Legendary+Treasures&amp;view=list</x:v>
      </x:c>
    </x:row>
    <x:row r="226">
      <x:c r="A226" t="n">
        <x:v>314</x:v>
      </x:c>
      <x:c r="B226" t="str">
        <x:v>Fire / Commons</x:v>
      </x:c>
      <x:c r="C226" t="str">
        <x:v>Charmander</x:v>
      </x:c>
      <x:c r="D226" t="str">
        <x:v>70/110</x:v>
      </x:c>
      <x:c r="E226" t="str">
        <x:v>Legendary Collection</x:v>
      </x:c>
      <x:c r="F226" t="n">
        <x:v>2002</x:v>
      </x:c>
      <x:c r="G226" t="str">
        <x:v>Regular</x:v>
      </x:c>
      <x:c r="H226" t="str">
        <x:v>1 of 1</x:v>
      </x:c>
      <x:c r="I226" t="n">
        <x:v>1.8</x:v>
      </x:c>
      <x:c r="J226" t="n">
        <x:v>2.5</x:v>
      </x:c>
      <x:c r="K226" t="n">
        <x:v>2.15</x:v>
      </x:c>
      <x:c r="L226" t="str">
        <x:v>$1–5</x:v>
      </x:c>
      <x:c r="M226" t="str">
        <x:v>Yes</x:v>
      </x:c>
      <x:c r="N226" t="str">
        <x:v>No</x:v>
      </x:c>
      <x:c r="O226" t="str">
        <x:v>Yes</x:v>
      </x:c>
      <x:c r="P226" t="str">
        <x:v>Clean/NM benchmark unless noted</x:v>
      </x:c>
      <x:c r="Q226" t="n">
        <x:v>1.8</x:v>
      </x:c>
      <x:c r="R226" t="n">
        <x:v>2.5</x:v>
      </x:c>
      <x:c r="S226" t="n">
        <x:v>2.15</x:v>
      </x:c>
      <x:c r="T226" t="str">
        <x:v>Legendary Collection Charmander 70/110 regular. Current market about $2.0–2.2 NM. Reverse holo is dramatically more valuable.</x:v>
      </x:c>
      <x:c r="U226" t="n">
        <x:v>896</x:v>
      </x:c>
      <x:c r="V226" t="str">
        <x:v>Current chat continuation / researched 2026-08-15</x:v>
      </x:c>
      <x:c r="W226" t="str">
        <x:v>https://www.tcgplayer.com/search/pokemon/product?productLineName=pokemon&amp;q=charmander+legendary+collection+70</x:v>
      </x:c>
    </x:row>
    <x:row r="227">
      <x:c r="A227" t="n">
        <x:v>315</x:v>
      </x:c>
      <x:c r="B227" t="str">
        <x:v>Fire / Commons</x:v>
      </x:c>
      <x:c r="C227" t="str">
        <x:v>Charmander</x:v>
      </x:c>
      <x:c r="D227" t="str">
        <x:v>59/99</x:v>
      </x:c>
      <x:c r="E227" t="str">
        <x:v>Arceus</x:v>
      </x:c>
      <x:c r="F227" t="n">
        <x:v>2009</x:v>
      </x:c>
      <x:c r="G227" t="str">
        <x:v>Reverse Holo</x:v>
      </x:c>
      <x:c r="H227" t="str">
        <x:v>1 of 2</x:v>
      </x:c>
      <x:c r="I227" t="n">
        <x:v>75</x:v>
      </x:c>
      <x:c r="J227" t="n">
        <x:v>90</x:v>
      </x:c>
      <x:c r="K227" t="n">
        <x:v>82.5</x:v>
      </x:c>
      <x:c r="L227" t="str">
        <x:v>$20+</x:v>
      </x:c>
      <x:c r="M227" t="str">
        <x:v>Yes</x:v>
      </x:c>
      <x:c r="N227" t="str">
        <x:v>Yes</x:v>
      </x:c>
      <x:c r="O227" t="str">
        <x:v>Yes</x:v>
      </x:c>
      <x:c r="P227" t="str">
        <x:v>Clean/NM benchmark unless noted</x:v>
      </x:c>
      <x:c r="Q227" t="n">
        <x:v>75</x:v>
      </x:c>
      <x:c r="R227" t="n">
        <x:v>90</x:v>
      </x:c>
      <x:c r="S227" t="n">
        <x:v>82.5</x:v>
      </x:c>
      <x:c r="T227" t="str">
        <x:v>Corrected by user: Arceus Charmander 59/99 is reverse holo. TCGplayer reverse-holo NM price guide was about $85.50 at research time.</x:v>
      </x:c>
      <x:c r="U227" t="n">
        <x:v>897</x:v>
      </x:c>
      <x:c r="V227" t="str">
        <x:v>Current chat continuation / corrected 2026-08-15</x:v>
      </x:c>
      <x:c r="W227" t="str">
        <x:v>https://www.tcgplayer.com/categories/trading-collectible-card-games/pokemon/price-guides/arceus</x:v>
      </x:c>
    </x:row>
    <x:row r="228">
      <x:c r="A228" t="n">
        <x:v>316</x:v>
      </x:c>
      <x:c r="B228" t="str">
        <x:v>Fire / Commons</x:v>
      </x:c>
      <x:c r="C228" t="str">
        <x:v>Charmander</x:v>
      </x:c>
      <x:c r="D228" t="str">
        <x:v>18/149</x:v>
      </x:c>
      <x:c r="E228" t="str">
        <x:v>Boundaries Crossed</x:v>
      </x:c>
      <x:c r="F228" t="n">
        <x:v>2012</x:v>
      </x:c>
      <x:c r="G228" t="str">
        <x:v>Regular</x:v>
      </x:c>
      <x:c r="H228" t="str">
        <x:v>1 of 5</x:v>
      </x:c>
      <x:c r="I228" t="n">
        <x:v>2.75</x:v>
      </x:c>
      <x:c r="J228" t="n">
        <x:v>4</x:v>
      </x:c>
      <x:c r="K228" t="n">
        <x:v>3.375</x:v>
      </x:c>
      <x:c r="L228" t="str">
        <x:v>$1–5</x:v>
      </x:c>
      <x:c r="M228" t="str">
        <x:v>Yes</x:v>
      </x:c>
      <x:c r="N228" t="str">
        <x:v>No</x:v>
      </x:c>
      <x:c r="O228" t="str">
        <x:v>Yes</x:v>
      </x:c>
      <x:c r="P228" t="str">
        <x:v>Clean/NM benchmark unless noted</x:v>
      </x:c>
      <x:c r="Q228" t="n">
        <x:v>2.75</x:v>
      </x:c>
      <x:c r="R228" t="n">
        <x:v>4</x:v>
      </x:c>
      <x:c r="S228" t="n">
        <x:v>3.375</x:v>
      </x:c>
      <x:c r="T228" t="str">
        <x:v>Boundaries Crossed Charmander 18/149 regular. User confirmed five total copies; TCGplayer market about $3.16 NM at research time.</x:v>
      </x:c>
      <x:c r="U228" t="n">
        <x:v>898</x:v>
      </x:c>
      <x:c r="V228" t="str">
        <x:v>Current chat continuation / quantity + set confirmed 2026-08-15</x:v>
      </x:c>
      <x:c r="W228" t="str">
        <x:v>https://www.tcgplayer.com/search/pokemon/boundaries-crossed?productLineName=pokemon&amp;setName=boundaries-crossed</x:v>
      </x:c>
    </x:row>
    <x:row r="229">
      <x:c r="A229" t="n">
        <x:v>317</x:v>
      </x:c>
      <x:c r="B229" t="str">
        <x:v>Fire / Commons</x:v>
      </x:c>
      <x:c r="C229" t="str">
        <x:v>Charmander</x:v>
      </x:c>
      <x:c r="D229" t="str">
        <x:v>18/149</x:v>
      </x:c>
      <x:c r="E229" t="str">
        <x:v>Boundaries Crossed</x:v>
      </x:c>
      <x:c r="F229" t="n">
        <x:v>2012</x:v>
      </x:c>
      <x:c r="G229" t="str">
        <x:v>Regular</x:v>
      </x:c>
      <x:c r="H229" t="str">
        <x:v>2 of 5</x:v>
      </x:c>
      <x:c r="I229" t="n">
        <x:v>2.75</x:v>
      </x:c>
      <x:c r="J229" t="n">
        <x:v>4</x:v>
      </x:c>
      <x:c r="K229" t="n">
        <x:v>3.375</x:v>
      </x:c>
      <x:c r="L229" t="str">
        <x:v>$1–5</x:v>
      </x:c>
      <x:c r="M229" t="str">
        <x:v>Yes</x:v>
      </x:c>
      <x:c r="N229" t="str">
        <x:v>No</x:v>
      </x:c>
      <x:c r="O229" t="str">
        <x:v>Yes</x:v>
      </x:c>
      <x:c r="P229" t="str">
        <x:v>Clean/NM benchmark unless noted</x:v>
      </x:c>
      <x:c r="Q229" t="n">
        <x:v>2.75</x:v>
      </x:c>
      <x:c r="R229" t="n">
        <x:v>4</x:v>
      </x:c>
      <x:c r="S229" t="n">
        <x:v>3.375</x:v>
      </x:c>
      <x:c r="T229" t="str">
        <x:v>Boundaries Crossed Charmander 18/149 regular. User confirmed five total copies; TCGplayer market about $3.16 NM at research time.</x:v>
      </x:c>
      <x:c r="U229" t="n">
        <x:v>898</x:v>
      </x:c>
      <x:c r="V229" t="str">
        <x:v>Current chat continuation / quantity + set confirmed 2026-08-15</x:v>
      </x:c>
      <x:c r="W229" t="str">
        <x:v>https://www.tcgplayer.com/search/pokemon/boundaries-crossed?productLineName=pokemon&amp;setName=boundaries-crossed</x:v>
      </x:c>
    </x:row>
    <x:row r="230">
      <x:c r="A230" t="n">
        <x:v>318</x:v>
      </x:c>
      <x:c r="B230" t="str">
        <x:v>Fire / Commons</x:v>
      </x:c>
      <x:c r="C230" t="str">
        <x:v>Charmander</x:v>
      </x:c>
      <x:c r="D230" t="str">
        <x:v>18/149</x:v>
      </x:c>
      <x:c r="E230" t="str">
        <x:v>Boundaries Crossed</x:v>
      </x:c>
      <x:c r="F230" t="n">
        <x:v>2012</x:v>
      </x:c>
      <x:c r="G230" t="str">
        <x:v>Regular</x:v>
      </x:c>
      <x:c r="H230" t="str">
        <x:v>3 of 5</x:v>
      </x:c>
      <x:c r="I230" t="n">
        <x:v>2.75</x:v>
      </x:c>
      <x:c r="J230" t="n">
        <x:v>4</x:v>
      </x:c>
      <x:c r="K230" t="n">
        <x:v>3.375</x:v>
      </x:c>
      <x:c r="L230" t="str">
        <x:v>$1–5</x:v>
      </x:c>
      <x:c r="M230" t="str">
        <x:v>Yes</x:v>
      </x:c>
      <x:c r="N230" t="str">
        <x:v>No</x:v>
      </x:c>
      <x:c r="O230" t="str">
        <x:v>Yes</x:v>
      </x:c>
      <x:c r="P230" t="str">
        <x:v>Clean/NM benchmark unless noted</x:v>
      </x:c>
      <x:c r="Q230" t="n">
        <x:v>2.75</x:v>
      </x:c>
      <x:c r="R230" t="n">
        <x:v>4</x:v>
      </x:c>
      <x:c r="S230" t="n">
        <x:v>3.375</x:v>
      </x:c>
      <x:c r="T230" t="str">
        <x:v>Boundaries Crossed Charmander 18/149 regular. User confirmed five total copies; TCGplayer market about $3.16 NM at research time.</x:v>
      </x:c>
      <x:c r="U230" t="n">
        <x:v>898</x:v>
      </x:c>
      <x:c r="V230" t="str">
        <x:v>Current chat continuation / quantity + set confirmed 2026-08-15</x:v>
      </x:c>
      <x:c r="W230" t="str">
        <x:v>https://www.tcgplayer.com/search/pokemon/boundaries-crossed?productLineName=pokemon&amp;setName=boundaries-crossed</x:v>
      </x:c>
    </x:row>
    <x:row r="231">
      <x:c r="A231" t="n">
        <x:v>319</x:v>
      </x:c>
      <x:c r="B231" t="str">
        <x:v>Fire / Commons</x:v>
      </x:c>
      <x:c r="C231" t="str">
        <x:v>Charmander</x:v>
      </x:c>
      <x:c r="D231" t="str">
        <x:v>18/149</x:v>
      </x:c>
      <x:c r="E231" t="str">
        <x:v>Boundaries Crossed</x:v>
      </x:c>
      <x:c r="F231" t="n">
        <x:v>2012</x:v>
      </x:c>
      <x:c r="G231" t="str">
        <x:v>Regular</x:v>
      </x:c>
      <x:c r="H231" t="str">
        <x:v>4 of 5</x:v>
      </x:c>
      <x:c r="I231" t="n">
        <x:v>2.75</x:v>
      </x:c>
      <x:c r="J231" t="n">
        <x:v>4</x:v>
      </x:c>
      <x:c r="K231" t="n">
        <x:v>3.375</x:v>
      </x:c>
      <x:c r="L231" t="str">
        <x:v>$1–5</x:v>
      </x:c>
      <x:c r="M231" t="str">
        <x:v>Yes</x:v>
      </x:c>
      <x:c r="N231" t="str">
        <x:v>No</x:v>
      </x:c>
      <x:c r="O231" t="str">
        <x:v>Yes</x:v>
      </x:c>
      <x:c r="P231" t="str">
        <x:v>Clean/NM benchmark unless noted</x:v>
      </x:c>
      <x:c r="Q231" t="n">
        <x:v>2.75</x:v>
      </x:c>
      <x:c r="R231" t="n">
        <x:v>4</x:v>
      </x:c>
      <x:c r="S231" t="n">
        <x:v>3.375</x:v>
      </x:c>
      <x:c r="T231" t="str">
        <x:v>Boundaries Crossed Charmander 18/149 regular. User confirmed five total copies; TCGplayer market about $3.16 NM at research time.</x:v>
      </x:c>
      <x:c r="U231" t="n">
        <x:v>898</x:v>
      </x:c>
      <x:c r="V231" t="str">
        <x:v>Current chat continuation / quantity + set confirmed 2026-08-15</x:v>
      </x:c>
      <x:c r="W231" t="str">
        <x:v>https://www.tcgplayer.com/search/pokemon/boundaries-crossed?productLineName=pokemon&amp;setName=boundaries-crossed</x:v>
      </x:c>
    </x:row>
    <x:row r="232">
      <x:c r="A232" t="n">
        <x:v>320</x:v>
      </x:c>
      <x:c r="B232" t="str">
        <x:v>Fire / Commons</x:v>
      </x:c>
      <x:c r="C232" t="str">
        <x:v>Charmander</x:v>
      </x:c>
      <x:c r="D232" t="str">
        <x:v>18/149</x:v>
      </x:c>
      <x:c r="E232" t="str">
        <x:v>Boundaries Crossed</x:v>
      </x:c>
      <x:c r="F232" t="n">
        <x:v>2012</x:v>
      </x:c>
      <x:c r="G232" t="str">
        <x:v>Regular</x:v>
      </x:c>
      <x:c r="H232" t="str">
        <x:v>5 of 5</x:v>
      </x:c>
      <x:c r="I232" t="n">
        <x:v>2.75</x:v>
      </x:c>
      <x:c r="J232" t="n">
        <x:v>4</x:v>
      </x:c>
      <x:c r="K232" t="n">
        <x:v>3.375</x:v>
      </x:c>
      <x:c r="L232" t="str">
        <x:v>$1–5</x:v>
      </x:c>
      <x:c r="M232" t="str">
        <x:v>Yes</x:v>
      </x:c>
      <x:c r="N232" t="str">
        <x:v>No</x:v>
      </x:c>
      <x:c r="O232" t="str">
        <x:v>Yes</x:v>
      </x:c>
      <x:c r="P232" t="str">
        <x:v>Clean/NM benchmark unless noted</x:v>
      </x:c>
      <x:c r="Q232" t="n">
        <x:v>2.75</x:v>
      </x:c>
      <x:c r="R232" t="n">
        <x:v>4</x:v>
      </x:c>
      <x:c r="S232" t="n">
        <x:v>3.375</x:v>
      </x:c>
      <x:c r="T232" t="str">
        <x:v>Boundaries Crossed Charmander 18/149 regular. User confirmed five total copies; TCGplayer market about $3.16 NM at research time.</x:v>
      </x:c>
      <x:c r="U232" t="n">
        <x:v>898</x:v>
      </x:c>
      <x:c r="V232" t="str">
        <x:v>Current chat continuation / quantity + set confirmed 2026-08-15</x:v>
      </x:c>
      <x:c r="W232" t="str">
        <x:v>https://www.tcgplayer.com/search/pokemon/boundaries-crossed?productLineName=pokemon&amp;setName=boundaries-crossed</x:v>
      </x:c>
    </x:row>
    <x:row r="233">
      <x:c r="A233" t="n">
        <x:v>321</x:v>
      </x:c>
      <x:c r="B233" t="str">
        <x:v>Fire / Commons</x:v>
      </x:c>
      <x:c r="C233" t="str">
        <x:v>Tepig</x:v>
      </x:c>
      <x:c r="D233" t="str">
        <x:v>BW07</x:v>
      </x:c>
      <x:c r="E233" t="str">
        <x:v>Black &amp; White Black Star Promos</x:v>
      </x:c>
      <x:c r="F233" t="n">
        <x:v>2011</x:v>
      </x:c>
      <x:c r="G233" t="str">
        <x:v>Promo (Regular)</x:v>
      </x:c>
      <x:c r="H233" t="str">
        <x:v>1 of 2</x:v>
      </x:c>
      <x:c r="I233" t="n">
        <x:v>1.5</x:v>
      </x:c>
      <x:c r="J233" t="n">
        <x:v>2</x:v>
      </x:c>
      <x:c r="K233" t="n">
        <x:v>1.75</x:v>
      </x:c>
      <x:c r="L233" t="str">
        <x:v>$1–5</x:v>
      </x:c>
      <x:c r="M233" t="str">
        <x:v>Yes</x:v>
      </x:c>
      <x:c r="N233" t="str">
        <x:v>No</x:v>
      </x:c>
      <x:c r="O233" t="str">
        <x:v>Yes</x:v>
      </x:c>
      <x:c r="P233" t="str">
        <x:v>Clean/NM benchmark unless noted</x:v>
      </x:c>
      <x:c r="Q233" t="n">
        <x:v>1.5</x:v>
      </x:c>
      <x:c r="R233" t="n">
        <x:v>2</x:v>
      </x:c>
      <x:c r="S233" t="n">
        <x:v>1.75</x:v>
      </x:c>
      <x:c r="T233" t="str">
        <x:v>Black &amp; White promo BW07. TCGplayer market about $1.74–1.75 at research time.</x:v>
      </x:c>
      <x:c r="U233" t="n">
        <x:v>899</x:v>
      </x:c>
      <x:c r="V233" t="str">
        <x:v>Current chat continuation / researched 2026-08-15</x:v>
      </x:c>
      <x:c r="W233" t="str">
        <x:v>https://www.tcgplayer.com/search/pokemon/product?q=Tepig+16+Black+%26+White</x:v>
      </x:c>
    </x:row>
    <x:row r="234">
      <x:c r="A234" t="n">
        <x:v>322</x:v>
      </x:c>
      <x:c r="B234" t="str">
        <x:v>Fire / Commons</x:v>
      </x:c>
      <x:c r="C234" t="str">
        <x:v>Tepig</x:v>
      </x:c>
      <x:c r="D234" t="str">
        <x:v>BW07</x:v>
      </x:c>
      <x:c r="E234" t="str">
        <x:v>Black &amp; White Black Star Promos</x:v>
      </x:c>
      <x:c r="F234" t="n">
        <x:v>2011</x:v>
      </x:c>
      <x:c r="G234" t="str">
        <x:v>Promo (Regular)</x:v>
      </x:c>
      <x:c r="H234" t="str">
        <x:v>2 of 2</x:v>
      </x:c>
      <x:c r="I234" t="n">
        <x:v>1.5</x:v>
      </x:c>
      <x:c r="J234" t="n">
        <x:v>2</x:v>
      </x:c>
      <x:c r="K234" t="n">
        <x:v>1.75</x:v>
      </x:c>
      <x:c r="L234" t="str">
        <x:v>$1–5</x:v>
      </x:c>
      <x:c r="M234" t="str">
        <x:v>Yes</x:v>
      </x:c>
      <x:c r="N234" t="str">
        <x:v>No</x:v>
      </x:c>
      <x:c r="O234" t="str">
        <x:v>Yes</x:v>
      </x:c>
      <x:c r="P234" t="str">
        <x:v>Clean/NM benchmark unless noted</x:v>
      </x:c>
      <x:c r="Q234" t="n">
        <x:v>1.5</x:v>
      </x:c>
      <x:c r="R234" t="n">
        <x:v>2</x:v>
      </x:c>
      <x:c r="S234" t="n">
        <x:v>1.75</x:v>
      </x:c>
      <x:c r="T234" t="str">
        <x:v>Black &amp; White promo BW07. TCGplayer market about $1.74–1.75 at research time.</x:v>
      </x:c>
      <x:c r="U234" t="n">
        <x:v>899</x:v>
      </x:c>
      <x:c r="V234" t="str">
        <x:v>Current chat continuation / researched 2026-08-15</x:v>
      </x:c>
      <x:c r="W234" t="str">
        <x:v>https://www.tcgplayer.com/search/pokemon/product?q=Tepig+16+Black+%26+White</x:v>
      </x:c>
    </x:row>
    <x:row r="235">
      <x:c r="A235" t="n">
        <x:v>323</x:v>
      </x:c>
      <x:c r="B235" t="str">
        <x:v>Fire / Commons</x:v>
      </x:c>
      <x:c r="C235" t="str">
        <x:v>Tepig</x:v>
      </x:c>
      <x:c r="D235" t="str">
        <x:v>16/114</x:v>
      </x:c>
      <x:c r="E235" t="str">
        <x:v>Black &amp; White</x:v>
      </x:c>
      <x:c r="F235" t="n">
        <x:v>2011</x:v>
      </x:c>
      <x:c r="G235" t="str">
        <x:v>Reverse Holo</x:v>
      </x:c>
      <x:c r="H235" t="str">
        <x:v>1 of 2</x:v>
      </x:c>
      <x:c r="I235" t="n">
        <x:v>1.75</x:v>
      </x:c>
      <x:c r="J235" t="n">
        <x:v>3.5</x:v>
      </x:c>
      <x:c r="K235" t="n">
        <x:v>2.625</x:v>
      </x:c>
      <x:c r="L235" t="str">
        <x:v>$1–5</x:v>
      </x:c>
      <x:c r="M235" t="str">
        <x:v>Yes</x:v>
      </x:c>
      <x:c r="N235" t="str">
        <x:v>No</x:v>
      </x:c>
      <x:c r="O235" t="str">
        <x:v>Yes</x:v>
      </x:c>
      <x:c r="P235" t="str">
        <x:v>Clean/NM benchmark unless noted</x:v>
      </x:c>
      <x:c r="Q235" t="n">
        <x:v>1.75</x:v>
      </x:c>
      <x:c r="R235" t="n">
        <x:v>3.5</x:v>
      </x:c>
      <x:c r="S235" t="n">
        <x:v>2.625</x:v>
      </x:c>
      <x:c r="T235" t="str">
        <x:v>Black &amp; White Tepig 16/114 reverse holo. Recent NM sales vary roughly $1.5–5; PriceCharting ungraded around $3.18.</x:v>
      </x:c>
      <x:c r="U235" t="n">
        <x:v>899</x:v>
      </x:c>
      <x:c r="V235" t="str">
        <x:v>Current chat continuation / researched 2026-08-15</x:v>
      </x:c>
      <x:c r="W235" t="str">
        <x:v>https://www.pricecharting.com/game/pokemon-black-%26-white/tepig-reverse-holo-16</x:v>
      </x:c>
    </x:row>
    <x:row r="236">
      <x:c r="A236" t="n">
        <x:v>324</x:v>
      </x:c>
      <x:c r="B236" t="str">
        <x:v>Fire / Commons</x:v>
      </x:c>
      <x:c r="C236" t="str">
        <x:v>Tepig</x:v>
      </x:c>
      <x:c r="D236" t="str">
        <x:v>16/114</x:v>
      </x:c>
      <x:c r="E236" t="str">
        <x:v>Black &amp; White</x:v>
      </x:c>
      <x:c r="F236" t="n">
        <x:v>2011</x:v>
      </x:c>
      <x:c r="G236" t="str">
        <x:v>Reverse Holo</x:v>
      </x:c>
      <x:c r="H236" t="str">
        <x:v>2 of 2</x:v>
      </x:c>
      <x:c r="I236" t="n">
        <x:v>1.75</x:v>
      </x:c>
      <x:c r="J236" t="n">
        <x:v>3.5</x:v>
      </x:c>
      <x:c r="K236" t="n">
        <x:v>2.625</x:v>
      </x:c>
      <x:c r="L236" t="str">
        <x:v>$1–5</x:v>
      </x:c>
      <x:c r="M236" t="str">
        <x:v>Yes</x:v>
      </x:c>
      <x:c r="N236" t="str">
        <x:v>No</x:v>
      </x:c>
      <x:c r="O236" t="str">
        <x:v>Yes</x:v>
      </x:c>
      <x:c r="P236" t="str">
        <x:v>Clean/NM benchmark unless noted</x:v>
      </x:c>
      <x:c r="Q236" t="n">
        <x:v>1.75</x:v>
      </x:c>
      <x:c r="R236" t="n">
        <x:v>3.5</x:v>
      </x:c>
      <x:c r="S236" t="n">
        <x:v>2.625</x:v>
      </x:c>
      <x:c r="T236" t="str">
        <x:v>Black &amp; White Tepig 16/114 reverse holo. Recent NM sales vary roughly $1.5–5; PriceCharting ungraded around $3.18.</x:v>
      </x:c>
      <x:c r="U236" t="n">
        <x:v>899</x:v>
      </x:c>
      <x:c r="V236" t="str">
        <x:v>Current chat continuation / researched 2026-08-15</x:v>
      </x:c>
      <x:c r="W236" t="str">
        <x:v>https://www.pricecharting.com/game/pokemon-black-%26-white/tepig-reverse-holo-16</x:v>
      </x:c>
    </x:row>
    <x:row r="237">
      <x:c r="A237" t="n">
        <x:v>325</x:v>
      </x:c>
      <x:c r="B237" t="str">
        <x:v>Fire / Commons</x:v>
      </x:c>
      <x:c r="C237" t="str">
        <x:v>Tepig</x:v>
      </x:c>
      <x:c r="D237" t="str">
        <x:v>24/149</x:v>
      </x:c>
      <x:c r="E237" t="str">
        <x:v>Boundaries Crossed</x:v>
      </x:c>
      <x:c r="F237" t="n">
        <x:v>2012</x:v>
      </x:c>
      <x:c r="G237" t="str">
        <x:v>Reverse Holo</x:v>
      </x:c>
      <x:c r="H237" t="str">
        <x:v>1 of 1</x:v>
      </x:c>
      <x:c r="I237" t="n">
        <x:v>4</x:v>
      </x:c>
      <x:c r="J237" t="n">
        <x:v>5.5</x:v>
      </x:c>
      <x:c r="K237" t="n">
        <x:v>4.75</x:v>
      </x:c>
      <x:c r="L237" t="str">
        <x:v>$1–5</x:v>
      </x:c>
      <x:c r="M237" t="str">
        <x:v>Yes</x:v>
      </x:c>
      <x:c r="N237" t="str">
        <x:v>No</x:v>
      </x:c>
      <x:c r="O237" t="str">
        <x:v>Yes</x:v>
      </x:c>
      <x:c r="P237" t="str">
        <x:v>Clean/NM benchmark unless noted</x:v>
      </x:c>
      <x:c r="Q237" t="n">
        <x:v>4</x:v>
      </x:c>
      <x:c r="R237" t="n">
        <x:v>5.5</x:v>
      </x:c>
      <x:c r="S237" t="n">
        <x:v>4.75</x:v>
      </x:c>
      <x:c r="T237" t="str">
        <x:v>Boundaries Crossed Tepig 24/149 reverse holo. Current trackers around $4.18–5.19 raw.</x:v>
      </x:c>
      <x:c r="U237" t="n">
        <x:v>899</x:v>
      </x:c>
      <x:c r="V237" t="str">
        <x:v>Current chat continuation / researched 2026-08-15</x:v>
      </x:c>
      <x:c r="W237" t="str">
        <x:v>https://www.pricecharting.com/game/pokemon-boundaries-crossed/tepig-reverse-holo-24</x:v>
      </x:c>
    </x:row>
    <x:row r="238">
      <x:c r="A238" t="n">
        <x:v>326</x:v>
      </x:c>
      <x:c r="B238" t="str">
        <x:v>Fire / Commons</x:v>
      </x:c>
      <x:c r="C238" t="str">
        <x:v>Torchic</x:v>
      </x:c>
      <x:c r="D238" t="str">
        <x:v>74/109</x:v>
      </x:c>
      <x:c r="E238" t="str">
        <x:v>World Championships 2004 — Blaziken Tech (Chris Fulop)</x:v>
      </x:c>
      <x:c r="F238" t="n">
        <x:v>2004</x:v>
      </x:c>
      <x:c r="G238" t="str">
        <x:v>World Championships replica</x:v>
      </x:c>
      <x:c r="H238" t="str">
        <x:v>1 of 2</x:v>
      </x:c>
      <x:c r="I238" t="n">
        <x:v>1.5</x:v>
      </x:c>
      <x:c r="J238" t="n">
        <x:v>3</x:v>
      </x:c>
      <x:c r="K238" t="n">
        <x:v>2.25</x:v>
      </x:c>
      <x:c r="L238" t="str">
        <x:v>$1–5</x:v>
      </x:c>
      <x:c r="M238" t="str">
        <x:v>Yes</x:v>
      </x:c>
      <x:c r="N238" t="str">
        <x:v>No</x:v>
      </x:c>
      <x:c r="O238" t="str">
        <x:v>Yes</x:v>
      </x:c>
      <x:c r="P238" t="str">
        <x:v>Clean/NM benchmark unless noted</x:v>
      </x:c>
      <x:c r="Q238" t="n">
        <x:v>1.5</x:v>
      </x:c>
      <x:c r="R238" t="n">
        <x:v>3</x:v>
      </x:c>
      <x:c r="S238" t="n">
        <x:v>2.25</x:v>
      </x:c>
      <x:c r="T238" t="str">
        <x:v>2004 World Championships replica from Chris Fulop's 'Blaziken Tech' deck, using the EX Ruby &amp; Sapphire Torchic 74/109 card. Different gray World Championships back / player-signature treatment. Current market evidence supports roughly $1.50–3.00 raw NM.</x:v>
      </x:c>
      <x:c r="U238" t="n">
        <x:v>900</x:v>
      </x:c>
      <x:c r="V238" t="str">
        <x:v>Current chat continuation / World Championships correction 2026-08-15</x:v>
      </x:c>
      <x:c r="W238" t="str">
        <x:v>https://tier1games.com/products/torchic-74-109-blaziken-tech-world-championships-2004</x:v>
      </x:c>
    </x:row>
    <x:row r="239">
      <x:c r="A239" t="n">
        <x:v>327</x:v>
      </x:c>
      <x:c r="B239" t="str">
        <x:v>Fire / Commons</x:v>
      </x:c>
      <x:c r="C239" t="str">
        <x:v>Torchic</x:v>
      </x:c>
      <x:c r="D239" t="str">
        <x:v>74/109</x:v>
      </x:c>
      <x:c r="E239" t="str">
        <x:v>World Championships 2004 — Blaziken Tech (Chris Fulop)</x:v>
      </x:c>
      <x:c r="F239" t="n">
        <x:v>2004</x:v>
      </x:c>
      <x:c r="G239" t="str">
        <x:v>World Championships replica</x:v>
      </x:c>
      <x:c r="H239" t="str">
        <x:v>2 of 2</x:v>
      </x:c>
      <x:c r="I239" t="n">
        <x:v>1.5</x:v>
      </x:c>
      <x:c r="J239" t="n">
        <x:v>3</x:v>
      </x:c>
      <x:c r="K239" t="n">
        <x:v>2.25</x:v>
      </x:c>
      <x:c r="L239" t="str">
        <x:v>$1–5</x:v>
      </x:c>
      <x:c r="M239" t="str">
        <x:v>Yes</x:v>
      </x:c>
      <x:c r="N239" t="str">
        <x:v>No</x:v>
      </x:c>
      <x:c r="O239" t="str">
        <x:v>Yes</x:v>
      </x:c>
      <x:c r="P239" t="str">
        <x:v>Clean/NM benchmark unless noted</x:v>
      </x:c>
      <x:c r="Q239" t="n">
        <x:v>1.5</x:v>
      </x:c>
      <x:c r="R239" t="n">
        <x:v>3</x:v>
      </x:c>
      <x:c r="S239" t="n">
        <x:v>2.25</x:v>
      </x:c>
      <x:c r="T239" t="str">
        <x:v>2004 World Championships replica from Chris Fulop's 'Blaziken Tech' deck, using the EX Ruby &amp; Sapphire Torchic 74/109 card. Different gray World Championships back / player-signature treatment. Current market evidence supports roughly $1.50–3.00 raw NM.</x:v>
      </x:c>
      <x:c r="U239" t="n">
        <x:v>900</x:v>
      </x:c>
      <x:c r="V239" t="str">
        <x:v>Current chat continuation / World Championships correction 2026-08-15</x:v>
      </x:c>
      <x:c r="W239" t="str">
        <x:v>https://tier1games.com/products/torchic-74-109-blaziken-tech-world-championships-2004</x:v>
      </x:c>
    </x:row>
    <x:row r="240">
      <x:c r="A240" t="n">
        <x:v>328</x:v>
      </x:c>
      <x:c r="B240" t="str">
        <x:v>Fire / Commons</x:v>
      </x:c>
      <x:c r="C240" t="str">
        <x:v>Torchic</x:v>
      </x:c>
      <x:c r="D240" t="str">
        <x:v>RC5/RC25</x:v>
      </x:c>
      <x:c r="E240" t="str">
        <x:v>Legendary Treasures: Radiant Collection</x:v>
      </x:c>
      <x:c r="F240" t="n">
        <x:v>2013</x:v>
      </x:c>
      <x:c r="G240" t="str">
        <x:v>Holofoil</x:v>
      </x:c>
      <x:c r="H240" t="str">
        <x:v>1 of 3</x:v>
      </x:c>
      <x:c r="I240" t="n">
        <x:v>7</x:v>
      </x:c>
      <x:c r="J240" t="n">
        <x:v>8.5</x:v>
      </x:c>
      <x:c r="K240" t="n">
        <x:v>7.75</x:v>
      </x:c>
      <x:c r="L240" t="str">
        <x:v>$5–20</x:v>
      </x:c>
      <x:c r="M240" t="str">
        <x:v>Yes</x:v>
      </x:c>
      <x:c r="N240" t="str">
        <x:v>No</x:v>
      </x:c>
      <x:c r="O240" t="str">
        <x:v>Yes</x:v>
      </x:c>
      <x:c r="P240" t="str">
        <x:v>Clean/NM benchmark unless noted</x:v>
      </x:c>
      <x:c r="Q240" t="n">
        <x:v>7</x:v>
      </x:c>
      <x:c r="R240" t="n">
        <x:v>8.5</x:v>
      </x:c>
      <x:c r="S240" t="n">
        <x:v>7.75</x:v>
      </x:c>
      <x:c r="T240" t="str">
        <x:v>Legendary Treasures Radiant Collection Torchic RC5/RC25 holofoil. TCGplayer market about $8.03 NM at research time.</x:v>
      </x:c>
      <x:c r="U240" t="n">
        <x:v>900</x:v>
      </x:c>
      <x:c r="V240" t="str">
        <x:v>Current chat continuation / researched 2026-08-15</x:v>
      </x:c>
      <x:c r="W240" t="str">
        <x:v>https://www.tcgplayer.com/search/pokemon/legendary-treasures-radiant-collection?page=1&amp;productLineName=pokemon&amp;productTypeName=Cards&amp;setName=legendary-treasures-radiant-collection&amp;view=grid</x:v>
      </x:c>
    </x:row>
    <x:row r="241">
      <x:c r="A241" t="n">
        <x:v>329</x:v>
      </x:c>
      <x:c r="B241" t="str">
        <x:v>Fire / Commons</x:v>
      </x:c>
      <x:c r="C241" t="str">
        <x:v>Torchic</x:v>
      </x:c>
      <x:c r="D241" t="str">
        <x:v>RC5/RC25</x:v>
      </x:c>
      <x:c r="E241" t="str">
        <x:v>Legendary Treasures: Radiant Collection</x:v>
      </x:c>
      <x:c r="F241" t="n">
        <x:v>2013</x:v>
      </x:c>
      <x:c r="G241" t="str">
        <x:v>Holofoil</x:v>
      </x:c>
      <x:c r="H241" t="str">
        <x:v>2 of 3</x:v>
      </x:c>
      <x:c r="I241" t="n">
        <x:v>7</x:v>
      </x:c>
      <x:c r="J241" t="n">
        <x:v>8.5</x:v>
      </x:c>
      <x:c r="K241" t="n">
        <x:v>7.75</x:v>
      </x:c>
      <x:c r="L241" t="str">
        <x:v>$5–20</x:v>
      </x:c>
      <x:c r="M241" t="str">
        <x:v>Yes</x:v>
      </x:c>
      <x:c r="N241" t="str">
        <x:v>No</x:v>
      </x:c>
      <x:c r="O241" t="str">
        <x:v>Yes</x:v>
      </x:c>
      <x:c r="P241" t="str">
        <x:v>Clean/NM benchmark unless noted</x:v>
      </x:c>
      <x:c r="Q241" t="n">
        <x:v>7</x:v>
      </x:c>
      <x:c r="R241" t="n">
        <x:v>8.5</x:v>
      </x:c>
      <x:c r="S241" t="n">
        <x:v>7.75</x:v>
      </x:c>
      <x:c r="T241" t="str">
        <x:v>Legendary Treasures Radiant Collection Torchic RC5/RC25 holofoil. TCGplayer market about $8.03 NM at research time.</x:v>
      </x:c>
      <x:c r="U241" t="n">
        <x:v>900</x:v>
      </x:c>
      <x:c r="V241" t="str">
        <x:v>Current chat continuation / researched 2026-08-15</x:v>
      </x:c>
      <x:c r="W241" t="str">
        <x:v>https://www.tcgplayer.com/search/pokemon/legendary-treasures-radiant-collection?page=1&amp;productLineName=pokemon&amp;productTypeName=Cards&amp;setName=legendary-treasures-radiant-collection&amp;view=grid</x:v>
      </x:c>
    </x:row>
    <x:row r="242">
      <x:c r="A242" t="n">
        <x:v>330</x:v>
      </x:c>
      <x:c r="B242" t="str">
        <x:v>Fire / Commons</x:v>
      </x:c>
      <x:c r="C242" t="str">
        <x:v>Torchic</x:v>
      </x:c>
      <x:c r="D242" t="str">
        <x:v>RC5/RC25</x:v>
      </x:c>
      <x:c r="E242" t="str">
        <x:v>Legendary Treasures: Radiant Collection</x:v>
      </x:c>
      <x:c r="F242" t="n">
        <x:v>2013</x:v>
      </x:c>
      <x:c r="G242" t="str">
        <x:v>Holofoil</x:v>
      </x:c>
      <x:c r="H242" t="str">
        <x:v>3 of 3</x:v>
      </x:c>
      <x:c r="I242" t="n">
        <x:v>7</x:v>
      </x:c>
      <x:c r="J242" t="n">
        <x:v>8.5</x:v>
      </x:c>
      <x:c r="K242" t="n">
        <x:v>7.75</x:v>
      </x:c>
      <x:c r="L242" t="str">
        <x:v>$5–20</x:v>
      </x:c>
      <x:c r="M242" t="str">
        <x:v>Yes</x:v>
      </x:c>
      <x:c r="N242" t="str">
        <x:v>No</x:v>
      </x:c>
      <x:c r="O242" t="str">
        <x:v>Yes</x:v>
      </x:c>
      <x:c r="P242" t="str">
        <x:v>Clean/NM benchmark unless noted</x:v>
      </x:c>
      <x:c r="Q242" t="n">
        <x:v>7</x:v>
      </x:c>
      <x:c r="R242" t="n">
        <x:v>8.5</x:v>
      </x:c>
      <x:c r="S242" t="n">
        <x:v>7.75</x:v>
      </x:c>
      <x:c r="T242" t="str">
        <x:v>Legendary Treasures Radiant Collection Torchic RC5/RC25 holofoil. TCGplayer market about $8.03 NM at research time.</x:v>
      </x:c>
      <x:c r="U242" t="n">
        <x:v>900</x:v>
      </x:c>
      <x:c r="V242" t="str">
        <x:v>Current chat continuation / researched 2026-08-15</x:v>
      </x:c>
      <x:c r="W242" t="str">
        <x:v>https://www.tcgplayer.com/search/pokemon/legendary-treasures-radiant-collection?page=1&amp;productLineName=pokemon&amp;productTypeName=Cards&amp;setName=legendary-treasures-radiant-collection&amp;view=grid</x:v>
      </x:c>
    </x:row>
    <x:row r="243">
      <x:c r="A243" t="n">
        <x:v>331</x:v>
      </x:c>
      <x:c r="B243" t="str">
        <x:v>Fire / Commons</x:v>
      </x:c>
      <x:c r="C243" t="str">
        <x:v>Pignite</x:v>
      </x:c>
      <x:c r="D243" t="str">
        <x:v>4/12</x:v>
      </x:c>
      <x:c r="E243" t="str">
        <x:v>McDonald's Promos 2012</x:v>
      </x:c>
      <x:c r="F243" t="n">
        <x:v>2012</x:v>
      </x:c>
      <x:c r="G243" t="str">
        <x:v>Holofoil Promo</x:v>
      </x:c>
      <x:c r="H243" t="str">
        <x:v>1 of 1</x:v>
      </x:c>
      <x:c r="I243" t="n">
        <x:v>12</x:v>
      </x:c>
      <x:c r="J243" t="n">
        <x:v>15</x:v>
      </x:c>
      <x:c r="K243" t="n">
        <x:v>13.5</x:v>
      </x:c>
      <x:c r="L243" t="str">
        <x:v>$5–20</x:v>
      </x:c>
      <x:c r="M243" t="str">
        <x:v>Yes</x:v>
      </x:c>
      <x:c r="N243" t="str">
        <x:v>Yes</x:v>
      </x:c>
      <x:c r="O243" t="str">
        <x:v>Yes</x:v>
      </x:c>
      <x:c r="P243" t="str">
        <x:v>Clean/NM benchmark unless noted</x:v>
      </x:c>
      <x:c r="Q243" t="n">
        <x:v>12</x:v>
      </x:c>
      <x:c r="R243" t="n">
        <x:v>15</x:v>
      </x:c>
      <x:c r="S243" t="n">
        <x:v>13.5</x:v>
      </x:c>
      <x:c r="T243" t="str">
        <x:v>2012 McDonald's promo Pignite 4/12 holofoil. TCGplayer NM market about $13.19.</x:v>
      </x:c>
      <x:c r="U243" t="n">
        <x:v>901</x:v>
      </x:c>
      <x:c r="V243" t="str">
        <x:v>Current chat continuation / researched 2026-08-15</x:v>
      </x:c>
      <x:c r="W243" t="str">
        <x:v>https://www.tcgplayer.com/categories/trading-and-collectible-card-games/pokemon/price-guides/mcdonalds-promos-2012</x:v>
      </x:c>
    </x:row>
    <x:row r="244">
      <x:c r="A244" t="n">
        <x:v>333</x:v>
      </x:c>
      <x:c r="B244" t="str">
        <x:v>Fire / Commons</x:v>
      </x:c>
      <x:c r="C244" t="str">
        <x:v>Chimchar</x:v>
      </x:c>
      <x:c r="D244" t="str">
        <x:v>15/135</x:v>
      </x:c>
      <x:c r="E244" t="str">
        <x:v>Plasma Storm</x:v>
      </x:c>
      <x:c r="F244" t="n">
        <x:v>2013</x:v>
      </x:c>
      <x:c r="G244" t="str">
        <x:v>Reverse Holo</x:v>
      </x:c>
      <x:c r="H244" t="str">
        <x:v>1 of 1</x:v>
      </x:c>
      <x:c r="I244" t="n">
        <x:v>3</x:v>
      </x:c>
      <x:c r="J244" t="n">
        <x:v>4</x:v>
      </x:c>
      <x:c r="K244" t="n">
        <x:v>3.5</x:v>
      </x:c>
      <x:c r="L244" t="str">
        <x:v>$1–5</x:v>
      </x:c>
      <x:c r="M244" t="str">
        <x:v>Yes</x:v>
      </x:c>
      <x:c r="N244" t="str">
        <x:v>No</x:v>
      </x:c>
      <x:c r="O244" t="str">
        <x:v>Yes</x:v>
      </x:c>
      <x:c r="P244" t="str">
        <x:v>Clean/NM benchmark unless noted</x:v>
      </x:c>
      <x:c r="Q244" t="n">
        <x:v>3</x:v>
      </x:c>
      <x:c r="R244" t="n">
        <x:v>4</x:v>
      </x:c>
      <x:c r="S244" t="n">
        <x:v>3.5</x:v>
      </x:c>
      <x:c r="T244" t="str">
        <x:v>Plasma Storm Chimchar 15/135 reverse holo. TCGplayer NM price guide about $3.35.</x:v>
      </x:c>
      <x:c r="U244" t="n">
        <x:v>901</x:v>
      </x:c>
      <x:c r="V244" t="str">
        <x:v>Current chat continuation / researched 2026-08-15</x:v>
      </x:c>
      <x:c r="W244" t="str">
        <x:v>https://www.tcgplayer.com/categories/trading-and-collectible-card-games/pokemon/price-guides/plasma-storm</x:v>
      </x:c>
    </x:row>
    <x:row r="245">
      <x:c r="A245" t="n">
        <x:v>334</x:v>
      </x:c>
      <x:c r="B245" t="str">
        <x:v>Fire / Commons</x:v>
      </x:c>
      <x:c r="C245" t="str">
        <x:v>Pansear</x:v>
      </x:c>
      <x:c r="D245" t="str">
        <x:v>18/98</x:v>
      </x:c>
      <x:c r="E245" t="str">
        <x:v>Emerging Powers</x:v>
      </x:c>
      <x:c r="F245" t="n">
        <x:v>2011</x:v>
      </x:c>
      <x:c r="G245" t="str">
        <x:v>Reverse Holo</x:v>
      </x:c>
      <x:c r="H245" t="str">
        <x:v>1 of 1</x:v>
      </x:c>
      <x:c r="I245" t="n">
        <x:v>0.9</x:v>
      </x:c>
      <x:c r="J245" t="n">
        <x:v>1.6</x:v>
      </x:c>
      <x:c r="K245" t="n">
        <x:v>1.25</x:v>
      </x:c>
      <x:c r="L245" t="str">
        <x:v>$1–5</x:v>
      </x:c>
      <x:c r="M245" t="str">
        <x:v>Yes</x:v>
      </x:c>
      <x:c r="N245" t="str">
        <x:v>No</x:v>
      </x:c>
      <x:c r="O245" t="str">
        <x:v>Yes</x:v>
      </x:c>
      <x:c r="P245" t="str">
        <x:v>Clean/NM benchmark unless noted</x:v>
      </x:c>
      <x:c r="Q245" t="n">
        <x:v>0.9</x:v>
      </x:c>
      <x:c r="R245" t="n">
        <x:v>1.6</x:v>
      </x:c>
      <x:c r="S245" t="n">
        <x:v>1.25</x:v>
      </x:c>
      <x:c r="T245" t="str">
        <x:v>Emerging Powers Pansear 18/98 reverse holo. Recent raw market around $1.2–1.4.</x:v>
      </x:c>
      <x:c r="U245" t="n">
        <x:v>902</x:v>
      </x:c>
      <x:c r="V245" t="str">
        <x:v>Current chat continuation / researched 2026-08-15</x:v>
      </x:c>
      <x:c r="W245" t="str">
        <x:v>https://www.pricecharting.com/game/pokemon-emerging-powers/pansear-reverse-holo-18</x:v>
      </x:c>
    </x:row>
    <x:row r="246">
      <x:c r="A246" t="n">
        <x:v>335</x:v>
      </x:c>
      <x:c r="B246" t="str">
        <x:v>Fire / Commons</x:v>
      </x:c>
      <x:c r="C246" t="str">
        <x:v>Houndour</x:v>
      </x:c>
      <x:c r="D246" t="str">
        <x:v>59/109</x:v>
      </x:c>
      <x:c r="E246" t="str">
        <x:v>EX Team Rocket Returns</x:v>
      </x:c>
      <x:c r="F246" t="n">
        <x:v>2004</x:v>
      </x:c>
      <x:c r="G246" t="str">
        <x:v>Regular</x:v>
      </x:c>
      <x:c r="H246" t="str">
        <x:v>1 of 1</x:v>
      </x:c>
      <x:c r="I246" t="n">
        <x:v>2.5</x:v>
      </x:c>
      <x:c r="J246" t="n">
        <x:v>3.2</x:v>
      </x:c>
      <x:c r="K246" t="n">
        <x:v>2.85</x:v>
      </x:c>
      <x:c r="L246" t="str">
        <x:v>$1–5</x:v>
      </x:c>
      <x:c r="M246" t="str">
        <x:v>Yes</x:v>
      </x:c>
      <x:c r="N246" t="str">
        <x:v>No</x:v>
      </x:c>
      <x:c r="O246" t="str">
        <x:v>Yes</x:v>
      </x:c>
      <x:c r="P246" t="str">
        <x:v>Clean/NM benchmark unless noted</x:v>
      </x:c>
      <x:c r="Q246" t="n">
        <x:v>2.5</x:v>
      </x:c>
      <x:c r="R246" t="n">
        <x:v>3.2</x:v>
      </x:c>
      <x:c r="S246" t="n">
        <x:v>2.85</x:v>
      </x:c>
      <x:c r="T246" t="str">
        <x:v>EX Team Rocket Returns Houndour 59/109 regular. Identified from Fire sorting; TCGplayer market about $2.86 NM.</x:v>
      </x:c>
      <x:c r="U246" t="n">
        <x:v>902</x:v>
      </x:c>
      <x:c r="V246" t="str">
        <x:v>Current chat continuation / researched 2026-08-15</x:v>
      </x:c>
      <x:c r="W246" t="str">
        <x:v>https://www.tcgplayer.com/search/pokemon/product?productLineName=pokemon&amp;q=Houndour+Team+Rocket+Returns</x:v>
      </x:c>
    </x:row>
    <x:row r="247">
      <x:c r="A247" t="n">
        <x:v>336</x:v>
      </x:c>
      <x:c r="B247" t="str">
        <x:v>Fire / Commons</x:v>
      </x:c>
      <x:c r="C247" t="str">
        <x:v>Vulpix</x:v>
      </x:c>
      <x:c r="D247" t="str">
        <x:v>18/124</x:v>
      </x:c>
      <x:c r="E247" t="str">
        <x:v>Dragons Exalted</x:v>
      </x:c>
      <x:c r="F247" t="n">
        <x:v>2012</x:v>
      </x:c>
      <x:c r="G247" t="str">
        <x:v>Reverse Holo</x:v>
      </x:c>
      <x:c r="H247" t="str">
        <x:v>1 of 1</x:v>
      </x:c>
      <x:c r="I247" t="n">
        <x:v>14</x:v>
      </x:c>
      <x:c r="J247" t="n">
        <x:v>17</x:v>
      </x:c>
      <x:c r="K247" t="n">
        <x:v>15.5</x:v>
      </x:c>
      <x:c r="L247" t="str">
        <x:v>$5–20</x:v>
      </x:c>
      <x:c r="M247" t="str">
        <x:v>Yes</x:v>
      </x:c>
      <x:c r="N247" t="str">
        <x:v>Yes</x:v>
      </x:c>
      <x:c r="O247" t="str">
        <x:v>Yes</x:v>
      </x:c>
      <x:c r="P247" t="str">
        <x:v>Clean/NM benchmark unless noted</x:v>
      </x:c>
      <x:c r="Q247" t="n">
        <x:v>14</x:v>
      </x:c>
      <x:c r="R247" t="n">
        <x:v>17</x:v>
      </x:c>
      <x:c r="S247" t="n">
        <x:v>15.5</x:v>
      </x:c>
      <x:c r="T247" t="str">
        <x:v>Dragons Exalted Vulpix 18/124 reverse holo. TCGplayer NM price guide about $15.74.</x:v>
      </x:c>
      <x:c r="U247" t="n">
        <x:v>903</x:v>
      </x:c>
      <x:c r="V247" t="str">
        <x:v>Current chat continuation / researched 2026-08-15</x:v>
      </x:c>
      <x:c r="W247" t="str">
        <x:v>https://www.tcgplayer.com/categories/trading-collectible-card-games/pokemon/price-guides/dragons-exalted</x:v>
      </x:c>
    </x:row>
    <x:row r="248">
      <x:c r="A248" t="n">
        <x:v>337</x:v>
      </x:c>
      <x:c r="B248" t="str">
        <x:v>Fire / Commons</x:v>
      </x:c>
      <x:c r="C248" t="str">
        <x:v>Magmar</x:v>
      </x:c>
      <x:c r="D248" t="str">
        <x:v>20/124</x:v>
      </x:c>
      <x:c r="E248" t="str">
        <x:v>Dragons Exalted</x:v>
      </x:c>
      <x:c r="F248" t="n">
        <x:v>2012</x:v>
      </x:c>
      <x:c r="G248" t="str">
        <x:v>Reverse Holo</x:v>
      </x:c>
      <x:c r="H248" t="str">
        <x:v>1 of 1</x:v>
      </x:c>
      <x:c r="I248" t="n">
        <x:v>3.5</x:v>
      </x:c>
      <x:c r="J248" t="n">
        <x:v>4.1</x:v>
      </x:c>
      <x:c r="K248" t="n">
        <x:v>3.8</x:v>
      </x:c>
      <x:c r="L248" t="str">
        <x:v>$1–5</x:v>
      </x:c>
      <x:c r="M248" t="str">
        <x:v>Yes</x:v>
      </x:c>
      <x:c r="N248" t="str">
        <x:v>No</x:v>
      </x:c>
      <x:c r="O248" t="str">
        <x:v>Yes</x:v>
      </x:c>
      <x:c r="P248" t="str">
        <x:v>Clean/NM benchmark unless noted</x:v>
      </x:c>
      <x:c r="Q248" t="n">
        <x:v>3.5</x:v>
      </x:c>
      <x:c r="R248" t="n">
        <x:v>4.1</x:v>
      </x:c>
      <x:c r="S248" t="n">
        <x:v>3.8</x:v>
      </x:c>
      <x:c r="T248" t="str">
        <x:v>Dragons Exalted Magmar 20/124 reverse holo. TCGplayer NM price guide about $3.79.</x:v>
      </x:c>
      <x:c r="U248" t="n">
        <x:v>903</x:v>
      </x:c>
      <x:c r="V248" t="str">
        <x:v>Current chat continuation / researched 2026-08-15</x:v>
      </x:c>
      <x:c r="W248" t="str">
        <x:v>https://www.tcgplayer.com/categories/trading-collectible-card-games/pokemon/price-guides/dragons-exalted</x:v>
      </x:c>
    </x:row>
    <x:row r="249">
      <x:c r="A249" t="n">
        <x:v>341</x:v>
      </x:c>
      <x:c r="B249" t="str">
        <x:v>Fire / Commons</x:v>
      </x:c>
      <x:c r="C249" t="str">
        <x:v>Larvesta</x:v>
      </x:c>
      <x:c r="D249" t="str">
        <x:v>20/108</x:v>
      </x:c>
      <x:c r="E249" t="str">
        <x:v>Dark Explorers</x:v>
      </x:c>
      <x:c r="F249" t="n">
        <x:v>2012</x:v>
      </x:c>
      <x:c r="G249" t="str">
        <x:v>Reverse Holo</x:v>
      </x:c>
      <x:c r="H249" t="str">
        <x:v>1 of 1</x:v>
      </x:c>
      <x:c r="I249" t="n">
        <x:v>2.25</x:v>
      </x:c>
      <x:c r="J249" t="n">
        <x:v>3</x:v>
      </x:c>
      <x:c r="K249" t="n">
        <x:v>2.625</x:v>
      </x:c>
      <x:c r="L249" t="str">
        <x:v>$1–5</x:v>
      </x:c>
      <x:c r="M249" t="str">
        <x:v>Yes</x:v>
      </x:c>
      <x:c r="N249" t="str">
        <x:v>No</x:v>
      </x:c>
      <x:c r="O249" t="str">
        <x:v>Yes</x:v>
      </x:c>
      <x:c r="P249" t="str">
        <x:v>Clean/NM benchmark unless noted</x:v>
      </x:c>
      <x:c r="Q249" t="n">
        <x:v>2.25</x:v>
      </x:c>
      <x:c r="R249" t="n">
        <x:v>3</x:v>
      </x:c>
      <x:c r="S249" t="n">
        <x:v>2.625</x:v>
      </x:c>
      <x:c r="T249" t="str">
        <x:v>Dark Explorers Larvesta 20/108 reverse holo. TCGplayer NM price guide about $2.66.</x:v>
      </x:c>
      <x:c r="U249" t="n">
        <x:v>904</x:v>
      </x:c>
      <x:c r="V249" t="str">
        <x:v>Current chat continuation / researched 2026-08-15</x:v>
      </x:c>
      <x:c r="W249" t="str">
        <x:v>https://www.tcgplayer.com/categories/trading-and-collectible-card-games/pokemon/price-guides/dark-explorers</x:v>
      </x:c>
    </x:row>
    <x:row r="250">
      <x:c r="A250" t="n">
        <x:v>342</x:v>
      </x:c>
      <x:c r="B250" t="str">
        <x:v>Fire / Commons</x:v>
      </x:c>
      <x:c r="C250" t="str">
        <x:v>Larvesta</x:v>
      </x:c>
      <x:c r="D250" t="str">
        <x:v>21/108</x:v>
      </x:c>
      <x:c r="E250" t="str">
        <x:v>Dark Explorers</x:v>
      </x:c>
      <x:c r="F250" t="n">
        <x:v>2012</x:v>
      </x:c>
      <x:c r="G250" t="str">
        <x:v>Reverse Holo</x:v>
      </x:c>
      <x:c r="H250" t="str">
        <x:v>1 of 1</x:v>
      </x:c>
      <x:c r="I250" t="n">
        <x:v>2.75</x:v>
      </x:c>
      <x:c r="J250" t="n">
        <x:v>3.5</x:v>
      </x:c>
      <x:c r="K250" t="n">
        <x:v>3.125</x:v>
      </x:c>
      <x:c r="L250" t="str">
        <x:v>$1–5</x:v>
      </x:c>
      <x:c r="M250" t="str">
        <x:v>Yes</x:v>
      </x:c>
      <x:c r="N250" t="str">
        <x:v>No</x:v>
      </x:c>
      <x:c r="O250" t="str">
        <x:v>Yes</x:v>
      </x:c>
      <x:c r="P250" t="str">
        <x:v>Clean/NM benchmark unless noted</x:v>
      </x:c>
      <x:c r="Q250" t="n">
        <x:v>2.75</x:v>
      </x:c>
      <x:c r="R250" t="n">
        <x:v>3.5</x:v>
      </x:c>
      <x:c r="S250" t="n">
        <x:v>3.125</x:v>
      </x:c>
      <x:c r="T250" t="str">
        <x:v>Dark Explorers Larvesta 21/108 reverse holo. TCGplayer NM price guide about $2.99.</x:v>
      </x:c>
      <x:c r="U250" t="n">
        <x:v>904</x:v>
      </x:c>
      <x:c r="V250" t="str">
        <x:v>Current chat continuation / researched 2026-08-15</x:v>
      </x:c>
      <x:c r="W250" t="str">
        <x:v>https://www.tcgplayer.com/categories/trading-and-collectible-card-games/pokemon/price-guides/dark-explorers</x:v>
      </x:c>
    </x:row>
    <x:row r="251">
      <x:c r="A251" t="n">
        <x:v>343</x:v>
      </x:c>
      <x:c r="B251" t="str">
        <x:v>Fire / Uncommons</x:v>
      </x:c>
      <x:c r="C251" t="str">
        <x:v>Flareon</x:v>
      </x:c>
      <x:c r="D251" t="str">
        <x:v>44/95</x:v>
      </x:c>
      <x:c r="E251" t="str">
        <x:v>Call of Legends</x:v>
      </x:c>
      <x:c r="F251" t="n">
        <x:v>2011</x:v>
      </x:c>
      <x:c r="G251" t="str">
        <x:v>Regular</x:v>
      </x:c>
      <x:c r="H251" t="str">
        <x:v>1 of 1</x:v>
      </x:c>
      <x:c r="I251" t="n">
        <x:v>6.5</x:v>
      </x:c>
      <x:c r="J251" t="n">
        <x:v>8.5</x:v>
      </x:c>
      <x:c r="K251" t="n">
        <x:v>7.5</x:v>
      </x:c>
      <x:c r="L251" t="str">
        <x:v>$5–20</x:v>
      </x:c>
      <x:c r="M251" t="str">
        <x:v>Yes</x:v>
      </x:c>
      <x:c r="N251" t="str">
        <x:v>No</x:v>
      </x:c>
      <x:c r="O251" t="str">
        <x:v>Yes</x:v>
      </x:c>
      <x:c r="P251" t="str">
        <x:v>Clean/NM benchmark unless noted</x:v>
      </x:c>
      <x:c r="Q251" t="n">
        <x:v>6.5</x:v>
      </x:c>
      <x:c r="R251" t="n">
        <x:v>8.5</x:v>
      </x:c>
      <x:c r="S251" t="n">
        <x:v>7.5</x:v>
      </x:c>
      <x:c r="T251" t="str">
        <x:v>Call of Legends Flareon 44/95 regular. Current TCGplayer market roughly $7–8.</x:v>
      </x:c>
      <x:c r="U251" t="n">
        <x:v>905</x:v>
      </x:c>
      <x:c r="V251" t="str">
        <x:v>Current chat continuation / researched 2026-08-15</x:v>
      </x:c>
      <x:c r="W251" t="str">
        <x:v>https://www.tcgplayer.com/search/pokemon/call-of-legends?productLineName=pokemon&amp;setName=call-of-legends</x:v>
      </x:c>
    </x:row>
    <x:row r="252">
      <x:c r="A252" t="n">
        <x:v>344</x:v>
      </x:c>
      <x:c r="B252" t="str">
        <x:v>Fire / Uncommons</x:v>
      </x:c>
      <x:c r="C252" t="str">
        <x:v>Flareon</x:v>
      </x:c>
      <x:c r="D252" t="str">
        <x:v>44/95</x:v>
      </x:c>
      <x:c r="E252" t="str">
        <x:v>Call of Legends</x:v>
      </x:c>
      <x:c r="F252" t="n">
        <x:v>2011</x:v>
      </x:c>
      <x:c r="G252" t="str">
        <x:v>Reverse Holo</x:v>
      </x:c>
      <x:c r="H252" t="str">
        <x:v>1 of 1</x:v>
      </x:c>
      <x:c r="I252" t="n">
        <x:v>12</x:v>
      </x:c>
      <x:c r="J252" t="n">
        <x:v>18</x:v>
      </x:c>
      <x:c r="K252" t="n">
        <x:v>15</x:v>
      </x:c>
      <x:c r="L252" t="str">
        <x:v>$5–20</x:v>
      </x:c>
      <x:c r="M252" t="str">
        <x:v>Yes</x:v>
      </x:c>
      <x:c r="N252" t="str">
        <x:v>Yes</x:v>
      </x:c>
      <x:c r="O252" t="str">
        <x:v>Yes</x:v>
      </x:c>
      <x:c r="P252" t="str">
        <x:v>Clean/NM benchmark unless noted</x:v>
      </x:c>
      <x:c r="Q252" t="n">
        <x:v>12</x:v>
      </x:c>
      <x:c r="R252" t="n">
        <x:v>18</x:v>
      </x:c>
      <x:c r="S252" t="n">
        <x:v>15</x:v>
      </x:c>
      <x:c r="T252" t="str">
        <x:v>Call of Legends Flareon 44/95 reverse holo. PriceCharting ungraded about $14.99; current sales vary materially.</x:v>
      </x:c>
      <x:c r="U252" t="n">
        <x:v>905</x:v>
      </x:c>
      <x:c r="V252" t="str">
        <x:v>Current chat continuation / researched 2026-08-15</x:v>
      </x:c>
      <x:c r="W252" t="str">
        <x:v>https://www.pricecharting.com/game/pokemon-call-of-legends/flareon-reverse-holo-44</x:v>
      </x:c>
    </x:row>
    <x:row r="253">
      <x:c r="A253" t="n">
        <x:v>345</x:v>
      </x:c>
      <x:c r="B253" t="str">
        <x:v>Fire / Uncommons</x:v>
      </x:c>
      <x:c r="C253" t="str">
        <x:v>Flareon</x:v>
      </x:c>
      <x:c r="D253" t="str">
        <x:v>12/108</x:v>
      </x:c>
      <x:c r="E253" t="str">
        <x:v>Dark Explorers</x:v>
      </x:c>
      <x:c r="F253" t="n">
        <x:v>2012</x:v>
      </x:c>
      <x:c r="G253" t="str">
        <x:v>Regular</x:v>
      </x:c>
      <x:c r="H253" t="str">
        <x:v>1 of 1</x:v>
      </x:c>
      <x:c r="I253" t="n">
        <x:v>3.5</x:v>
      </x:c>
      <x:c r="J253" t="n">
        <x:v>5</x:v>
      </x:c>
      <x:c r="K253" t="n">
        <x:v>4.25</x:v>
      </x:c>
      <x:c r="L253" t="str">
        <x:v>$1–5</x:v>
      </x:c>
      <x:c r="M253" t="str">
        <x:v>Yes</x:v>
      </x:c>
      <x:c r="N253" t="str">
        <x:v>No</x:v>
      </x:c>
      <x:c r="O253" t="str">
        <x:v>Yes</x:v>
      </x:c>
      <x:c r="P253" t="str">
        <x:v>Clean/NM benchmark unless noted</x:v>
      </x:c>
      <x:c r="Q253" t="n">
        <x:v>3.5</x:v>
      </x:c>
      <x:c r="R253" t="n">
        <x:v>5</x:v>
      </x:c>
      <x:c r="S253" t="n">
        <x:v>4.25</x:v>
      </x:c>
      <x:c r="T253" t="str">
        <x:v>Dark Explorers Flareon 12/108 regular. Current market roughly $4.</x:v>
      </x:c>
      <x:c r="U253" t="n">
        <x:v>905</x:v>
      </x:c>
      <x:c r="V253" t="str">
        <x:v>Current chat continuation / researched 2026-08-15</x:v>
      </x:c>
      <x:c r="W253" t="str">
        <x:v>https://www.tcgplayer.com/categories/trading-and-collectible-card-games/pokemon/price-guides/dark-explorers</x:v>
      </x:c>
    </x:row>
    <x:row r="254">
      <x:c r="A254" t="n">
        <x:v>346</x:v>
      </x:c>
      <x:c r="B254" t="str">
        <x:v>Fire / Uncommons</x:v>
      </x:c>
      <x:c r="C254" t="str">
        <x:v>Flareon</x:v>
      </x:c>
      <x:c r="D254" t="str">
        <x:v>12/108</x:v>
      </x:c>
      <x:c r="E254" t="str">
        <x:v>Dark Explorers</x:v>
      </x:c>
      <x:c r="F254" t="n">
        <x:v>2012</x:v>
      </x:c>
      <x:c r="G254" t="str">
        <x:v>Reverse Holo</x:v>
      </x:c>
      <x:c r="H254" t="str">
        <x:v>1 of 1</x:v>
      </x:c>
      <x:c r="I254" t="n">
        <x:v>14</x:v>
      </x:c>
      <x:c r="J254" t="n">
        <x:v>18</x:v>
      </x:c>
      <x:c r="K254" t="n">
        <x:v>16</x:v>
      </x:c>
      <x:c r="L254" t="str">
        <x:v>$5–20</x:v>
      </x:c>
      <x:c r="M254" t="str">
        <x:v>Yes</x:v>
      </x:c>
      <x:c r="N254" t="str">
        <x:v>Yes</x:v>
      </x:c>
      <x:c r="O254" t="str">
        <x:v>Yes</x:v>
      </x:c>
      <x:c r="P254" t="str">
        <x:v>Clean/NM benchmark unless noted</x:v>
      </x:c>
      <x:c r="Q254" t="n">
        <x:v>14</x:v>
      </x:c>
      <x:c r="R254" t="n">
        <x:v>18</x:v>
      </x:c>
      <x:c r="S254" t="n">
        <x:v>16</x:v>
      </x:c>
      <x:c r="T254" t="str">
        <x:v>Dark Explorers Flareon 12/108 reverse holo. TCGplayer NM price guide about $17.72; recent raw sales mostly around the mid-teens.</x:v>
      </x:c>
      <x:c r="U254" t="n">
        <x:v>905</x:v>
      </x:c>
      <x:c r="V254" t="str">
        <x:v>Current chat continuation / researched 2026-08-15</x:v>
      </x:c>
      <x:c r="W254" t="str">
        <x:v>https://www.tcgplayer.com/categories/trading-and-collectible-card-games/pokemon/price-guides/dark-explorers</x:v>
      </x:c>
    </x:row>
    <x:row r="255">
      <x:c r="A255" t="n">
        <x:v>347</x:v>
      </x:c>
      <x:c r="B255" t="str">
        <x:v>Fire / Uncommons</x:v>
      </x:c>
      <x:c r="C255" t="str">
        <x:v>Flareon</x:v>
      </x:c>
      <x:c r="D255" t="str">
        <x:v>12/116</x:v>
      </x:c>
      <x:c r="E255" t="str">
        <x:v>Plasma Freeze</x:v>
      </x:c>
      <x:c r="F255" t="n">
        <x:v>2013</x:v>
      </x:c>
      <x:c r="G255" t="str">
        <x:v>Regular (Team Plasma)</x:v>
      </x:c>
      <x:c r="H255" t="str">
        <x:v>1 of 2</x:v>
      </x:c>
      <x:c r="I255" t="n">
        <x:v>4</x:v>
      </x:c>
      <x:c r="J255" t="n">
        <x:v>6</x:v>
      </x:c>
      <x:c r="K255" t="n">
        <x:v>5</x:v>
      </x:c>
      <x:c r="L255" t="str">
        <x:v>$5–20</x:v>
      </x:c>
      <x:c r="M255" t="str">
        <x:v>Yes</x:v>
      </x:c>
      <x:c r="N255" t="str">
        <x:v>No</x:v>
      </x:c>
      <x:c r="O255" t="str">
        <x:v>Yes</x:v>
      </x:c>
      <x:c r="P255" t="str">
        <x:v>Clean/NM benchmark unless noted</x:v>
      </x:c>
      <x:c r="Q255" t="n">
        <x:v>4</x:v>
      </x:c>
      <x:c r="R255" t="n">
        <x:v>6</x:v>
      </x:c>
      <x:c r="S255" t="n">
        <x:v>5</x:v>
      </x:c>
      <x:c r="T255" t="str">
        <x:v>Plasma Freeze Flareon (Team Plasma) 12/116 regular. TCGplayer NM market about $5.01.</x:v>
      </x:c>
      <x:c r="U255" t="n">
        <x:v>905</x:v>
      </x:c>
      <x:c r="V255" t="str">
        <x:v>Current chat continuation / researched 2026-08-15</x:v>
      </x:c>
      <x:c r="W255" t="str">
        <x:v>https://www.tcgplayer.com/product/85502/pokemon-plasma-freeze-flareon-team-plasma</x:v>
      </x:c>
    </x:row>
    <x:row r="256">
      <x:c r="A256" t="n">
        <x:v>348</x:v>
      </x:c>
      <x:c r="B256" t="str">
        <x:v>Fire / Uncommons</x:v>
      </x:c>
      <x:c r="C256" t="str">
        <x:v>Light Ninetales</x:v>
      </x:c>
      <x:c r="D256" t="str">
        <x:v>50/105</x:v>
      </x:c>
      <x:c r="E256" t="str">
        <x:v>Neo Destiny</x:v>
      </x:c>
      <x:c r="F256" t="n">
        <x:v>2002</x:v>
      </x:c>
      <x:c r="G256" t="str">
        <x:v>Regular (Unlimited assumed)</x:v>
      </x:c>
      <x:c r="H256" t="str">
        <x:v>1 of 1</x:v>
      </x:c>
      <x:c r="I256" t="n">
        <x:v>16</x:v>
      </x:c>
      <x:c r="J256" t="n">
        <x:v>26</x:v>
      </x:c>
      <x:c r="K256" t="n">
        <x:v>21</x:v>
      </x:c>
      <x:c r="L256" t="str">
        <x:v>$20+</x:v>
      </x:c>
      <x:c r="M256" t="str">
        <x:v>Yes</x:v>
      </x:c>
      <x:c r="N256" t="str">
        <x:v>Yes</x:v>
      </x:c>
      <x:c r="O256" t="str">
        <x:v>Yes</x:v>
      </x:c>
      <x:c r="P256" t="str">
        <x:v>Clean/NM benchmark unless noted</x:v>
      </x:c>
      <x:c r="Q256" t="n">
        <x:v>16</x:v>
      </x:c>
      <x:c r="R256" t="n">
        <x:v>26</x:v>
      </x:c>
      <x:c r="S256" t="n">
        <x:v>21</x:v>
      </x:c>
      <x:c r="T256" t="str">
        <x:v>Neo Destiny Light Ninetales 50/105. Logged as Unlimited unless a 1st Edition stamp is identified. Recent raw/NM sales generally ~$16–26; 1st Edition is materially higher.</x:v>
      </x:c>
      <x:c r="U256" t="n">
        <x:v>906</x:v>
      </x:c>
      <x:c r="V256" t="str">
        <x:v>Current chat continuation / researched 2026-08-15</x:v>
      </x:c>
      <x:c r="W256" t="str">
        <x:v>https://www.pricecharting.com/game/pokemon-neo-destiny/light-ninetales-50</x:v>
      </x:c>
    </x:row>
    <x:row r="257">
      <x:c r="A257" t="n">
        <x:v>349</x:v>
      </x:c>
      <x:c r="B257" t="str">
        <x:v>Fire / Uncommons</x:v>
      </x:c>
      <x:c r="C257" t="str">
        <x:v>Charmeleon</x:v>
      </x:c>
      <x:c r="D257" t="str">
        <x:v>35/99</x:v>
      </x:c>
      <x:c r="E257" t="str">
        <x:v>Arceus</x:v>
      </x:c>
      <x:c r="F257" t="n">
        <x:v>2009</x:v>
      </x:c>
      <x:c r="G257" t="str">
        <x:v>Regular (LV.31)</x:v>
      </x:c>
      <x:c r="H257" t="str">
        <x:v>1 of 1</x:v>
      </x:c>
      <x:c r="I257" t="n">
        <x:v>1.5</x:v>
      </x:c>
      <x:c r="J257" t="n">
        <x:v>2.2</x:v>
      </x:c>
      <x:c r="K257" t="n">
        <x:v>1.85</x:v>
      </x:c>
      <x:c r="L257" t="str">
        <x:v>$1–5</x:v>
      </x:c>
      <x:c r="M257" t="str">
        <x:v>Yes</x:v>
      </x:c>
      <x:c r="N257" t="str">
        <x:v>No</x:v>
      </x:c>
      <x:c r="O257" t="str">
        <x:v>Yes</x:v>
      </x:c>
      <x:c r="P257" t="str">
        <x:v>Clean/NM benchmark unless noted</x:v>
      </x:c>
      <x:c r="Q257" t="n">
        <x:v>1.5</x:v>
      </x:c>
      <x:c r="R257" t="n">
        <x:v>2.2</x:v>
      </x:c>
      <x:c r="S257" t="n">
        <x:v>1.85</x:v>
      </x:c>
      <x:c r="T257" t="str">
        <x:v>Arceus Charmeleon 35/99, LV.31. Current TCGplayer market about $1.89 NM.</x:v>
      </x:c>
      <x:c r="U257" t="n">
        <x:v>907</x:v>
      </x:c>
      <x:c r="V257" t="str">
        <x:v>Current chat continuation / researched 2026-08-15</x:v>
      </x:c>
      <x:c r="W257" t="str">
        <x:v>https://www.tcgplayer.com/search/pokemon/product?Language=English&amp;page=1&amp;productLineName=pokemon&amp;productName=Charmeleon&amp;view=grid</x:v>
      </x:c>
    </x:row>
    <x:row r="258">
      <x:c r="A258" t="n">
        <x:v>350</x:v>
      </x:c>
      <x:c r="B258" t="str">
        <x:v>Fire / Uncommons</x:v>
      </x:c>
      <x:c r="C258" t="str">
        <x:v>Charmeleon</x:v>
      </x:c>
      <x:c r="D258" t="str">
        <x:v>18/113</x:v>
      </x:c>
      <x:c r="E258" t="str">
        <x:v>Legendary Treasures</x:v>
      </x:c>
      <x:c r="F258" t="n">
        <x:v>2013</x:v>
      </x:c>
      <x:c r="G258" t="str">
        <x:v>Regular</x:v>
      </x:c>
      <x:c r="H258" t="str">
        <x:v>1 of 1</x:v>
      </x:c>
      <x:c r="I258" t="n">
        <x:v>7</x:v>
      </x:c>
      <x:c r="J258" t="n">
        <x:v>9</x:v>
      </x:c>
      <x:c r="K258" t="n">
        <x:v>8</x:v>
      </x:c>
      <x:c r="L258" t="str">
        <x:v>$5–20</x:v>
      </x:c>
      <x:c r="M258" t="str">
        <x:v>Yes</x:v>
      </x:c>
      <x:c r="N258" t="str">
        <x:v>No</x:v>
      </x:c>
      <x:c r="O258" t="str">
        <x:v>Yes</x:v>
      </x:c>
      <x:c r="P258" t="str">
        <x:v>Clean/NM benchmark unless noted</x:v>
      </x:c>
      <x:c r="Q258" t="n">
        <x:v>7</x:v>
      </x:c>
      <x:c r="R258" t="n">
        <x:v>9</x:v>
      </x:c>
      <x:c r="S258" t="n">
        <x:v>8</x:v>
      </x:c>
      <x:c r="T258" t="str">
        <x:v>Legendary Treasures Charmeleon 18/113 regular. Current TCGplayer market about $8.02 NM.</x:v>
      </x:c>
      <x:c r="U258" t="n">
        <x:v>907</x:v>
      </x:c>
      <x:c r="V258" t="str">
        <x:v>Current chat continuation / researched 2026-08-15</x:v>
      </x:c>
      <x:c r="W258" t="str">
        <x:v>https://www.tcgplayer.com/search/pokemon/legendary-treasures?productLineName=pokemon&amp;setName=legendary-treasures</x:v>
      </x:c>
    </x:row>
    <x:row r="259">
      <x:c r="A259" t="n">
        <x:v>351</x:v>
      </x:c>
      <x:c r="B259" t="str">
        <x:v>Fire / Uncommons</x:v>
      </x:c>
      <x:c r="C259" t="str">
        <x:v>Charmeleon</x:v>
      </x:c>
      <x:c r="D259" t="str">
        <x:v>24/102</x:v>
      </x:c>
      <x:c r="E259" t="str">
        <x:v>Base Set</x:v>
      </x:c>
      <x:c r="F259" t="n">
        <x:v>1999</x:v>
      </x:c>
      <x:c r="G259" t="str">
        <x:v>Regular (Unlimited assumed)</x:v>
      </x:c>
      <x:c r="H259" t="str">
        <x:v>1 of 1</x:v>
      </x:c>
      <x:c r="I259" t="n">
        <x:v>2</x:v>
      </x:c>
      <x:c r="J259" t="n">
        <x:v>3</x:v>
      </x:c>
      <x:c r="K259" t="n">
        <x:v>2.5</x:v>
      </x:c>
      <x:c r="L259" t="str">
        <x:v>$1–5</x:v>
      </x:c>
      <x:c r="M259" t="str">
        <x:v>Yes</x:v>
      </x:c>
      <x:c r="N259" t="str">
        <x:v>No</x:v>
      </x:c>
      <x:c r="O259" t="str">
        <x:v>Yes</x:v>
      </x:c>
      <x:c r="P259" t="str">
        <x:v>Clean/NM benchmark unless noted</x:v>
      </x:c>
      <x:c r="Q259" t="n">
        <x:v>2</x:v>
      </x:c>
      <x:c r="R259" t="n">
        <x:v>3</x:v>
      </x:c>
      <x:c r="S259" t="n">
        <x:v>2.5</x:v>
      </x:c>
      <x:c r="T259" t="str">
        <x:v>Base Set Charmeleon 24/102, Unlimited assumed. Current TCGplayer market about $2.42 NM. Reprice if Shadowless or 1st Edition.</x:v>
      </x:c>
      <x:c r="U259" t="n">
        <x:v>907</x:v>
      </x:c>
      <x:c r="V259" t="str">
        <x:v>Current chat continuation / researched 2026-08-15</x:v>
      </x:c>
      <x:c r="W259" t="str">
        <x:v>https://www.tcgplayer.com/search/all/product?irgwc=1&amp;irpid=5467356&amp;q=charmeleon+24+base+set+unlimited&amp;sharedid=cardlist&amp;view=grid</x:v>
      </x:c>
    </x:row>
    <x:row r="260">
      <x:c r="A260" t="n">
        <x:v>352</x:v>
      </x:c>
      <x:c r="B260" t="str">
        <x:v>Fire / Uncommons</x:v>
      </x:c>
      <x:c r="C260" t="str">
        <x:v>Blaine's Charmeleon</x:v>
      </x:c>
      <x:c r="D260" t="str">
        <x:v>31/132</x:v>
      </x:c>
      <x:c r="E260" t="str">
        <x:v>Gym Challenge</x:v>
      </x:c>
      <x:c r="F260" t="n">
        <x:v>2000</x:v>
      </x:c>
      <x:c r="G260" t="str">
        <x:v>Regular (Unlimited assumed)</x:v>
      </x:c>
      <x:c r="H260" t="str">
        <x:v>1 of 1</x:v>
      </x:c>
      <x:c r="I260" t="n">
        <x:v>17</x:v>
      </x:c>
      <x:c r="J260" t="n">
        <x:v>21</x:v>
      </x:c>
      <x:c r="K260" t="n">
        <x:v>19</x:v>
      </x:c>
      <x:c r="L260" t="str">
        <x:v>$5–20</x:v>
      </x:c>
      <x:c r="M260" t="str">
        <x:v>Yes</x:v>
      </x:c>
      <x:c r="N260" t="str">
        <x:v>Yes</x:v>
      </x:c>
      <x:c r="O260" t="str">
        <x:v>Yes</x:v>
      </x:c>
      <x:c r="P260" t="str">
        <x:v>Clean/NM benchmark unless noted</x:v>
      </x:c>
      <x:c r="Q260" t="n">
        <x:v>17</x:v>
      </x:c>
      <x:c r="R260" t="n">
        <x:v>21</x:v>
      </x:c>
      <x:c r="S260" t="n">
        <x:v>19</x:v>
      </x:c>
      <x:c r="T260" t="str">
        <x:v>Gym Challenge Blaine's Charmeleon 31/132, Unlimited assumed. Current TCGplayer market about $18.9–19.8 NM. Reprice if 1st Edition.</x:v>
      </x:c>
      <x:c r="U260" t="n">
        <x:v>907</x:v>
      </x:c>
      <x:c r="V260" t="str">
        <x:v>Current chat continuation / researched 2026-08-15</x:v>
      </x:c>
      <x:c r="W260" t="str">
        <x:v>https://www.tcgplayer.com/search/pokemon/all?page=1&amp;productLineName=pokemon&amp;q=Blaine%27s+Charmeleon+Gym+Challenge&amp;setName=all&amp;view=grid</x:v>
      </x:c>
    </x:row>
    <x:row r="261">
      <x:c r="A261" t="n">
        <x:v>353</x:v>
      </x:c>
      <x:c r="B261" t="str">
        <x:v>Fire / Uncommons</x:v>
      </x:c>
      <x:c r="C261" t="str">
        <x:v>Charmeleon</x:v>
      </x:c>
      <x:c r="D261" t="str">
        <x:v>19/149</x:v>
      </x:c>
      <x:c r="E261" t="str">
        <x:v>Boundaries Crossed</x:v>
      </x:c>
      <x:c r="F261" t="n">
        <x:v>2012</x:v>
      </x:c>
      <x:c r="G261" t="str">
        <x:v>Regular</x:v>
      </x:c>
      <x:c r="H261" t="str">
        <x:v>1 of 8</x:v>
      </x:c>
      <x:c r="I261" t="n">
        <x:v>1.75</x:v>
      </x:c>
      <x:c r="J261" t="n">
        <x:v>2.75</x:v>
      </x:c>
      <x:c r="K261" t="n">
        <x:v>2.25</x:v>
      </x:c>
      <x:c r="L261" t="str">
        <x:v>$1–5</x:v>
      </x:c>
      <x:c r="M261" t="str">
        <x:v>Yes</x:v>
      </x:c>
      <x:c r="N261" t="str">
        <x:v>No</x:v>
      </x:c>
      <x:c r="O261" t="str">
        <x:v>Yes</x:v>
      </x:c>
      <x:c r="P261" t="str">
        <x:v>Clean/NM benchmark unless noted</x:v>
      </x:c>
      <x:c r="Q261" t="n">
        <x:v>1.75</x:v>
      </x:c>
      <x:c r="R261" t="n">
        <x:v>2.75</x:v>
      </x:c>
      <x:c r="S261" t="n">
        <x:v>2.25</x:v>
      </x:c>
      <x:c r="T261" t="str">
        <x:v>Boundaries Crossed Charmeleon 19/149 regular. Current TCGplayer market about $2.20–2.21 NM.</x:v>
      </x:c>
      <x:c r="U261" t="n">
        <x:v>907</x:v>
      </x:c>
      <x:c r="V261" t="str">
        <x:v>Current chat continuation / researched 2026-08-15</x:v>
      </x:c>
      <x:c r="W261" t="str">
        <x:v>https://www.tcgplayer.com/search/pokemon/boundaries-crossed?Language=English&amp;page=2&amp;productLineName=pokemon&amp;setName=boundaries-crossed&amp;view=grid</x:v>
      </x:c>
    </x:row>
    <x:row r="262">
      <x:c r="A262" t="n">
        <x:v>354</x:v>
      </x:c>
      <x:c r="B262" t="str">
        <x:v>Fire / Uncommons</x:v>
      </x:c>
      <x:c r="C262" t="str">
        <x:v>Charmeleon</x:v>
      </x:c>
      <x:c r="D262" t="str">
        <x:v>19/149</x:v>
      </x:c>
      <x:c r="E262" t="str">
        <x:v>Boundaries Crossed</x:v>
      </x:c>
      <x:c r="F262" t="n">
        <x:v>2012</x:v>
      </x:c>
      <x:c r="G262" t="str">
        <x:v>Regular</x:v>
      </x:c>
      <x:c r="H262" t="str">
        <x:v>2 of 8</x:v>
      </x:c>
      <x:c r="I262" t="n">
        <x:v>1.75</x:v>
      </x:c>
      <x:c r="J262" t="n">
        <x:v>2.75</x:v>
      </x:c>
      <x:c r="K262" t="n">
        <x:v>2.25</x:v>
      </x:c>
      <x:c r="L262" t="str">
        <x:v>$1–5</x:v>
      </x:c>
      <x:c r="M262" t="str">
        <x:v>Yes</x:v>
      </x:c>
      <x:c r="N262" t="str">
        <x:v>No</x:v>
      </x:c>
      <x:c r="O262" t="str">
        <x:v>Yes</x:v>
      </x:c>
      <x:c r="P262" t="str">
        <x:v>Clean/NM benchmark unless noted</x:v>
      </x:c>
      <x:c r="Q262" t="n">
        <x:v>1.75</x:v>
      </x:c>
      <x:c r="R262" t="n">
        <x:v>2.75</x:v>
      </x:c>
      <x:c r="S262" t="n">
        <x:v>2.25</x:v>
      </x:c>
      <x:c r="T262" t="str">
        <x:v>Boundaries Crossed Charmeleon 19/149 regular. Current TCGplayer market about $2.20–2.21 NM.</x:v>
      </x:c>
      <x:c r="U262" t="n">
        <x:v>907</x:v>
      </x:c>
      <x:c r="V262" t="str">
        <x:v>Current chat continuation / researched 2026-08-15</x:v>
      </x:c>
      <x:c r="W262" t="str">
        <x:v>https://www.tcgplayer.com/search/pokemon/boundaries-crossed?Language=English&amp;page=2&amp;productLineName=pokemon&amp;setName=boundaries-crossed&amp;view=grid</x:v>
      </x:c>
    </x:row>
    <x:row r="263">
      <x:c r="A263" t="n">
        <x:v>355</x:v>
      </x:c>
      <x:c r="B263" t="str">
        <x:v>Fire / Uncommons</x:v>
      </x:c>
      <x:c r="C263" t="str">
        <x:v>Charmeleon</x:v>
      </x:c>
      <x:c r="D263" t="str">
        <x:v>19/149</x:v>
      </x:c>
      <x:c r="E263" t="str">
        <x:v>Boundaries Crossed</x:v>
      </x:c>
      <x:c r="F263" t="n">
        <x:v>2012</x:v>
      </x:c>
      <x:c r="G263" t="str">
        <x:v>Regular</x:v>
      </x:c>
      <x:c r="H263" t="str">
        <x:v>3 of 8</x:v>
      </x:c>
      <x:c r="I263" t="n">
        <x:v>1.75</x:v>
      </x:c>
      <x:c r="J263" t="n">
        <x:v>2.75</x:v>
      </x:c>
      <x:c r="K263" t="n">
        <x:v>2.25</x:v>
      </x:c>
      <x:c r="L263" t="str">
        <x:v>$1–5</x:v>
      </x:c>
      <x:c r="M263" t="str">
        <x:v>Yes</x:v>
      </x:c>
      <x:c r="N263" t="str">
        <x:v>No</x:v>
      </x:c>
      <x:c r="O263" t="str">
        <x:v>Yes</x:v>
      </x:c>
      <x:c r="P263" t="str">
        <x:v>Clean/NM benchmark unless noted</x:v>
      </x:c>
      <x:c r="Q263" t="n">
        <x:v>1.75</x:v>
      </x:c>
      <x:c r="R263" t="n">
        <x:v>2.75</x:v>
      </x:c>
      <x:c r="S263" t="n">
        <x:v>2.25</x:v>
      </x:c>
      <x:c r="T263" t="str">
        <x:v>Boundaries Crossed Charmeleon 19/149 regular. Current TCGplayer market about $2.20–2.21 NM.</x:v>
      </x:c>
      <x:c r="U263" t="n">
        <x:v>907</x:v>
      </x:c>
      <x:c r="V263" t="str">
        <x:v>Current chat continuation / researched 2026-08-15</x:v>
      </x:c>
      <x:c r="W263" t="str">
        <x:v>https://www.tcgplayer.com/search/pokemon/boundaries-crossed?Language=English&amp;page=2&amp;productLineName=pokemon&amp;setName=boundaries-crossed&amp;view=grid</x:v>
      </x:c>
    </x:row>
    <x:row r="264">
      <x:c r="A264" t="n">
        <x:v>356</x:v>
      </x:c>
      <x:c r="B264" t="str">
        <x:v>Fire / Uncommons</x:v>
      </x:c>
      <x:c r="C264" t="str">
        <x:v>Charmeleon</x:v>
      </x:c>
      <x:c r="D264" t="str">
        <x:v>19/149</x:v>
      </x:c>
      <x:c r="E264" t="str">
        <x:v>Boundaries Crossed</x:v>
      </x:c>
      <x:c r="F264" t="n">
        <x:v>2012</x:v>
      </x:c>
      <x:c r="G264" t="str">
        <x:v>Regular</x:v>
      </x:c>
      <x:c r="H264" t="str">
        <x:v>4 of 8</x:v>
      </x:c>
      <x:c r="I264" t="n">
        <x:v>1.75</x:v>
      </x:c>
      <x:c r="J264" t="n">
        <x:v>2.75</x:v>
      </x:c>
      <x:c r="K264" t="n">
        <x:v>2.25</x:v>
      </x:c>
      <x:c r="L264" t="str">
        <x:v>$1–5</x:v>
      </x:c>
      <x:c r="M264" t="str">
        <x:v>Yes</x:v>
      </x:c>
      <x:c r="N264" t="str">
        <x:v>No</x:v>
      </x:c>
      <x:c r="O264" t="str">
        <x:v>Yes</x:v>
      </x:c>
      <x:c r="P264" t="str">
        <x:v>Clean/NM benchmark unless noted</x:v>
      </x:c>
      <x:c r="Q264" t="n">
        <x:v>1.75</x:v>
      </x:c>
      <x:c r="R264" t="n">
        <x:v>2.75</x:v>
      </x:c>
      <x:c r="S264" t="n">
        <x:v>2.25</x:v>
      </x:c>
      <x:c r="T264" t="str">
        <x:v>Boundaries Crossed Charmeleon 19/149 regular. Current TCGplayer market about $2.20–2.21 NM.</x:v>
      </x:c>
      <x:c r="U264" t="n">
        <x:v>907</x:v>
      </x:c>
      <x:c r="V264" t="str">
        <x:v>Current chat continuation / researched 2026-08-15</x:v>
      </x:c>
      <x:c r="W264" t="str">
        <x:v>https://www.tcgplayer.com/search/pokemon/boundaries-crossed?Language=English&amp;page=2&amp;productLineName=pokemon&amp;setName=boundaries-crossed&amp;view=grid</x:v>
      </x:c>
    </x:row>
    <x:row r="265">
      <x:c r="A265" t="n">
        <x:v>357</x:v>
      </x:c>
      <x:c r="B265" t="str">
        <x:v>Fire / Uncommons</x:v>
      </x:c>
      <x:c r="C265" t="str">
        <x:v>Charmeleon</x:v>
      </x:c>
      <x:c r="D265" t="str">
        <x:v>19/149</x:v>
      </x:c>
      <x:c r="E265" t="str">
        <x:v>Boundaries Crossed</x:v>
      </x:c>
      <x:c r="F265" t="n">
        <x:v>2012</x:v>
      </x:c>
      <x:c r="G265" t="str">
        <x:v>Regular</x:v>
      </x:c>
      <x:c r="H265" t="str">
        <x:v>5 of 8</x:v>
      </x:c>
      <x:c r="I265" t="n">
        <x:v>1.75</x:v>
      </x:c>
      <x:c r="J265" t="n">
        <x:v>2.75</x:v>
      </x:c>
      <x:c r="K265" t="n">
        <x:v>2.25</x:v>
      </x:c>
      <x:c r="L265" t="str">
        <x:v>$1–5</x:v>
      </x:c>
      <x:c r="M265" t="str">
        <x:v>Yes</x:v>
      </x:c>
      <x:c r="N265" t="str">
        <x:v>No</x:v>
      </x:c>
      <x:c r="O265" t="str">
        <x:v>Yes</x:v>
      </x:c>
      <x:c r="P265" t="str">
        <x:v>Clean/NM benchmark unless noted</x:v>
      </x:c>
      <x:c r="Q265" t="n">
        <x:v>1.75</x:v>
      </x:c>
      <x:c r="R265" t="n">
        <x:v>2.75</x:v>
      </x:c>
      <x:c r="S265" t="n">
        <x:v>2.25</x:v>
      </x:c>
      <x:c r="T265" t="str">
        <x:v>Boundaries Crossed Charmeleon 19/149 regular. Current TCGplayer market about $2.20–2.21 NM.</x:v>
      </x:c>
      <x:c r="U265" t="n">
        <x:v>907</x:v>
      </x:c>
      <x:c r="V265" t="str">
        <x:v>Current chat continuation / researched 2026-08-15</x:v>
      </x:c>
      <x:c r="W265" t="str">
        <x:v>https://www.tcgplayer.com/search/pokemon/boundaries-crossed?Language=English&amp;page=2&amp;productLineName=pokemon&amp;setName=boundaries-crossed&amp;view=grid</x:v>
      </x:c>
    </x:row>
    <x:row r="266">
      <x:c r="A266" t="n">
        <x:v>358</x:v>
      </x:c>
      <x:c r="B266" t="str">
        <x:v>Fire / Uncommons</x:v>
      </x:c>
      <x:c r="C266" t="str">
        <x:v>Charmeleon</x:v>
      </x:c>
      <x:c r="D266" t="str">
        <x:v>19/149</x:v>
      </x:c>
      <x:c r="E266" t="str">
        <x:v>Boundaries Crossed</x:v>
      </x:c>
      <x:c r="F266" t="n">
        <x:v>2012</x:v>
      </x:c>
      <x:c r="G266" t="str">
        <x:v>Regular</x:v>
      </x:c>
      <x:c r="H266" t="str">
        <x:v>6 of 8</x:v>
      </x:c>
      <x:c r="I266" t="n">
        <x:v>1.75</x:v>
      </x:c>
      <x:c r="J266" t="n">
        <x:v>2.75</x:v>
      </x:c>
      <x:c r="K266" t="n">
        <x:v>2.25</x:v>
      </x:c>
      <x:c r="L266" t="str">
        <x:v>$1–5</x:v>
      </x:c>
      <x:c r="M266" t="str">
        <x:v>Yes</x:v>
      </x:c>
      <x:c r="N266" t="str">
        <x:v>No</x:v>
      </x:c>
      <x:c r="O266" t="str">
        <x:v>Yes</x:v>
      </x:c>
      <x:c r="P266" t="str">
        <x:v>Clean/NM benchmark unless noted</x:v>
      </x:c>
      <x:c r="Q266" t="n">
        <x:v>1.75</x:v>
      </x:c>
      <x:c r="R266" t="n">
        <x:v>2.75</x:v>
      </x:c>
      <x:c r="S266" t="n">
        <x:v>2.25</x:v>
      </x:c>
      <x:c r="T266" t="str">
        <x:v>Boundaries Crossed Charmeleon 19/149 regular. Current TCGplayer market about $2.20–2.21 NM.</x:v>
      </x:c>
      <x:c r="U266" t="n">
        <x:v>907</x:v>
      </x:c>
      <x:c r="V266" t="str">
        <x:v>Current chat continuation / researched 2026-08-15</x:v>
      </x:c>
      <x:c r="W266" t="str">
        <x:v>https://www.tcgplayer.com/search/pokemon/boundaries-crossed?Language=English&amp;page=2&amp;productLineName=pokemon&amp;setName=boundaries-crossed&amp;view=grid</x:v>
      </x:c>
    </x:row>
    <x:row r="267">
      <x:c r="A267" t="n">
        <x:v>359</x:v>
      </x:c>
      <x:c r="B267" t="str">
        <x:v>Fire / Uncommons</x:v>
      </x:c>
      <x:c r="C267" t="str">
        <x:v>Charmeleon</x:v>
      </x:c>
      <x:c r="D267" t="str">
        <x:v>19/149</x:v>
      </x:c>
      <x:c r="E267" t="str">
        <x:v>Boundaries Crossed</x:v>
      </x:c>
      <x:c r="F267" t="n">
        <x:v>2012</x:v>
      </x:c>
      <x:c r="G267" t="str">
        <x:v>Regular</x:v>
      </x:c>
      <x:c r="H267" t="str">
        <x:v>7 of 8</x:v>
      </x:c>
      <x:c r="I267" t="n">
        <x:v>1.75</x:v>
      </x:c>
      <x:c r="J267" t="n">
        <x:v>2.75</x:v>
      </x:c>
      <x:c r="K267" t="n">
        <x:v>2.25</x:v>
      </x:c>
      <x:c r="L267" t="str">
        <x:v>$1–5</x:v>
      </x:c>
      <x:c r="M267" t="str">
        <x:v>Yes</x:v>
      </x:c>
      <x:c r="N267" t="str">
        <x:v>No</x:v>
      </x:c>
      <x:c r="O267" t="str">
        <x:v>Yes</x:v>
      </x:c>
      <x:c r="P267" t="str">
        <x:v>Clean/NM benchmark unless noted</x:v>
      </x:c>
      <x:c r="Q267" t="n">
        <x:v>1.75</x:v>
      </x:c>
      <x:c r="R267" t="n">
        <x:v>2.75</x:v>
      </x:c>
      <x:c r="S267" t="n">
        <x:v>2.25</x:v>
      </x:c>
      <x:c r="T267" t="str">
        <x:v>Boundaries Crossed Charmeleon 19/149 regular. Current TCGplayer market about $2.20–2.21 NM.</x:v>
      </x:c>
      <x:c r="U267" t="n">
        <x:v>907</x:v>
      </x:c>
      <x:c r="V267" t="str">
        <x:v>Current chat continuation / researched 2026-08-15</x:v>
      </x:c>
      <x:c r="W267" t="str">
        <x:v>https://www.tcgplayer.com/search/pokemon/boundaries-crossed?Language=English&amp;page=2&amp;productLineName=pokemon&amp;setName=boundaries-crossed&amp;view=grid</x:v>
      </x:c>
    </x:row>
    <x:row r="268">
      <x:c r="A268" t="n">
        <x:v>360</x:v>
      </x:c>
      <x:c r="B268" t="str">
        <x:v>Fire / Uncommons</x:v>
      </x:c>
      <x:c r="C268" t="str">
        <x:v>Growlithe</x:v>
      </x:c>
      <x:c r="D268" t="str">
        <x:v>RC4/RC25</x:v>
      </x:c>
      <x:c r="E268" t="str">
        <x:v>Legendary Treasures: Radiant Collection</x:v>
      </x:c>
      <x:c r="F268" t="n">
        <x:v>2013</x:v>
      </x:c>
      <x:c r="G268" t="str">
        <x:v>Holofoil / Radiant Collection</x:v>
      </x:c>
      <x:c r="H268" t="str">
        <x:v>1 of 2</x:v>
      </x:c>
      <x:c r="I268" t="n">
        <x:v>19</x:v>
      </x:c>
      <x:c r="J268" t="n">
        <x:v>24</x:v>
      </x:c>
      <x:c r="K268" t="n">
        <x:v>21.5</x:v>
      </x:c>
      <x:c r="L268" t="str">
        <x:v>$20+</x:v>
      </x:c>
      <x:c r="M268" t="str">
        <x:v>Yes</x:v>
      </x:c>
      <x:c r="N268" t="str">
        <x:v>Yes</x:v>
      </x:c>
      <x:c r="O268" t="str">
        <x:v>Yes</x:v>
      </x:c>
      <x:c r="P268" t="str">
        <x:v>Clean/NM benchmark unless noted</x:v>
      </x:c>
      <x:c r="Q268" t="n">
        <x:v>19</x:v>
      </x:c>
      <x:c r="R268" t="n">
        <x:v>24</x:v>
      </x:c>
      <x:c r="S268" t="n">
        <x:v>21.5</x:v>
      </x:c>
      <x:c r="T268" t="str">
        <x:v>Legendary Treasures Radiant Collection Growlithe RC4/RC25. TCGplayer market about $21.25 NM at research time.</x:v>
      </x:c>
      <x:c r="U268" t="n">
        <x:v>908</x:v>
      </x:c>
      <x:c r="V268" t="str">
        <x:v>Current chat continuation / researched 2026-08-15</x:v>
      </x:c>
      <x:c r="W268" t="str">
        <x:v>https://www.tcgplayer.com/search/pokemon/product?q=Growlithe+Legendary+Treasures+RC4</x:v>
      </x:c>
    </x:row>
    <x:row r="269">
      <x:c r="A269" t="n">
        <x:v>361</x:v>
      </x:c>
      <x:c r="B269" t="str">
        <x:v>Fire / Uncommons</x:v>
      </x:c>
      <x:c r="C269" t="str">
        <x:v>Growlithe</x:v>
      </x:c>
      <x:c r="D269" t="str">
        <x:v>RC4/RC25</x:v>
      </x:c>
      <x:c r="E269" t="str">
        <x:v>Legendary Treasures: Radiant Collection</x:v>
      </x:c>
      <x:c r="F269" t="n">
        <x:v>2013</x:v>
      </x:c>
      <x:c r="G269" t="str">
        <x:v>Holofoil / Radiant Collection</x:v>
      </x:c>
      <x:c r="H269" t="str">
        <x:v>2 of 2</x:v>
      </x:c>
      <x:c r="I269" t="n">
        <x:v>19</x:v>
      </x:c>
      <x:c r="J269" t="n">
        <x:v>24</x:v>
      </x:c>
      <x:c r="K269" t="n">
        <x:v>21.5</x:v>
      </x:c>
      <x:c r="L269" t="str">
        <x:v>$20+</x:v>
      </x:c>
      <x:c r="M269" t="str">
        <x:v>Yes</x:v>
      </x:c>
      <x:c r="N269" t="str">
        <x:v>Yes</x:v>
      </x:c>
      <x:c r="O269" t="str">
        <x:v>Yes</x:v>
      </x:c>
      <x:c r="P269" t="str">
        <x:v>Clean/NM benchmark unless noted</x:v>
      </x:c>
      <x:c r="Q269" t="n">
        <x:v>19</x:v>
      </x:c>
      <x:c r="R269" t="n">
        <x:v>24</x:v>
      </x:c>
      <x:c r="S269" t="n">
        <x:v>21.5</x:v>
      </x:c>
      <x:c r="T269" t="str">
        <x:v>Legendary Treasures Radiant Collection Growlithe RC4/RC25. TCGplayer market about $21.25 NM at research time.</x:v>
      </x:c>
      <x:c r="U269" t="n">
        <x:v>908</x:v>
      </x:c>
      <x:c r="V269" t="str">
        <x:v>Current chat continuation / researched 2026-08-15</x:v>
      </x:c>
      <x:c r="W269" t="str">
        <x:v>https://www.tcgplayer.com/search/pokemon/product?q=Growlithe+Legendary+Treasures+RC4</x:v>
      </x:c>
    </x:row>
    <x:row r="270">
      <x:c r="A270" t="n">
        <x:v>362</x:v>
      </x:c>
      <x:c r="B270" t="str">
        <x:v>Fire / Uncommons</x:v>
      </x:c>
      <x:c r="C270" t="str">
        <x:v>Arcanine</x:v>
      </x:c>
      <x:c r="D270" t="str">
        <x:v>13/99</x:v>
      </x:c>
      <x:c r="E270" t="str">
        <x:v>Next Destinies</x:v>
      </x:c>
      <x:c r="F270" t="n">
        <x:v>2012</x:v>
      </x:c>
      <x:c r="G270" t="str">
        <x:v>Reverse Holo</x:v>
      </x:c>
      <x:c r="H270" t="str">
        <x:v>1 of 2</x:v>
      </x:c>
      <x:c r="I270" t="n">
        <x:v>8.5</x:v>
      </x:c>
      <x:c r="J270" t="n">
        <x:v>11</x:v>
      </x:c>
      <x:c r="K270" t="n">
        <x:v>9.75</x:v>
      </x:c>
      <x:c r="L270" t="str">
        <x:v>$5–20</x:v>
      </x:c>
      <x:c r="M270" t="str">
        <x:v>Yes</x:v>
      </x:c>
      <x:c r="N270" t="str">
        <x:v>No</x:v>
      </x:c>
      <x:c r="O270" t="str">
        <x:v>Yes</x:v>
      </x:c>
      <x:c r="P270" t="str">
        <x:v>Clean/NM benchmark unless noted</x:v>
      </x:c>
      <x:c r="Q270" t="n">
        <x:v>8.5</x:v>
      </x:c>
      <x:c r="R270" t="n">
        <x:v>11</x:v>
      </x:c>
      <x:c r="S270" t="n">
        <x:v>9.75</x:v>
      </x:c>
      <x:c r="T270" t="str">
        <x:v>Next Destinies Arcanine 13/99 reverse holo. TCGplayer NM market about $9.60; recent TCGplayer NM sales mostly around $8.86–10.99.</x:v>
      </x:c>
      <x:c r="U270" t="n">
        <x:v>908</x:v>
      </x:c>
      <x:c r="V270" t="str">
        <x:v>Current chat continuation / researched 2026-08-15</x:v>
      </x:c>
      <x:c r="W270" t="str">
        <x:v>https://www.tcgplayer.com/categories/trading-and-collectible-card-games/pokemon/price-guides/next-destinies</x:v>
      </x:c>
    </x:row>
    <x:row r="271">
      <x:c r="A271" t="n">
        <x:v>363</x:v>
      </x:c>
      <x:c r="B271" t="str">
        <x:v>Fire / Uncommons</x:v>
      </x:c>
      <x:c r="C271" t="str">
        <x:v>Arcanine</x:v>
      </x:c>
      <x:c r="D271" t="str">
        <x:v>13/99</x:v>
      </x:c>
      <x:c r="E271" t="str">
        <x:v>Next Destinies</x:v>
      </x:c>
      <x:c r="F271" t="n">
        <x:v>2012</x:v>
      </x:c>
      <x:c r="G271" t="str">
        <x:v>Reverse Holo</x:v>
      </x:c>
      <x:c r="H271" t="str">
        <x:v>2 of 2</x:v>
      </x:c>
      <x:c r="I271" t="n">
        <x:v>8.5</x:v>
      </x:c>
      <x:c r="J271" t="n">
        <x:v>11</x:v>
      </x:c>
      <x:c r="K271" t="n">
        <x:v>9.75</x:v>
      </x:c>
      <x:c r="L271" t="str">
        <x:v>$5–20</x:v>
      </x:c>
      <x:c r="M271" t="str">
        <x:v>Yes</x:v>
      </x:c>
      <x:c r="N271" t="str">
        <x:v>No</x:v>
      </x:c>
      <x:c r="O271" t="str">
        <x:v>Yes</x:v>
      </x:c>
      <x:c r="P271" t="str">
        <x:v>Clean/NM benchmark unless noted</x:v>
      </x:c>
      <x:c r="Q271" t="n">
        <x:v>8.5</x:v>
      </x:c>
      <x:c r="R271" t="n">
        <x:v>11</x:v>
      </x:c>
      <x:c r="S271" t="n">
        <x:v>9.75</x:v>
      </x:c>
      <x:c r="T271" t="str">
        <x:v>Next Destinies Arcanine 13/99 reverse holo. TCGplayer NM market about $9.60; recent TCGplayer NM sales mostly around $8.86–10.99.</x:v>
      </x:c>
      <x:c r="U271" t="n">
        <x:v>908</x:v>
      </x:c>
      <x:c r="V271" t="str">
        <x:v>Current chat continuation / researched 2026-08-15</x:v>
      </x:c>
      <x:c r="W271" t="str">
        <x:v>https://www.tcgplayer.com/categories/trading-and-collectible-card-games/pokemon/price-guides/next-destinies</x:v>
      </x:c>
    </x:row>
    <x:row r="272">
      <x:c r="A272" t="n">
        <x:v>364</x:v>
      </x:c>
      <x:c r="B272" t="str">
        <x:v>Fire / Uncommons</x:v>
      </x:c>
      <x:c r="C272" t="str">
        <x:v>Quilava</x:v>
      </x:c>
      <x:c r="D272" t="str">
        <x:v>47/111</x:v>
      </x:c>
      <x:c r="E272" t="str">
        <x:v>Neo Genesis</x:v>
      </x:c>
      <x:c r="F272" t="n">
        <x:v>2000</x:v>
      </x:c>
      <x:c r="G272" t="str">
        <x:v>Regular (Unlimited assumed)</x:v>
      </x:c>
      <x:c r="H272" t="str">
        <x:v>1 of 1</x:v>
      </x:c>
      <x:c r="I272" t="n">
        <x:v>4.5</x:v>
      </x:c>
      <x:c r="J272" t="n">
        <x:v>10</x:v>
      </x:c>
      <x:c r="K272" t="n">
        <x:v>7.25</x:v>
      </x:c>
      <x:c r="L272" t="str">
        <x:v>$5–20</x:v>
      </x:c>
      <x:c r="M272" t="str">
        <x:v>Yes</x:v>
      </x:c>
      <x:c r="N272" t="str">
        <x:v>No</x:v>
      </x:c>
      <x:c r="O272" t="str">
        <x:v>Yes</x:v>
      </x:c>
      <x:c r="P272" t="str">
        <x:v>Clean/NM benchmark unless noted</x:v>
      </x:c>
      <x:c r="Q272" t="n">
        <x:v>4.5</x:v>
      </x:c>
      <x:c r="R272" t="n">
        <x:v>10</x:v>
      </x:c>
      <x:c r="S272" t="n">
        <x:v>7.25</x:v>
      </x:c>
      <x:c r="T272" t="str">
        <x:v>Neo Genesis Quilava 47/111. Unlimited assumed unless a 1st Edition stamp is identified. Current market evidence ranges roughly $4.5–10 for clean raw copies.</x:v>
      </x:c>
      <x:c r="U272" t="n">
        <x:v>909</x:v>
      </x:c>
      <x:c r="V272" t="str">
        <x:v>Current chat continuation / researched 2026-08-15</x:v>
      </x:c>
      <x:c r="W272" t="str">
        <x:v>https://www.tcgplayer.com/search/pokemon/product?productLineName=pokemon&amp;q=Quilava+Neo+Genesis</x:v>
      </x:c>
    </x:row>
    <x:row r="273">
      <x:c r="A273" t="n">
        <x:v>368</x:v>
      </x:c>
      <x:c r="B273" t="str">
        <x:v>Fire / Uncommons</x:v>
      </x:c>
      <x:c r="C273" t="str">
        <x:v>Simisear</x:v>
      </x:c>
      <x:c r="D273" t="str">
        <x:v>22/114</x:v>
      </x:c>
      <x:c r="E273" t="str">
        <x:v>Black &amp; White</x:v>
      </x:c>
      <x:c r="F273" t="n">
        <x:v>2011</x:v>
      </x:c>
      <x:c r="G273" t="str">
        <x:v>Reverse Holo</x:v>
      </x:c>
      <x:c r="H273" t="str">
        <x:v>1 of 1</x:v>
      </x:c>
      <x:c r="I273" t="n">
        <x:v>0.5</x:v>
      </x:c>
      <x:c r="J273" t="n">
        <x:v>2.1</x:v>
      </x:c>
      <x:c r="K273" t="n">
        <x:v>1.3</x:v>
      </x:c>
      <x:c r="L273" t="str">
        <x:v>$1–5</x:v>
      </x:c>
      <x:c r="M273" t="str">
        <x:v>Yes</x:v>
      </x:c>
      <x:c r="N273" t="str">
        <x:v>No</x:v>
      </x:c>
      <x:c r="O273" t="str">
        <x:v>Yes</x:v>
      </x:c>
      <x:c r="P273" t="str">
        <x:v>Clean/NM benchmark unless noted</x:v>
      </x:c>
      <x:c r="Q273" t="n">
        <x:v>0.5</x:v>
      </x:c>
      <x:c r="R273" t="n">
        <x:v>2.1</x:v>
      </x:c>
      <x:c r="S273" t="n">
        <x:v>1.3</x:v>
      </x:c>
      <x:c r="T273" t="str">
        <x:v>Black &amp; White Simisear 22/114 reverse holo. TCGplayer market is around $0.59, but recent NM eBay sales are frequently ~$1.95–2.11; treated as an about-$1+ separator card.</x:v>
      </x:c>
      <x:c r="U273" t="n">
        <x:v>910</x:v>
      </x:c>
      <x:c r="V273" t="str">
        <x:v>Current chat continuation / researched 2026-08-15</x:v>
      </x:c>
      <x:c r="W273" t="str">
        <x:v>https://www.pricecharting.com/game/pokemon-black-%26-white/simisear-reverse-holo-22</x:v>
      </x:c>
    </x:row>
    <x:row r="274">
      <x:c r="A274" t="n">
        <x:v>369</x:v>
      </x:c>
      <x:c r="B274" t="str">
        <x:v>Fire / Uncommons</x:v>
      </x:c>
      <x:c r="C274" t="str">
        <x:v>Pignite</x:v>
      </x:c>
      <x:c r="D274" t="str">
        <x:v>17/114</x:v>
      </x:c>
      <x:c r="E274" t="str">
        <x:v>Black &amp; White</x:v>
      </x:c>
      <x:c r="F274" t="n">
        <x:v>2011</x:v>
      </x:c>
      <x:c r="G274" t="str">
        <x:v>Cracked Ice Holofoil</x:v>
      </x:c>
      <x:c r="H274" t="str">
        <x:v>1 of 1</x:v>
      </x:c>
      <x:c r="I274" t="n">
        <x:v>7.5</x:v>
      </x:c>
      <x:c r="J274" t="n">
        <x:v>11.5</x:v>
      </x:c>
      <x:c r="K274" t="n">
        <x:v>9.5</x:v>
      </x:c>
      <x:c r="L274" t="str">
        <x:v>$5–20</x:v>
      </x:c>
      <x:c r="M274" t="str">
        <x:v>Yes</x:v>
      </x:c>
      <x:c r="N274" t="str">
        <x:v>No</x:v>
      </x:c>
      <x:c r="O274" t="str">
        <x:v>Yes</x:v>
      </x:c>
      <x:c r="P274" t="str">
        <x:v>Clean/NM benchmark unless noted</x:v>
      </x:c>
      <x:c r="Q274" t="n">
        <x:v>7.5</x:v>
      </x:c>
      <x:c r="R274" t="n">
        <x:v>11.5</x:v>
      </x:c>
      <x:c r="S274" t="n">
        <x:v>9.5</x:v>
      </x:c>
      <x:c r="T274" t="str">
        <x:v>Black &amp; White Pignite 17/114 Cracked Ice Holofoil. User described as holo. Current market tracker around $9.00 NM; reverse holo is a separate printing.</x:v>
      </x:c>
      <x:c r="U274" t="n">
        <x:v>911</x:v>
      </x:c>
      <x:c r="V274" t="str">
        <x:v>Current chat continuation / researched 2026-08-15</x:v>
      </x:c>
      <x:c r="W274" t="str">
        <x:v>https://pokescope.app/card/bw1-17/</x:v>
      </x:c>
    </x:row>
    <x:row r="275">
      <x:c r="A275" t="n">
        <x:v>372</x:v>
      </x:c>
      <x:c r="B275" t="str">
        <x:v>Fire / Uncommons</x:v>
      </x:c>
      <x:c r="C275" t="str">
        <x:v>Combusken</x:v>
      </x:c>
      <x:c r="D275" t="str">
        <x:v>16/108</x:v>
      </x:c>
      <x:c r="E275" t="str">
        <x:v>Dark Explorers</x:v>
      </x:c>
      <x:c r="F275" t="n">
        <x:v>2012</x:v>
      </x:c>
      <x:c r="G275" t="str">
        <x:v>Reverse Holo</x:v>
      </x:c>
      <x:c r="H275" t="str">
        <x:v>1 of 1</x:v>
      </x:c>
      <x:c r="I275" t="n">
        <x:v>2</x:v>
      </x:c>
      <x:c r="J275" t="n">
        <x:v>4</x:v>
      </x:c>
      <x:c r="K275" t="n">
        <x:v>3</x:v>
      </x:c>
      <x:c r="L275" t="str">
        <x:v>$1–5</x:v>
      </x:c>
      <x:c r="M275" t="str">
        <x:v>Yes</x:v>
      </x:c>
      <x:c r="N275" t="str">
        <x:v>No</x:v>
      </x:c>
      <x:c r="O275" t="str">
        <x:v>Yes</x:v>
      </x:c>
      <x:c r="P275" t="str">
        <x:v>Clean/NM benchmark unless noted</x:v>
      </x:c>
      <x:c r="Q275" t="n">
        <x:v>2</x:v>
      </x:c>
      <x:c r="R275" t="n">
        <x:v>4</x:v>
      </x:c>
      <x:c r="S275" t="n">
        <x:v>3</x:v>
      </x:c>
      <x:c r="T275" t="str">
        <x:v>Dark Explorers Combusken 16/108 reverse holo. TCGplayer NM is about $2.16; PriceCharting raw tracking is closer to the mid-$3s.</x:v>
      </x:c>
      <x:c r="U275" t="n">
        <x:v>912</x:v>
      </x:c>
      <x:c r="V275" t="str">
        <x:v>Current chat continuation / researched 2026-08-15</x:v>
      </x:c>
      <x:c r="W275" t="str">
        <x:v>https://www.tcgplayer.com/categories/trading-and-collectible-card-games/pokemon/price-guides/dark-explorers</x:v>
      </x:c>
    </x:row>
    <x:row r="276">
      <x:c r="A276" t="n">
        <x:v>373</x:v>
      </x:c>
      <x:c r="B276" t="str">
        <x:v>Fire / Uncommons</x:v>
      </x:c>
      <x:c r="C276" t="str">
        <x:v>Combusken</x:v>
      </x:c>
      <x:c r="D276" t="str">
        <x:v>28/109</x:v>
      </x:c>
      <x:c r="E276" t="str">
        <x:v>World Championships 2004 — Blaziken Tech (Chris Fulop)</x:v>
      </x:c>
      <x:c r="F276" t="n">
        <x:v>2004</x:v>
      </x:c>
      <x:c r="G276" t="str">
        <x:v>World Championships replica</x:v>
      </x:c>
      <x:c r="H276" t="str">
        <x:v>1 of 1</x:v>
      </x:c>
      <x:c r="I276" t="n">
        <x:v>2.5</x:v>
      </x:c>
      <x:c r="J276" t="n">
        <x:v>3.2</x:v>
      </x:c>
      <x:c r="K276" t="n">
        <x:v>2.85</x:v>
      </x:c>
      <x:c r="L276" t="str">
        <x:v>$1–5</x:v>
      </x:c>
      <x:c r="M276" t="str">
        <x:v>Yes</x:v>
      </x:c>
      <x:c r="N276" t="str">
        <x:v>No</x:v>
      </x:c>
      <x:c r="O276" t="str">
        <x:v>Yes</x:v>
      </x:c>
      <x:c r="P276" t="str">
        <x:v>Clean/NM benchmark unless noted</x:v>
      </x:c>
      <x:c r="Q276" t="n">
        <x:v>2.5</x:v>
      </x:c>
      <x:c r="R276" t="n">
        <x:v>3.2</x:v>
      </x:c>
      <x:c r="S276" t="n">
        <x:v>2.85</x:v>
      </x:c>
      <x:c r="T276" t="str">
        <x:v>2004 World Championships Blaziken Tech (Chris Fulop) replica of Combusken 28/109. TCGplayer World Championship Decks market about $2.73.</x:v>
      </x:c>
      <x:c r="U276" t="n">
        <x:v>912</x:v>
      </x:c>
      <x:c r="V276" t="str">
        <x:v>Current chat correction / researched 2026-08-15</x:v>
      </x:c>
      <x:c r="W276" t="str">
        <x:v>https://www.tcgplayer.com/search/pokemon/world-championship-decks?productLineName=pokemon&amp;setName=world-championship-decks&amp;view=grid</x:v>
      </x:c>
    </x:row>
    <x:row r="277">
      <x:c r="A277" t="n">
        <x:v>375</x:v>
      </x:c>
      <x:c r="B277" t="str">
        <x:v>Fire / Uncommons</x:v>
      </x:c>
      <x:c r="C277" t="str">
        <x:v>Magmar</x:v>
      </x:c>
      <x:c r="D277" t="str">
        <x:v>39/62</x:v>
      </x:c>
      <x:c r="E277" t="str">
        <x:v>Fossil</x:v>
      </x:c>
      <x:c r="F277" t="n">
        <x:v>1999</x:v>
      </x:c>
      <x:c r="G277" t="str">
        <x:v>Regular (Unlimited assumed)</x:v>
      </x:c>
      <x:c r="H277" t="str">
        <x:v>1 of 1</x:v>
      </x:c>
      <x:c r="I277" t="n">
        <x:v>1</x:v>
      </x:c>
      <x:c r="J277" t="n">
        <x:v>1.5</x:v>
      </x:c>
      <x:c r="K277" t="n">
        <x:v>1.25</x:v>
      </x:c>
      <x:c r="L277" t="str">
        <x:v>$1–5</x:v>
      </x:c>
      <x:c r="M277" t="str">
        <x:v>Yes</x:v>
      </x:c>
      <x:c r="N277" t="str">
        <x:v>No</x:v>
      </x:c>
      <x:c r="O277" t="str">
        <x:v>Yes</x:v>
      </x:c>
      <x:c r="P277" t="str">
        <x:v>Clean/NM benchmark unless noted</x:v>
      </x:c>
      <x:c r="Q277" t="n">
        <x:v>1</x:v>
      </x:c>
      <x:c r="R277" t="n">
        <x:v>1.5</x:v>
      </x:c>
      <x:c r="S277" t="n">
        <x:v>1.25</x:v>
      </x:c>
      <x:c r="T277" t="str">
        <x:v>Fossil Magmar 39/62, Unlimited assumed. TCGplayer Fossil price guide shows about $1.12 NM. Reprice if 1st Edition.</x:v>
      </x:c>
      <x:c r="U277" t="n">
        <x:v>913</x:v>
      </x:c>
      <x:c r="V277" t="str">
        <x:v>Current chat continuation / researched 2026-08-15</x:v>
      </x:c>
      <x:c r="W277" t="str">
        <x:v>https://www.tcgplayer.com/categories/trading-and-collectible-card-games/pokemon/price-guides/fossil</x:v>
      </x:c>
    </x:row>
    <x:row r="278">
      <x:c r="A278" t="n">
        <x:v>376</x:v>
      </x:c>
      <x:c r="B278" t="str">
        <x:v>Fire / Uncommons</x:v>
      </x:c>
      <x:c r="C278" t="str">
        <x:v>Magmar</x:v>
      </x:c>
      <x:c r="D278" t="str">
        <x:v>86/165</x:v>
      </x:c>
      <x:c r="E278" t="str">
        <x:v>Expedition</x:v>
      </x:c>
      <x:c r="F278" t="n">
        <x:v>2002</x:v>
      </x:c>
      <x:c r="G278" t="str">
        <x:v>Regular</x:v>
      </x:c>
      <x:c r="H278" t="str">
        <x:v>1 of 1</x:v>
      </x:c>
      <x:c r="I278" t="n">
        <x:v>6.5</x:v>
      </x:c>
      <x:c r="J278" t="n">
        <x:v>8</x:v>
      </x:c>
      <x:c r="K278" t="n">
        <x:v>7.25</x:v>
      </x:c>
      <x:c r="L278" t="str">
        <x:v>$5–20</x:v>
      </x:c>
      <x:c r="M278" t="str">
        <x:v>Yes</x:v>
      </x:c>
      <x:c r="N278" t="str">
        <x:v>No</x:v>
      </x:c>
      <x:c r="O278" t="str">
        <x:v>Yes</x:v>
      </x:c>
      <x:c r="P278" t="str">
        <x:v>Clean/NM benchmark unless noted</x:v>
      </x:c>
      <x:c r="Q278" t="n">
        <x:v>6.5</x:v>
      </x:c>
      <x:c r="R278" t="n">
        <x:v>8</x:v>
      </x:c>
      <x:c r="S278" t="n">
        <x:v>7.25</x:v>
      </x:c>
      <x:c r="T278" t="str">
        <x:v>Expedition Magmar 86/165 regular. Current TCGplayer market about $7.18–7.29. Reverse holo is a separate, much more valuable printing.</x:v>
      </x:c>
      <x:c r="U278" t="n">
        <x:v>913</x:v>
      </x:c>
      <x:c r="V278" t="str">
        <x:v>Current chat continuation / researched 2026-08-15</x:v>
      </x:c>
      <x:c r="W278" t="str">
        <x:v>https://www.tcgplayer.com/search/pokemon/product?productLineName=pokemon&amp;q=Magmar&amp;view=grid</x:v>
      </x:c>
    </x:row>
    <x:row r="279">
      <x:c r="A279" t="n">
        <x:v>377</x:v>
      </x:c>
      <x:c r="B279" t="str">
        <x:v>Fire / Uncommons</x:v>
      </x:c>
      <x:c r="C279" t="str">
        <x:v>Blaine's Magmar</x:v>
      </x:c>
      <x:c r="D279" t="str">
        <x:v>37/132</x:v>
      </x:c>
      <x:c r="E279" t="str">
        <x:v>Gym Heroes</x:v>
      </x:c>
      <x:c r="F279" t="n">
        <x:v>2000</x:v>
      </x:c>
      <x:c r="G279" t="str">
        <x:v>Regular (Unlimited assumed)</x:v>
      </x:c>
      <x:c r="H279" t="str">
        <x:v>1 of 1</x:v>
      </x:c>
      <x:c r="I279" t="n">
        <x:v>3</x:v>
      </x:c>
      <x:c r="J279" t="n">
        <x:v>5.5</x:v>
      </x:c>
      <x:c r="K279" t="n">
        <x:v>4.25</x:v>
      </x:c>
      <x:c r="L279" t="str">
        <x:v>$1–5</x:v>
      </x:c>
      <x:c r="M279" t="str">
        <x:v>Yes</x:v>
      </x:c>
      <x:c r="N279" t="str">
        <x:v>No</x:v>
      </x:c>
      <x:c r="O279" t="str">
        <x:v>Yes</x:v>
      </x:c>
      <x:c r="P279" t="str">
        <x:v>Clean/NM benchmark unless noted</x:v>
      </x:c>
      <x:c r="Q279" t="n">
        <x:v>3</x:v>
      </x:c>
      <x:c r="R279" t="n">
        <x:v>5.5</x:v>
      </x:c>
      <x:c r="S279" t="n">
        <x:v>4.25</x:v>
      </x:c>
      <x:c r="T279" t="str">
        <x:v>Gym Heroes Blaine's Magmar 37/132, Unlimited assumed. PriceCharting ungraded is about $3.30; recent NM TCGplayer/eBay sales commonly fall around $3–6. Reprice if 1st Edition.</x:v>
      </x:c>
      <x:c r="U279" t="n">
        <x:v>913</x:v>
      </x:c>
      <x:c r="V279" t="str">
        <x:v>Current chat continuation / researched 2026-08-15</x:v>
      </x:c>
      <x:c r="W279" t="str">
        <x:v>https://www.pricecharting.com/game/pokemon-gym-heroes/blaine%27s-magmar-37</x:v>
      </x:c>
    </x:row>
    <x:row r="280">
      <x:c r="A280" t="n">
        <x:v>378</x:v>
      </x:c>
      <x:c r="B280" t="str">
        <x:v>Fire / Uncommons</x:v>
      </x:c>
      <x:c r="C280" t="str">
        <x:v>Rapidash</x:v>
      </x:c>
      <x:c r="D280" t="str">
        <x:v>52/113</x:v>
      </x:c>
      <x:c r="E280" t="str">
        <x:v>EX Delta Species</x:v>
      </x:c>
      <x:c r="F280" t="n">
        <x:v>2005</x:v>
      </x:c>
      <x:c r="G280" t="str">
        <x:v>Regular</x:v>
      </x:c>
      <x:c r="H280" t="str">
        <x:v>1 of 1</x:v>
      </x:c>
      <x:c r="I280" t="n">
        <x:v>1.5</x:v>
      </x:c>
      <x:c r="J280" t="n">
        <x:v>2.5</x:v>
      </x:c>
      <x:c r="K280" t="n">
        <x:v>2</x:v>
      </x:c>
      <x:c r="L280" t="str">
        <x:v>$1–5</x:v>
      </x:c>
      <x:c r="M280" t="str">
        <x:v>Yes</x:v>
      </x:c>
      <x:c r="N280" t="str">
        <x:v>No</x:v>
      </x:c>
      <x:c r="O280" t="str">
        <x:v>Yes</x:v>
      </x:c>
      <x:c r="P280" t="str">
        <x:v>Clean/NM benchmark unless noted</x:v>
      </x:c>
      <x:c r="Q280" t="n">
        <x:v>1.5</x:v>
      </x:c>
      <x:c r="R280" t="n">
        <x:v>2.5</x:v>
      </x:c>
      <x:c r="S280" t="n">
        <x:v>2</x:v>
      </x:c>
      <x:c r="T280" t="str">
        <x:v>EX Delta Species Rapidash 52/113 regular. TCGplayer NM market about $1.96.</x:v>
      </x:c>
      <x:c r="U280" t="n">
        <x:v>914</x:v>
      </x:c>
      <x:c r="V280" t="str">
        <x:v>Current chat continuation / researched 2026-08-15</x:v>
      </x:c>
      <x:c r="W280" t="str">
        <x:v>https://www.tcgplayer.com/product/88582/pokemon-ex-delta-species-rapidash</x:v>
      </x:c>
    </x:row>
    <x:row r="281">
      <x:c r="A281" t="n">
        <x:v>379</x:v>
      </x:c>
      <x:c r="B281" t="str">
        <x:v>Fire / Uncommons</x:v>
      </x:c>
      <x:c r="C281" t="str">
        <x:v>Rapidash E4</x:v>
      </x:c>
      <x:c r="D281" t="str">
        <x:v>47/111</x:v>
      </x:c>
      <x:c r="E281" t="str">
        <x:v>Rising Rivals</x:v>
      </x:c>
      <x:c r="F281" t="n">
        <x:v>2009</x:v>
      </x:c>
      <x:c r="G281" t="str">
        <x:v>Regular (LV.53)</x:v>
      </x:c>
      <x:c r="H281" t="str">
        <x:v>1 of 2</x:v>
      </x:c>
      <x:c r="I281" t="n">
        <x:v>0.8</x:v>
      </x:c>
      <x:c r="J281" t="n">
        <x:v>1.3</x:v>
      </x:c>
      <x:c r="K281" t="n">
        <x:v>1.05</x:v>
      </x:c>
      <x:c r="L281" t="str">
        <x:v>$1–5</x:v>
      </x:c>
      <x:c r="M281" t="str">
        <x:v>Yes</x:v>
      </x:c>
      <x:c r="N281" t="str">
        <x:v>No</x:v>
      </x:c>
      <x:c r="O281" t="str">
        <x:v>Yes</x:v>
      </x:c>
      <x:c r="P281" t="str">
        <x:v>Clean/NM benchmark unless noted</x:v>
      </x:c>
      <x:c r="Q281" t="n">
        <x:v>0.8</x:v>
      </x:c>
      <x:c r="R281" t="n">
        <x:v>1.3</x:v>
      </x:c>
      <x:c r="S281" t="n">
        <x:v>1.05</x:v>
      </x:c>
      <x:c r="T281" t="str">
        <x:v>Rising Rivals Rapidash E4 47/111, LV.53 regular. TCGplayer market about $1.00–1.05.</x:v>
      </x:c>
      <x:c r="U281" t="n">
        <x:v>914</x:v>
      </x:c>
      <x:c r="V281" t="str">
        <x:v>Current chat continuation / researched 2026-08-15</x:v>
      </x:c>
      <x:c r="W281" t="str">
        <x:v>https://www.tcgplayer.com/search/all/product?q=rapidash+e4+47+rising+rivals&amp;view=grid</x:v>
      </x:c>
    </x:row>
    <x:row r="282">
      <x:c r="A282" t="n">
        <x:v>380</x:v>
      </x:c>
      <x:c r="B282" t="str">
        <x:v>Fire / Uncommons</x:v>
      </x:c>
      <x:c r="C282" t="str">
        <x:v>Rapidash E4</x:v>
      </x:c>
      <x:c r="D282" t="str">
        <x:v>47/111</x:v>
      </x:c>
      <x:c r="E282" t="str">
        <x:v>Rising Rivals</x:v>
      </x:c>
      <x:c r="F282" t="n">
        <x:v>2009</x:v>
      </x:c>
      <x:c r="G282" t="str">
        <x:v>Regular (LV.53)</x:v>
      </x:c>
      <x:c r="H282" t="str">
        <x:v>2 of 2</x:v>
      </x:c>
      <x:c r="I282" t="n">
        <x:v>0.8</x:v>
      </x:c>
      <x:c r="J282" t="n">
        <x:v>1.3</x:v>
      </x:c>
      <x:c r="K282" t="n">
        <x:v>1.05</x:v>
      </x:c>
      <x:c r="L282" t="str">
        <x:v>$1–5</x:v>
      </x:c>
      <x:c r="M282" t="str">
        <x:v>Yes</x:v>
      </x:c>
      <x:c r="N282" t="str">
        <x:v>No</x:v>
      </x:c>
      <x:c r="O282" t="str">
        <x:v>Yes</x:v>
      </x:c>
      <x:c r="P282" t="str">
        <x:v>Clean/NM benchmark unless noted</x:v>
      </x:c>
      <x:c r="Q282" t="n">
        <x:v>0.8</x:v>
      </x:c>
      <x:c r="R282" t="n">
        <x:v>1.3</x:v>
      </x:c>
      <x:c r="S282" t="n">
        <x:v>1.05</x:v>
      </x:c>
      <x:c r="T282" t="str">
        <x:v>Rising Rivals Rapidash E4 47/111, LV.53 regular. TCGplayer market about $1.00–1.05.</x:v>
      </x:c>
      <x:c r="U282" t="n">
        <x:v>914</x:v>
      </x:c>
      <x:c r="V282" t="str">
        <x:v>Current chat continuation / researched 2026-08-15</x:v>
      </x:c>
      <x:c r="W282" t="str">
        <x:v>https://www.tcgplayer.com/search/all/product?q=rapidash+e4+47+rising+rivals&amp;view=grid</x:v>
      </x:c>
    </x:row>
    <x:row r="283">
      <x:c r="A283" t="n">
        <x:v>382</x:v>
      </x:c>
      <x:c r="B283" t="str">
        <x:v>Fire / Uncommons</x:v>
      </x:c>
      <x:c r="C283" t="str">
        <x:v>Heatmor</x:v>
      </x:c>
      <x:c r="D283" t="str">
        <x:v>18/101</x:v>
      </x:c>
      <x:c r="E283" t="str">
        <x:v>Noble Victories</x:v>
      </x:c>
      <x:c r="F283" t="n">
        <x:v>2011</x:v>
      </x:c>
      <x:c r="G283" t="str">
        <x:v>Reverse Holo</x:v>
      </x:c>
      <x:c r="H283" t="str">
        <x:v>1 of 2</x:v>
      </x:c>
      <x:c r="I283" t="n">
        <x:v>1.5</x:v>
      </x:c>
      <x:c r="J283" t="n">
        <x:v>2.2</x:v>
      </x:c>
      <x:c r="K283" t="n">
        <x:v>1.85</x:v>
      </x:c>
      <x:c r="L283" t="str">
        <x:v>$1–5</x:v>
      </x:c>
      <x:c r="M283" t="str">
        <x:v>Yes</x:v>
      </x:c>
      <x:c r="N283" t="str">
        <x:v>No</x:v>
      </x:c>
      <x:c r="O283" t="str">
        <x:v>Yes</x:v>
      </x:c>
      <x:c r="P283" t="str">
        <x:v>Clean/NM benchmark unless noted</x:v>
      </x:c>
      <x:c r="Q283" t="n">
        <x:v>1.5</x:v>
      </x:c>
      <x:c r="R283" t="n">
        <x:v>2.2</x:v>
      </x:c>
      <x:c r="S283" t="n">
        <x:v>1.85</x:v>
      </x:c>
      <x:c r="T283" t="str">
        <x:v>Noble Victories Heatmor 18/101 reverse holo. Recent NM/raw sales are roughly $1.90–2.00; working range $1.50–2.20.</x:v>
      </x:c>
      <x:c r="U283" t="n">
        <x:v>915</x:v>
      </x:c>
      <x:c r="V283" t="str">
        <x:v>Current chat continuation / researched 2026-08-15</x:v>
      </x:c>
      <x:c r="W283" t="str">
        <x:v>https://www.pricecharting.com/game/pokemon-noble-victories/heatmor-reverse-holo-18</x:v>
      </x:c>
    </x:row>
    <x:row r="284">
      <x:c r="A284" t="n">
        <x:v>383</x:v>
      </x:c>
      <x:c r="B284" t="str">
        <x:v>Fire / Uncommons</x:v>
      </x:c>
      <x:c r="C284" t="str">
        <x:v>Heatmor</x:v>
      </x:c>
      <x:c r="D284" t="str">
        <x:v>18/101</x:v>
      </x:c>
      <x:c r="E284" t="str">
        <x:v>Noble Victories</x:v>
      </x:c>
      <x:c r="F284" t="n">
        <x:v>2011</x:v>
      </x:c>
      <x:c r="G284" t="str">
        <x:v>Reverse Holo</x:v>
      </x:c>
      <x:c r="H284" t="str">
        <x:v>2 of 2</x:v>
      </x:c>
      <x:c r="I284" t="n">
        <x:v>1.5</x:v>
      </x:c>
      <x:c r="J284" t="n">
        <x:v>2.2</x:v>
      </x:c>
      <x:c r="K284" t="n">
        <x:v>1.85</x:v>
      </x:c>
      <x:c r="L284" t="str">
        <x:v>$1–5</x:v>
      </x:c>
      <x:c r="M284" t="str">
        <x:v>Yes</x:v>
      </x:c>
      <x:c r="N284" t="str">
        <x:v>No</x:v>
      </x:c>
      <x:c r="O284" t="str">
        <x:v>Yes</x:v>
      </x:c>
      <x:c r="P284" t="str">
        <x:v>Clean/NM benchmark unless noted</x:v>
      </x:c>
      <x:c r="Q284" t="n">
        <x:v>1.5</x:v>
      </x:c>
      <x:c r="R284" t="n">
        <x:v>2.2</x:v>
      </x:c>
      <x:c r="S284" t="n">
        <x:v>1.85</x:v>
      </x:c>
      <x:c r="T284" t="str">
        <x:v>Noble Victories Heatmor 18/101 reverse holo. Recent NM/raw sales are roughly $1.90–2.00; working range $1.50–2.20.</x:v>
      </x:c>
      <x:c r="U284" t="n">
        <x:v>915</x:v>
      </x:c>
      <x:c r="V284" t="str">
        <x:v>Current chat continuation / researched 2026-08-15</x:v>
      </x:c>
      <x:c r="W284" t="str">
        <x:v>https://www.pricecharting.com/game/pokemon-noble-victories/heatmor-reverse-holo-18</x:v>
      </x:c>
    </x:row>
    <x:row r="285">
      <x:c r="A285" t="n">
        <x:v>385</x:v>
      </x:c>
      <x:c r="B285" t="str">
        <x:v>Fire / Uncommons</x:v>
      </x:c>
      <x:c r="C285" t="str">
        <x:v>Torkoal</x:v>
      </x:c>
      <x:c r="D285" t="str">
        <x:v>18/108</x:v>
      </x:c>
      <x:c r="E285" t="str">
        <x:v>Dark Explorers</x:v>
      </x:c>
      <x:c r="F285" t="n">
        <x:v>2012</x:v>
      </x:c>
      <x:c r="G285" t="str">
        <x:v>Reverse Holo</x:v>
      </x:c>
      <x:c r="H285" t="str">
        <x:v>1 of 1</x:v>
      </x:c>
      <x:c r="I285" t="n">
        <x:v>2</x:v>
      </x:c>
      <x:c r="J285" t="n">
        <x:v>5</x:v>
      </x:c>
      <x:c r="K285" t="n">
        <x:v>3.5</x:v>
      </x:c>
      <x:c r="L285" t="str">
        <x:v>$1–5</x:v>
      </x:c>
      <x:c r="M285" t="str">
        <x:v>Yes</x:v>
      </x:c>
      <x:c r="N285" t="str">
        <x:v>No</x:v>
      </x:c>
      <x:c r="O285" t="str">
        <x:v>Yes</x:v>
      </x:c>
      <x:c r="P285" t="str">
        <x:v>Clean/NM benchmark unless noted</x:v>
      </x:c>
      <x:c r="Q285" t="n">
        <x:v>2</x:v>
      </x:c>
      <x:c r="R285" t="n">
        <x:v>5</x:v>
      </x:c>
      <x:c r="S285" t="n">
        <x:v>3.5</x:v>
      </x:c>
      <x:c r="T285" t="str">
        <x:v>Dark Explorers Torkoal 18/108 reverse holo. Current raw pricing is inconsistent by source, roughly $2–5; recent tracked reverse-holo pricing is around the mid-$4s.</x:v>
      </x:c>
      <x:c r="U285" t="n">
        <x:v>916</x:v>
      </x:c>
      <x:c r="V285" t="str">
        <x:v>Current chat continuation / researched 2026-08-15</x:v>
      </x:c>
      <x:c r="W285" t="str">
        <x:v>https://www.pricecharting.com/game/pokemon-dark-explorers/torkoal-reverse-holo-18</x:v>
      </x:c>
    </x:row>
    <x:row r="286">
      <x:c r="A286" t="n">
        <x:v>386</x:v>
      </x:c>
      <x:c r="B286" t="str">
        <x:v>Fire / Uncommons</x:v>
      </x:c>
      <x:c r="C286" t="str">
        <x:v>Magcargo</x:v>
      </x:c>
      <x:c r="D286" t="str">
        <x:v>33/64</x:v>
      </x:c>
      <x:c r="E286" t="str">
        <x:v>Neo Revelation</x:v>
      </x:c>
      <x:c r="F286" t="n">
        <x:v>2001</x:v>
      </x:c>
      <x:c r="G286" t="str">
        <x:v>Regular (Unlimited assumed)</x:v>
      </x:c>
      <x:c r="H286" t="str">
        <x:v>1 of 1</x:v>
      </x:c>
      <x:c r="I286" t="n">
        <x:v>2</x:v>
      </x:c>
      <x:c r="J286" t="n">
        <x:v>6.5</x:v>
      </x:c>
      <x:c r="K286" t="n">
        <x:v>4.25</x:v>
      </x:c>
      <x:c r="L286" t="str">
        <x:v>$1–5</x:v>
      </x:c>
      <x:c r="M286" t="str">
        <x:v>Yes</x:v>
      </x:c>
      <x:c r="N286" t="str">
        <x:v>No</x:v>
      </x:c>
      <x:c r="O286" t="str">
        <x:v>Yes</x:v>
      </x:c>
      <x:c r="P286" t="str">
        <x:v>Clean/NM benchmark unless noted</x:v>
      </x:c>
      <x:c r="Q286" t="n">
        <x:v>2</x:v>
      </x:c>
      <x:c r="R286" t="n">
        <x:v>6.5</x:v>
      </x:c>
      <x:c r="S286" t="n">
        <x:v>4.25</x:v>
      </x:c>
      <x:c r="T286" t="str">
        <x:v>Neo Revelation Magcargo 33/64, Unlimited assumed. TCGplayer sources currently range from about $2 on the price guide to ~$6 on product search; reprice if 1st Edition.</x:v>
      </x:c>
      <x:c r="U286" t="n">
        <x:v>916</x:v>
      </x:c>
      <x:c r="V286" t="str">
        <x:v>Current chat continuation / researched 2026-08-15</x:v>
      </x:c>
      <x:c r="W286" t="str">
        <x:v>https://www.tcgplayer.com/categories/trading-and-collectible-card-games/pokemon/price-guides/neo-revelation</x:v>
      </x:c>
    </x:row>
    <x:row r="287">
      <x:c r="A287" t="n">
        <x:v>387</x:v>
      </x:c>
      <x:c r="B287" t="str">
        <x:v>Fire / Uncommons</x:v>
      </x:c>
      <x:c r="C287" t="str">
        <x:v>Shelgon</x:v>
      </x:c>
      <x:c r="D287" t="str">
        <x:v>53/113</x:v>
      </x:c>
      <x:c r="E287" t="str">
        <x:v>EX Delta Species</x:v>
      </x:c>
      <x:c r="F287" t="n">
        <x:v>2005</x:v>
      </x:c>
      <x:c r="G287" t="str">
        <x:v>Regular (Delta Species)</x:v>
      </x:c>
      <x:c r="H287" t="str">
        <x:v>1 of 1</x:v>
      </x:c>
      <x:c r="I287" t="n">
        <x:v>1.2</x:v>
      </x:c>
      <x:c r="J287" t="n">
        <x:v>2</x:v>
      </x:c>
      <x:c r="K287" t="n">
        <x:v>1.6</x:v>
      </x:c>
      <x:c r="L287" t="str">
        <x:v>$1–5</x:v>
      </x:c>
      <x:c r="M287" t="str">
        <x:v>Yes</x:v>
      </x:c>
      <x:c r="N287" t="str">
        <x:v>No</x:v>
      </x:c>
      <x:c r="O287" t="str">
        <x:v>Yes</x:v>
      </x:c>
      <x:c r="P287" t="str">
        <x:v>Clean/NM benchmark unless noted</x:v>
      </x:c>
      <x:c r="Q287" t="n">
        <x:v>1.2</x:v>
      </x:c>
      <x:c r="R287" t="n">
        <x:v>2</x:v>
      </x:c>
      <x:c r="S287" t="n">
        <x:v>1.6</x:v>
      </x:c>
      <x:c r="T287" t="str">
        <x:v>EX Delta Species Shelgon 53/113 regular. TCGplayer market about $1.47–1.50. IMPORTANT: the stamped reverse holo is a separate printing worth far more.</x:v>
      </x:c>
      <x:c r="U287" t="n">
        <x:v>916</x:v>
      </x:c>
      <x:c r="V287" t="str">
        <x:v>Current chat continuation / researched 2026-08-15</x:v>
      </x:c>
      <x:c r="W287" t="str">
        <x:v>https://www.tcgplayer.com/search/pokemon/product?productLineName=pokemon&amp;q=Shelgon&amp;view=grid</x:v>
      </x:c>
    </x:row>
    <x:row r="288">
      <x:c r="A288" t="n">
        <x:v>388</x:v>
      </x:c>
      <x:c r="B288" t="str">
        <x:v>Fire / Rares</x:v>
      </x:c>
      <x:c r="C288" t="str">
        <x:v>Ninetales</x:v>
      </x:c>
      <x:c r="D288" t="str">
        <x:v>19/124</x:v>
      </x:c>
      <x:c r="E288" t="str">
        <x:v>Dragons Exalted</x:v>
      </x:c>
      <x:c r="F288" t="n">
        <x:v>2012</x:v>
      </x:c>
      <x:c r="G288" t="str">
        <x:v>Reverse Holo</x:v>
      </x:c>
      <x:c r="H288" t="str">
        <x:v>1 of 2</x:v>
      </x:c>
      <x:c r="I288" t="n">
        <x:v>8.5</x:v>
      </x:c>
      <x:c r="J288" t="n">
        <x:v>12.5</x:v>
      </x:c>
      <x:c r="K288" t="n">
        <x:v>10.5</x:v>
      </x:c>
      <x:c r="L288" t="str">
        <x:v>$5–20</x:v>
      </x:c>
      <x:c r="M288" t="str">
        <x:v>Yes</x:v>
      </x:c>
      <x:c r="N288" t="str">
        <x:v>Yes</x:v>
      </x:c>
      <x:c r="O288" t="str">
        <x:v>Yes</x:v>
      </x:c>
      <x:c r="P288" t="str">
        <x:v>Clean/NM benchmark unless noted</x:v>
      </x:c>
      <x:c r="Q288" t="n">
        <x:v>8.5</x:v>
      </x:c>
      <x:c r="R288" t="n">
        <x:v>12.5</x:v>
      </x:c>
      <x:c r="S288" t="n">
        <x:v>10.5</x:v>
      </x:c>
      <x:c r="T288" t="str">
        <x:v>Dragons Exalted Ninetales 19/124 reverse holo. TCGplayer Dragons Exalted price guide shows about $10.49 NM market at research time.</x:v>
      </x:c>
      <x:c r="U288" t="n">
        <x:v>917</x:v>
      </x:c>
      <x:c r="V288" t="str">
        <x:v>Current chat resolution / researched 2026-08-15</x:v>
      </x:c>
      <x:c r="W288" t="str">
        <x:v>https://www.tcgplayer.com/categories/trading-collectible-card-games/pokemon/price-guides/dragons-exalted</x:v>
      </x:c>
    </x:row>
    <x:row r="289">
      <x:c r="A289" t="n">
        <x:v>389</x:v>
      </x:c>
      <x:c r="B289" t="str">
        <x:v>Fire / Rares</x:v>
      </x:c>
      <x:c r="C289" t="str">
        <x:v>Ninetales</x:v>
      </x:c>
      <x:c r="D289" t="str">
        <x:v>19/124</x:v>
      </x:c>
      <x:c r="E289" t="str">
        <x:v>Dragons Exalted</x:v>
      </x:c>
      <x:c r="F289" t="n">
        <x:v>2012</x:v>
      </x:c>
      <x:c r="G289" t="str">
        <x:v>Reverse Holo</x:v>
      </x:c>
      <x:c r="H289" t="str">
        <x:v>2 of 2</x:v>
      </x:c>
      <x:c r="I289" t="n">
        <x:v>8.5</x:v>
      </x:c>
      <x:c r="J289" t="n">
        <x:v>12.5</x:v>
      </x:c>
      <x:c r="K289" t="n">
        <x:v>10.5</x:v>
      </x:c>
      <x:c r="L289" t="str">
        <x:v>$5–20</x:v>
      </x:c>
      <x:c r="M289" t="str">
        <x:v>Yes</x:v>
      </x:c>
      <x:c r="N289" t="str">
        <x:v>Yes</x:v>
      </x:c>
      <x:c r="O289" t="str">
        <x:v>Yes</x:v>
      </x:c>
      <x:c r="P289" t="str">
        <x:v>Clean/NM benchmark unless noted</x:v>
      </x:c>
      <x:c r="Q289" t="n">
        <x:v>8.5</x:v>
      </x:c>
      <x:c r="R289" t="n">
        <x:v>12.5</x:v>
      </x:c>
      <x:c r="S289" t="n">
        <x:v>10.5</x:v>
      </x:c>
      <x:c r="T289" t="str">
        <x:v>Dragons Exalted Ninetales 19/124 reverse holo. TCGplayer Dragons Exalted price guide shows about $10.49 NM market at research time.</x:v>
      </x:c>
      <x:c r="U289" t="n">
        <x:v>917</x:v>
      </x:c>
      <x:c r="V289" t="str">
        <x:v>Current chat resolution / researched 2026-08-15</x:v>
      </x:c>
      <x:c r="W289" t="str">
        <x:v>https://www.tcgplayer.com/categories/trading-collectible-card-games/pokemon/price-guides/dragons-exalted</x:v>
      </x:c>
    </x:row>
    <x:row r="290">
      <x:c r="A290" t="n">
        <x:v>390</x:v>
      </x:c>
      <x:c r="B290" t="str">
        <x:v>Fire / Uncommons</x:v>
      </x:c>
      <x:c r="C290" t="str">
        <x:v>Charmeleon</x:v>
      </x:c>
      <x:c r="D290" t="str">
        <x:v>19/149</x:v>
      </x:c>
      <x:c r="E290" t="str">
        <x:v>Boundaries Crossed</x:v>
      </x:c>
      <x:c r="F290" t="n">
        <x:v>2012</x:v>
      </x:c>
      <x:c r="G290" t="str">
        <x:v>Regular</x:v>
      </x:c>
      <x:c r="H290" t="str">
        <x:v>8 of 8</x:v>
      </x:c>
      <x:c r="I290" t="n">
        <x:v>1.75</x:v>
      </x:c>
      <x:c r="J290" t="n">
        <x:v>2.75</x:v>
      </x:c>
      <x:c r="K290" t="n">
        <x:v>2.25</x:v>
      </x:c>
      <x:c r="L290" t="str">
        <x:v>$1–5</x:v>
      </x:c>
      <x:c r="M290" t="str">
        <x:v>Yes</x:v>
      </x:c>
      <x:c r="N290" t="str">
        <x:v>No</x:v>
      </x:c>
      <x:c r="O290" t="str">
        <x:v>Yes</x:v>
      </x:c>
      <x:c r="P290" t="str">
        <x:v>Clean/NM benchmark unless noted</x:v>
      </x:c>
      <x:c r="Q290" t="n">
        <x:v>1.75</x:v>
      </x:c>
      <x:c r="R290" t="n">
        <x:v>2.75</x:v>
      </x:c>
      <x:c r="S290" t="n">
        <x:v>2.25</x:v>
      </x:c>
      <x:c r="T290" t="str">
        <x:v>Boundaries Crossed Charmeleon 19/149 regular. TCGplayer market about $2.20–2.21 NM.</x:v>
      </x:c>
      <x:c r="U290" t="n">
        <x:v>918</x:v>
      </x:c>
      <x:c r="V290" t="str">
        <x:v>Current chat continuation / researched 2026-08-15</x:v>
      </x:c>
      <x:c r="W290" t="str">
        <x:v>https://www.tcgplayer.com/search/pokemon/boundaries-crossed?Language=English&amp;page=2&amp;productLineName=pokemon&amp;setName=boundaries-crossed&amp;view=grid</x:v>
      </x:c>
    </x:row>
    <x:row r="291">
      <x:c r="A291" t="n">
        <x:v>392</x:v>
      </x:c>
      <x:c r="B291" t="str">
        <x:v>Fire / Rares</x:v>
      </x:c>
      <x:c r="C291" t="str">
        <x:v>Blaziken</x:v>
      </x:c>
      <x:c r="D291" t="str">
        <x:v>1/106</x:v>
      </x:c>
      <x:c r="E291" t="str">
        <x:v>Great Encounters</x:v>
      </x:c>
      <x:c r="F291" t="n">
        <x:v>2008</x:v>
      </x:c>
      <x:c r="G291" t="str">
        <x:v>Holofoil (LV.56)</x:v>
      </x:c>
      <x:c r="H291" t="str">
        <x:v>1 of 1</x:v>
      </x:c>
      <x:c r="I291" t="n">
        <x:v>20</x:v>
      </x:c>
      <x:c r="J291" t="n">
        <x:v>26</x:v>
      </x:c>
      <x:c r="K291" t="n">
        <x:v>23</x:v>
      </x:c>
      <x:c r="L291" t="str">
        <x:v>$20+</x:v>
      </x:c>
      <x:c r="M291" t="str">
        <x:v>Yes</x:v>
      </x:c>
      <x:c r="N291" t="str">
        <x:v>Yes</x:v>
      </x:c>
      <x:c r="O291" t="str">
        <x:v>Yes</x:v>
      </x:c>
      <x:c r="P291" t="str">
        <x:v>Clean/NM benchmark unless noted</x:v>
      </x:c>
      <x:c r="Q291" t="n">
        <x:v>20</x:v>
      </x:c>
      <x:c r="R291" t="n">
        <x:v>26</x:v>
      </x:c>
      <x:c r="S291" t="n">
        <x:v>23</x:v>
      </x:c>
      <x:c r="T291" t="str">
        <x:v>Great Encounters Blaziken LV.56 1/106 holo rare. TCGplayer market about $23.22 NM.</x:v>
      </x:c>
      <x:c r="U291" t="n">
        <x:v>919</x:v>
      </x:c>
      <x:c r="V291" t="str">
        <x:v>Current chat continuation / researched 2026-08-15</x:v>
      </x:c>
      <x:c r="W291" t="str">
        <x:v>https://www.tcgplayer.com/search/pokemon/product?page=1&amp;productLineName=pokemon&amp;q=Blaziken+Great+Encounters+1&amp;setName=product&amp;view=grid</x:v>
      </x:c>
    </x:row>
    <x:row r="292">
      <x:c r="A292" t="n">
        <x:v>393</x:v>
      </x:c>
      <x:c r="B292" t="str">
        <x:v>Fire / Rares</x:v>
      </x:c>
      <x:c r="C292" t="str">
        <x:v>Blaziken</x:v>
      </x:c>
      <x:c r="D292" t="str">
        <x:v>3/109</x:v>
      </x:c>
      <x:c r="E292" t="str">
        <x:v>World Championships 2004 — Blaziken Tech (Chris Fulop)</x:v>
      </x:c>
      <x:c r="F292" t="n">
        <x:v>2004</x:v>
      </x:c>
      <x:c r="G292" t="str">
        <x:v>World Championships replica</x:v>
      </x:c>
      <x:c r="H292" t="str">
        <x:v>1 of 2</x:v>
      </x:c>
      <x:c r="I292" t="n">
        <x:v>4</x:v>
      </x:c>
      <x:c r="J292" t="n">
        <x:v>6.5</x:v>
      </x:c>
      <x:c r="K292" t="n">
        <x:v>5.25</x:v>
      </x:c>
      <x:c r="L292" t="str">
        <x:v>$5–20</x:v>
      </x:c>
      <x:c r="M292" t="str">
        <x:v>Yes</x:v>
      </x:c>
      <x:c r="N292" t="str">
        <x:v>No</x:v>
      </x:c>
      <x:c r="O292" t="str">
        <x:v>Yes</x:v>
      </x:c>
      <x:c r="P292" t="str">
        <x:v>Clean/NM benchmark unless noted</x:v>
      </x:c>
      <x:c r="Q292" t="n">
        <x:v>4</x:v>
      </x:c>
      <x:c r="R292" t="n">
        <x:v>6.5</x:v>
      </x:c>
      <x:c r="S292" t="n">
        <x:v>5.25</x:v>
      </x:c>
      <x:c r="T292" t="str">
        <x:v>2004 World Championships Blaziken Tech (Chris Fulop) replica of EX Ruby &amp; Sapphire Blaziken 3/109; gray/silver border with player signature and Worlds back. TCGplayer market about $5.08.</x:v>
      </x:c>
      <x:c r="U292" t="n">
        <x:v>919</x:v>
      </x:c>
      <x:c r="V292" t="str">
        <x:v>Current chat continuation / researched 2026-08-15</x:v>
      </x:c>
      <x:c r="W292" t="str">
        <x:v>https://www.tcgplayer.com/search/pokemon/product?q=Blaziken+-+3%2F109</x:v>
      </x:c>
    </x:row>
    <x:row r="293">
      <x:c r="A293" t="n">
        <x:v>394</x:v>
      </x:c>
      <x:c r="B293" t="str">
        <x:v>Fire / Rares</x:v>
      </x:c>
      <x:c r="C293" t="str">
        <x:v>Blaziken</x:v>
      </x:c>
      <x:c r="D293" t="str">
        <x:v>3/109</x:v>
      </x:c>
      <x:c r="E293" t="str">
        <x:v>World Championships 2004 — Blaziken Tech (Chris Fulop)</x:v>
      </x:c>
      <x:c r="F293" t="n">
        <x:v>2004</x:v>
      </x:c>
      <x:c r="G293" t="str">
        <x:v>World Championships replica</x:v>
      </x:c>
      <x:c r="H293" t="str">
        <x:v>2 of 2</x:v>
      </x:c>
      <x:c r="I293" t="n">
        <x:v>4</x:v>
      </x:c>
      <x:c r="J293" t="n">
        <x:v>6.5</x:v>
      </x:c>
      <x:c r="K293" t="n">
        <x:v>5.25</x:v>
      </x:c>
      <x:c r="L293" t="str">
        <x:v>$5–20</x:v>
      </x:c>
      <x:c r="M293" t="str">
        <x:v>Yes</x:v>
      </x:c>
      <x:c r="N293" t="str">
        <x:v>No</x:v>
      </x:c>
      <x:c r="O293" t="str">
        <x:v>Yes</x:v>
      </x:c>
      <x:c r="P293" t="str">
        <x:v>Clean/NM benchmark unless noted</x:v>
      </x:c>
      <x:c r="Q293" t="n">
        <x:v>4</x:v>
      </x:c>
      <x:c r="R293" t="n">
        <x:v>6.5</x:v>
      </x:c>
      <x:c r="S293" t="n">
        <x:v>5.25</x:v>
      </x:c>
      <x:c r="T293" t="str">
        <x:v>2004 World Championships Blaziken Tech (Chris Fulop) replica of EX Ruby &amp; Sapphire Blaziken 3/109; gray/silver border with player signature and Worlds back. TCGplayer market about $5.08.</x:v>
      </x:c>
      <x:c r="U293" t="n">
        <x:v>919</x:v>
      </x:c>
      <x:c r="V293" t="str">
        <x:v>Current chat continuation / researched 2026-08-15</x:v>
      </x:c>
      <x:c r="W293" t="str">
        <x:v>https://www.tcgplayer.com/search/pokemon/product?q=Blaziken+-+3%2F109</x:v>
      </x:c>
    </x:row>
    <x:row r="294">
      <x:c r="A294" t="n">
        <x:v>395</x:v>
      </x:c>
      <x:c r="B294" t="str">
        <x:v>Fire / Rares</x:v>
      </x:c>
      <x:c r="C294" t="str">
        <x:v>Blaziken</x:v>
      </x:c>
      <x:c r="D294" t="str">
        <x:v>3/127</x:v>
      </x:c>
      <x:c r="E294" t="str">
        <x:v>Platinum</x:v>
      </x:c>
      <x:c r="F294" t="n">
        <x:v>2009</x:v>
      </x:c>
      <x:c r="G294" t="str">
        <x:v>Holofoil (LV.59)</x:v>
      </x:c>
      <x:c r="H294" t="str">
        <x:v>1 of 1</x:v>
      </x:c>
      <x:c r="I294" t="n">
        <x:v>21</x:v>
      </x:c>
      <x:c r="J294" t="n">
        <x:v>28</x:v>
      </x:c>
      <x:c r="K294" t="n">
        <x:v>24.5</x:v>
      </x:c>
      <x:c r="L294" t="str">
        <x:v>$20+</x:v>
      </x:c>
      <x:c r="M294" t="str">
        <x:v>Yes</x:v>
      </x:c>
      <x:c r="N294" t="str">
        <x:v>Yes</x:v>
      </x:c>
      <x:c r="O294" t="str">
        <x:v>Yes</x:v>
      </x:c>
      <x:c r="P294" t="str">
        <x:v>Clean/NM benchmark unless noted</x:v>
      </x:c>
      <x:c r="Q294" t="n">
        <x:v>21</x:v>
      </x:c>
      <x:c r="R294" t="n">
        <x:v>28</x:v>
      </x:c>
      <x:c r="S294" t="n">
        <x:v>24.5</x:v>
      </x:c>
      <x:c r="T294" t="str">
        <x:v>Platinum Blaziken LV.59 3/127 holo rare. TCGplayer market about $24.64 NM.</x:v>
      </x:c>
      <x:c r="U294" t="n">
        <x:v>919</x:v>
      </x:c>
      <x:c r="V294" t="str">
        <x:v>Current chat continuation / researched 2026-08-15</x:v>
      </x:c>
      <x:c r="W294" t="str">
        <x:v>https://www.tcgplayer.com/search/pokemon/product?page=1&amp;productLineName=pokemon&amp;q=blaziken&amp;view=grid</x:v>
      </x:c>
    </x:row>
    <x:row r="295">
      <x:c r="A295" t="n">
        <x:v>396</x:v>
      </x:c>
      <x:c r="B295" t="str">
        <x:v>Fire / Rares</x:v>
      </x:c>
      <x:c r="C295" t="str">
        <x:v>Arcanine G</x:v>
      </x:c>
      <x:c r="D295" t="str">
        <x:v>15/147</x:v>
      </x:c>
      <x:c r="E295" t="str">
        <x:v>Deck Exclusives — Supreme Victors</x:v>
      </x:c>
      <x:c r="F295" t="n">
        <x:v>2009</x:v>
      </x:c>
      <x:c r="G295" t="str">
        <x:v>Holofoil (LV.60)</x:v>
      </x:c>
      <x:c r="H295" t="str">
        <x:v>1 of 1</x:v>
      </x:c>
      <x:c r="I295" t="n">
        <x:v>23</x:v>
      </x:c>
      <x:c r="J295" t="n">
        <x:v>30</x:v>
      </x:c>
      <x:c r="K295" t="n">
        <x:v>26.5</x:v>
      </x:c>
      <x:c r="L295" t="str">
        <x:v>$20+</x:v>
      </x:c>
      <x:c r="M295" t="str">
        <x:v>Yes</x:v>
      </x:c>
      <x:c r="N295" t="str">
        <x:v>Yes</x:v>
      </x:c>
      <x:c r="O295" t="str">
        <x:v>Yes</x:v>
      </x:c>
      <x:c r="P295" t="str">
        <x:v>Clean/NM benchmark unless noted</x:v>
      </x:c>
      <x:c r="Q295" t="n">
        <x:v>23</x:v>
      </x:c>
      <x:c r="R295" t="n">
        <x:v>30</x:v>
      </x:c>
      <x:c r="S295" t="n">
        <x:v>26.5</x:v>
      </x:c>
      <x:c r="T295" t="str">
        <x:v>Arcanine G LV.60 15/147 deck-exclusive holo printing associated with Supreme Victors. TCGplayer currently lists the Deck Exclusives Holo Rare at about $26.43 market. This corrects the previously logged standard non-holo rare.</x:v>
      </x:c>
      <x:c r="U295" t="n">
        <x:v>920</x:v>
      </x:c>
      <x:c r="V295" t="str">
        <x:v>Current chat correction / researched 2026-08-15</x:v>
      </x:c>
      <x:c r="W295" t="str">
        <x:v>https://www.tcgplayer.com/search/pokemon/product?page=1&amp;productLineName=pokemon&amp;q=Arcanine+G&amp;setName=product&amp;view=grid</x:v>
      </x:c>
    </x:row>
    <x:row r="296">
      <x:c r="A296" t="n">
        <x:v>397</x:v>
      </x:c>
      <x:c r="B296" t="str">
        <x:v>Fire / Rares</x:v>
      </x:c>
      <x:c r="C296" t="str">
        <x:v>Arcanine</x:v>
      </x:c>
      <x:c r="D296" t="str">
        <x:v>1/111</x:v>
      </x:c>
      <x:c r="E296" t="str">
        <x:v>Rising Rivals</x:v>
      </x:c>
      <x:c r="F296" t="n">
        <x:v>2009</x:v>
      </x:c>
      <x:c r="G296" t="str">
        <x:v>Holofoil (LV.53)</x:v>
      </x:c>
      <x:c r="H296" t="str">
        <x:v>1 of 2</x:v>
      </x:c>
      <x:c r="I296" t="n">
        <x:v>48</x:v>
      </x:c>
      <x:c r="J296" t="n">
        <x:v>65</x:v>
      </x:c>
      <x:c r="K296" t="n">
        <x:v>56.5</x:v>
      </x:c>
      <x:c r="L296" t="str">
        <x:v>$20+</x:v>
      </x:c>
      <x:c r="M296" t="str">
        <x:v>Yes</x:v>
      </x:c>
      <x:c r="N296" t="str">
        <x:v>Yes</x:v>
      </x:c>
      <x:c r="O296" t="str">
        <x:v>Yes</x:v>
      </x:c>
      <x:c r="P296" t="str">
        <x:v>Clean/NM benchmark unless noted</x:v>
      </x:c>
      <x:c r="Q296" t="n">
        <x:v>48</x:v>
      </x:c>
      <x:c r="R296" t="n">
        <x:v>65</x:v>
      </x:c>
      <x:c r="S296" t="n">
        <x:v>56.5</x:v>
      </x:c>
      <x:c r="T296" t="str">
        <x:v>Rising Rivals Arcanine LV.53 1/111 holo rare. TCGplayer Near Mint holo market about $58.08.</x:v>
      </x:c>
      <x:c r="U296" t="n">
        <x:v>920</x:v>
      </x:c>
      <x:c r="V296" t="str">
        <x:v>Current chat continuation / researched 2026-08-15</x:v>
      </x:c>
      <x:c r="W296" t="str">
        <x:v>https://www.tcgplayer.com/product/83585/pokemon-rising-rivals-arcanine</x:v>
      </x:c>
    </x:row>
    <x:row r="297">
      <x:c r="A297" t="n">
        <x:v>398</x:v>
      </x:c>
      <x:c r="B297" t="str">
        <x:v>Fire / Rares</x:v>
      </x:c>
      <x:c r="C297" t="str">
        <x:v>Victini</x:v>
      </x:c>
      <x:c r="D297" t="str">
        <x:v>23/149</x:v>
      </x:c>
      <x:c r="E297" t="str">
        <x:v>Boundaries Crossed</x:v>
      </x:c>
      <x:c r="F297" t="n">
        <x:v>2012</x:v>
      </x:c>
      <x:c r="G297" t="str">
        <x:v>Regular Rare</x:v>
      </x:c>
      <x:c r="H297" t="str">
        <x:v>1 of 1</x:v>
      </x:c>
      <x:c r="I297" t="n">
        <x:v>0.85</x:v>
      </x:c>
      <x:c r="J297" t="n">
        <x:v>1.25</x:v>
      </x:c>
      <x:c r="K297" t="n">
        <x:v>1.05</x:v>
      </x:c>
      <x:c r="L297" t="str">
        <x:v>$1–5</x:v>
      </x:c>
      <x:c r="M297" t="str">
        <x:v>Yes</x:v>
      </x:c>
      <x:c r="N297" t="str">
        <x:v>No</x:v>
      </x:c>
      <x:c r="O297" t="str">
        <x:v>Yes</x:v>
      </x:c>
      <x:c r="P297" t="str">
        <x:v>Clean/NM benchmark unless noted</x:v>
      </x:c>
      <x:c r="Q297" t="n">
        <x:v>0.85</x:v>
      </x:c>
      <x:c r="R297" t="n">
        <x:v>1.25</x:v>
      </x:c>
      <x:c r="S297" t="n">
        <x:v>1.05</x:v>
      </x:c>
      <x:c r="T297" t="str">
        <x:v>Boundaries Crossed Victini 23/149 regular rare. Current market about $1.05 NM.</x:v>
      </x:c>
      <x:c r="U297" t="n">
        <x:v>921</x:v>
      </x:c>
      <x:c r="V297" t="str">
        <x:v>Current chat resolution / researched 2026-08-15</x:v>
      </x:c>
      <x:c r="W297" t="str">
        <x:v>https://www.tcgplayer.com/search/pokemon/product?q=Victini+Boundaries+Crossed&amp;view=grid</x:v>
      </x:c>
    </x:row>
    <x:row r="298">
      <x:c r="A298" t="n">
        <x:v>399</x:v>
      </x:c>
      <x:c r="B298" t="str">
        <x:v>Fire / Rares</x:v>
      </x:c>
      <x:c r="C298" t="str">
        <x:v>Victini</x:v>
      </x:c>
      <x:c r="D298" t="str">
        <x:v>BW32</x:v>
      </x:c>
      <x:c r="E298" t="str">
        <x:v>Black &amp; White Promos</x:v>
      </x:c>
      <x:c r="F298" t="n">
        <x:v>2011</x:v>
      </x:c>
      <x:c r="G298" t="str">
        <x:v>Promo Holofoil</x:v>
      </x:c>
      <x:c r="H298" t="str">
        <x:v>1 of 1</x:v>
      </x:c>
      <x:c r="I298" t="n">
        <x:v>9</x:v>
      </x:c>
      <x:c r="J298" t="n">
        <x:v>13</x:v>
      </x:c>
      <x:c r="K298" t="n">
        <x:v>11</x:v>
      </x:c>
      <x:c r="L298" t="str">
        <x:v>$5–20</x:v>
      </x:c>
      <x:c r="M298" t="str">
        <x:v>Yes</x:v>
      </x:c>
      <x:c r="N298" t="str">
        <x:v>Yes</x:v>
      </x:c>
      <x:c r="O298" t="str">
        <x:v>Yes</x:v>
      </x:c>
      <x:c r="P298" t="str">
        <x:v>Clean/NM benchmark unless noted</x:v>
      </x:c>
      <x:c r="Q298" t="n">
        <x:v>9</x:v>
      </x:c>
      <x:c r="R298" t="n">
        <x:v>13</x:v>
      </x:c>
      <x:c r="S298" t="n">
        <x:v>11</x:v>
      </x:c>
      <x:c r="T298" t="str">
        <x:v>Victini BW32 Black &amp; White Promo holo. TCGplayer market about $11.25–11.33.</x:v>
      </x:c>
      <x:c r="U298" t="n">
        <x:v>921</x:v>
      </x:c>
      <x:c r="V298" t="str">
        <x:v>Current chat continuation / researched 2026-08-15</x:v>
      </x:c>
      <x:c r="W298" t="str">
        <x:v>https://www.tcgplayer.com/search/pokemon/product?page=1&amp;productLineName=pokemon&amp;q=Victini+-+BW32&amp;setName=product&amp;view=grid</x:v>
      </x:c>
    </x:row>
    <x:row r="299">
      <x:c r="A299" t="n">
        <x:v>400</x:v>
      </x:c>
      <x:c r="B299" t="str">
        <x:v>Fire / Rares</x:v>
      </x:c>
      <x:c r="C299" t="str">
        <x:v>Victini</x:v>
      </x:c>
      <x:c r="D299" t="str">
        <x:v>14/101</x:v>
      </x:c>
      <x:c r="E299" t="str">
        <x:v>Noble Victories</x:v>
      </x:c>
      <x:c r="F299" t="n">
        <x:v>2011</x:v>
      </x:c>
      <x:c r="G299" t="str">
        <x:v>Holofoil</x:v>
      </x:c>
      <x:c r="H299" t="str">
        <x:v>1 of 1</x:v>
      </x:c>
      <x:c r="I299" t="n">
        <x:v>10</x:v>
      </x:c>
      <x:c r="J299" t="n">
        <x:v>15</x:v>
      </x:c>
      <x:c r="K299" t="n">
        <x:v>12.5</x:v>
      </x:c>
      <x:c r="L299" t="str">
        <x:v>$5–20</x:v>
      </x:c>
      <x:c r="M299" t="str">
        <x:v>Yes</x:v>
      </x:c>
      <x:c r="N299" t="str">
        <x:v>Yes</x:v>
      </x:c>
      <x:c r="O299" t="str">
        <x:v>Yes</x:v>
      </x:c>
      <x:c r="P299" t="str">
        <x:v>Clean/NM benchmark unless noted</x:v>
      </x:c>
      <x:c r="Q299" t="n">
        <x:v>10</x:v>
      </x:c>
      <x:c r="R299" t="n">
        <x:v>15</x:v>
      </x:c>
      <x:c r="S299" t="n">
        <x:v>12.5</x:v>
      </x:c>
      <x:c r="T299" t="str">
        <x:v>Noble Victories Victini 14/101 holo rare. TCGplayer market about $12.67.</x:v>
      </x:c>
      <x:c r="U299" t="n">
        <x:v>921</x:v>
      </x:c>
      <x:c r="V299" t="str">
        <x:v>Current chat continuation / researched 2026-08-15</x:v>
      </x:c>
      <x:c r="W299" t="str">
        <x:v>https://www.tcgplayer.com/search/pokemon/product?productLineName=pokemon&amp;q=Victini+Noble+Victories</x:v>
      </x:c>
    </x:row>
    <x:row r="300">
      <x:c r="A300" t="n">
        <x:v>401</x:v>
      </x:c>
      <x:c r="B300" t="str">
        <x:v>Fire / Rares</x:v>
      </x:c>
      <x:c r="C300" t="str">
        <x:v>Victini</x:v>
      </x:c>
      <x:c r="D300" t="str">
        <x:v>15/101</x:v>
      </x:c>
      <x:c r="E300" t="str">
        <x:v>Noble Victories</x:v>
      </x:c>
      <x:c r="F300" t="n">
        <x:v>2011</x:v>
      </x:c>
      <x:c r="G300" t="str">
        <x:v>Holofoil</x:v>
      </x:c>
      <x:c r="H300" t="str">
        <x:v>1 of 2</x:v>
      </x:c>
      <x:c r="I300" t="n">
        <x:v>4</x:v>
      </x:c>
      <x:c r="J300" t="n">
        <x:v>6.5</x:v>
      </x:c>
      <x:c r="K300" t="n">
        <x:v>5.25</x:v>
      </x:c>
      <x:c r="L300" t="str">
        <x:v>$5–20</x:v>
      </x:c>
      <x:c r="M300" t="str">
        <x:v>Yes</x:v>
      </x:c>
      <x:c r="N300" t="str">
        <x:v>No</x:v>
      </x:c>
      <x:c r="O300" t="str">
        <x:v>Yes</x:v>
      </x:c>
      <x:c r="P300" t="str">
        <x:v>Clean/NM benchmark unless noted</x:v>
      </x:c>
      <x:c r="Q300" t="n">
        <x:v>4</x:v>
      </x:c>
      <x:c r="R300" t="n">
        <x:v>6.5</x:v>
      </x:c>
      <x:c r="S300" t="n">
        <x:v>5.25</x:v>
      </x:c>
      <x:c r="T300" t="str">
        <x:v>Noble Victories Victini 15/101 holo rare. TCGplayer market about $5.29.</x:v>
      </x:c>
      <x:c r="U300" t="n">
        <x:v>921</x:v>
      </x:c>
      <x:c r="V300" t="str">
        <x:v>Current chat continuation / researched 2026-08-15</x:v>
      </x:c>
      <x:c r="W300" t="str">
        <x:v>https://www.tcgplayer.com/search/pokemon/product?page=1&amp;productLineName=pokemon&amp;q=Victini+%2315&amp;setName=product&amp;view=grid</x:v>
      </x:c>
    </x:row>
    <x:row r="301">
      <x:c r="A301" t="n">
        <x:v>402</x:v>
      </x:c>
      <x:c r="B301" t="str">
        <x:v>Fire / Rares</x:v>
      </x:c>
      <x:c r="C301" t="str">
        <x:v>Victini</x:v>
      </x:c>
      <x:c r="D301" t="str">
        <x:v>15/101</x:v>
      </x:c>
      <x:c r="E301" t="str">
        <x:v>Noble Victories</x:v>
      </x:c>
      <x:c r="F301" t="n">
        <x:v>2011</x:v>
      </x:c>
      <x:c r="G301" t="str">
        <x:v>Holofoil</x:v>
      </x:c>
      <x:c r="H301" t="str">
        <x:v>2 of 2</x:v>
      </x:c>
      <x:c r="I301" t="n">
        <x:v>4</x:v>
      </x:c>
      <x:c r="J301" t="n">
        <x:v>6.5</x:v>
      </x:c>
      <x:c r="K301" t="n">
        <x:v>5.25</x:v>
      </x:c>
      <x:c r="L301" t="str">
        <x:v>$5–20</x:v>
      </x:c>
      <x:c r="M301" t="str">
        <x:v>Yes</x:v>
      </x:c>
      <x:c r="N301" t="str">
        <x:v>No</x:v>
      </x:c>
      <x:c r="O301" t="str">
        <x:v>Yes</x:v>
      </x:c>
      <x:c r="P301" t="str">
        <x:v>Clean/NM benchmark unless noted</x:v>
      </x:c>
      <x:c r="Q301" t="n">
        <x:v>4</x:v>
      </x:c>
      <x:c r="R301" t="n">
        <x:v>6.5</x:v>
      </x:c>
      <x:c r="S301" t="n">
        <x:v>5.25</x:v>
      </x:c>
      <x:c r="T301" t="str">
        <x:v>Noble Victories Victini 15/101 holo rare. TCGplayer market about $5.29.</x:v>
      </x:c>
      <x:c r="U301" t="n">
        <x:v>921</x:v>
      </x:c>
      <x:c r="V301" t="str">
        <x:v>Current chat continuation / researched 2026-08-15</x:v>
      </x:c>
      <x:c r="W301" t="str">
        <x:v>https://www.tcgplayer.com/search/pokemon/product?page=1&amp;productLineName=pokemon&amp;q=Victini+%2315&amp;setName=product&amp;view=grid</x:v>
      </x:c>
    </x:row>
    <x:row r="302">
      <x:c r="A302" t="n">
        <x:v>405</x:v>
      </x:c>
      <x:c r="B302" t="str">
        <x:v>Fire / Rares</x:v>
      </x:c>
      <x:c r="C302" t="str">
        <x:v>Reshiram</x:v>
      </x:c>
      <x:c r="D302" t="str">
        <x:v>17/116</x:v>
      </x:c>
      <x:c r="E302" t="str">
        <x:v>Plasma Freeze</x:v>
      </x:c>
      <x:c r="F302" t="n">
        <x:v>2013</x:v>
      </x:c>
      <x:c r="G302" t="str">
        <x:v>Holofoil</x:v>
      </x:c>
      <x:c r="H302" t="str">
        <x:v>1 of 1</x:v>
      </x:c>
      <x:c r="I302" t="n">
        <x:v>6</x:v>
      </x:c>
      <x:c r="J302" t="n">
        <x:v>8.5</x:v>
      </x:c>
      <x:c r="K302" t="n">
        <x:v>7.25</x:v>
      </x:c>
      <x:c r="L302" t="str">
        <x:v>$5–20</x:v>
      </x:c>
      <x:c r="M302" t="str">
        <x:v>Yes</x:v>
      </x:c>
      <x:c r="N302" t="str">
        <x:v>No</x:v>
      </x:c>
      <x:c r="O302" t="str">
        <x:v>Yes</x:v>
      </x:c>
      <x:c r="P302" t="str">
        <x:v>Clean/NM benchmark unless noted</x:v>
      </x:c>
      <x:c r="Q302" t="n">
        <x:v>6</x:v>
      </x:c>
      <x:c r="R302" t="n">
        <x:v>8.5</x:v>
      </x:c>
      <x:c r="S302" t="n">
        <x:v>7.25</x:v>
      </x:c>
      <x:c r="T302" t="str">
        <x:v>Plasma Freeze Reshiram 17/116 holo rare. TCGplayer market about $7.10 NM.</x:v>
      </x:c>
      <x:c r="U302" t="n">
        <x:v>922</x:v>
      </x:c>
      <x:c r="V302" t="str">
        <x:v>Current chat continuation / researched 2026-08-15</x:v>
      </x:c>
      <x:c r="W302" t="str">
        <x:v>https://www.tcgplayer.com/search/pokemon/product?page=1&amp;productLineName=pokemon&amp;productName=Reshiram&amp;view=grid</x:v>
      </x:c>
    </x:row>
    <x:row r="303">
      <x:c r="A303" t="n">
        <x:v>406</x:v>
      </x:c>
      <x:c r="B303" t="str">
        <x:v>Fire / Rares</x:v>
      </x:c>
      <x:c r="C303" t="str">
        <x:v>Ninetales</x:v>
      </x:c>
      <x:c r="D303" t="str">
        <x:v>21/113</x:v>
      </x:c>
      <x:c r="E303" t="str">
        <x:v>Legendary Treasures</x:v>
      </x:c>
      <x:c r="F303" t="n">
        <x:v>2013</x:v>
      </x:c>
      <x:c r="G303" t="str">
        <x:v>Regular Rare</x:v>
      </x:c>
      <x:c r="H303" t="str">
        <x:v>1 of 1</x:v>
      </x:c>
      <x:c r="I303" t="n">
        <x:v>2</x:v>
      </x:c>
      <x:c r="J303" t="n">
        <x:v>3</x:v>
      </x:c>
      <x:c r="K303" t="n">
        <x:v>2.5</x:v>
      </x:c>
      <x:c r="L303" t="str">
        <x:v>$1–5</x:v>
      </x:c>
      <x:c r="M303" t="str">
        <x:v>Yes</x:v>
      </x:c>
      <x:c r="N303" t="str">
        <x:v>No</x:v>
      </x:c>
      <x:c r="O303" t="str">
        <x:v>Yes</x:v>
      </x:c>
      <x:c r="P303" t="str">
        <x:v>Clean/NM benchmark unless noted</x:v>
      </x:c>
      <x:c r="Q303" t="n">
        <x:v>2</x:v>
      </x:c>
      <x:c r="R303" t="n">
        <x:v>3</x:v>
      </x:c>
      <x:c r="S303" t="n">
        <x:v>2.5</x:v>
      </x:c>
      <x:c r="T303" t="str">
        <x:v>Legendary Treasures Ninetales 21/113 regular rare. TCGplayer current regular market about $2.46. Reverse holo is a separate printing worth materially more.</x:v>
      </x:c>
      <x:c r="U303" t="n">
        <x:v>923</x:v>
      </x:c>
      <x:c r="V303" t="str">
        <x:v>Current chat resolution / researched 2026-08-15</x:v>
      </x:c>
      <x:c r="W303" t="str">
        <x:v>https://www.tcgplayer.com/categories/trading-and-collectible-card-games/pokemon/price-guides/legendary-treasures</x:v>
      </x:c>
    </x:row>
    <x:row r="304">
      <x:c r="A304" t="n">
        <x:v>407</x:v>
      </x:c>
      <x:c r="B304" t="str">
        <x:v>Fire / Rares</x:v>
      </x:c>
      <x:c r="C304" t="str">
        <x:v>Ninetales</x:v>
      </x:c>
      <x:c r="D304" t="str">
        <x:v>17/95</x:v>
      </x:c>
      <x:c r="E304" t="str">
        <x:v>Call of Legends</x:v>
      </x:c>
      <x:c r="F304" t="n">
        <x:v>2011</x:v>
      </x:c>
      <x:c r="G304" t="str">
        <x:v>Reverse Holo</x:v>
      </x:c>
      <x:c r="H304" t="str">
        <x:v>1 of 2</x:v>
      </x:c>
      <x:c r="I304" t="n">
        <x:v>48</x:v>
      </x:c>
      <x:c r="J304" t="n">
        <x:v>63</x:v>
      </x:c>
      <x:c r="K304" t="n">
        <x:v>55.5</x:v>
      </x:c>
      <x:c r="L304" t="str">
        <x:v>$20+</x:v>
      </x:c>
      <x:c r="M304" t="str">
        <x:v>Yes</x:v>
      </x:c>
      <x:c r="N304" t="str">
        <x:v>Yes</x:v>
      </x:c>
      <x:c r="O304" t="str">
        <x:v>Yes</x:v>
      </x:c>
      <x:c r="P304" t="str">
        <x:v>Clean/NM benchmark unless noted</x:v>
      </x:c>
      <x:c r="Q304" t="n">
        <x:v>48</x:v>
      </x:c>
      <x:c r="R304" t="n">
        <x:v>63</x:v>
      </x:c>
      <x:c r="S304" t="n">
        <x:v>55.5</x:v>
      </x:c>
      <x:c r="T304" t="str">
        <x:v>Call of Legends Ninetales 17/95 reverse holo. TCGplayer NM reverse-holo market about $55.58.</x:v>
      </x:c>
      <x:c r="U304" t="n">
        <x:v>923</x:v>
      </x:c>
      <x:c r="V304" t="str">
        <x:v>Current chat continuation / researched 2026-08-15</x:v>
      </x:c>
      <x:c r="W304" t="str">
        <x:v>https://www.tcgplayer.com/categories/trading-and-collectible-card-games/pokemon/price-guides/call-of-legends</x:v>
      </x:c>
    </x:row>
    <x:row r="305">
      <x:c r="A305" t="n">
        <x:v>408</x:v>
      </x:c>
      <x:c r="B305" t="str">
        <x:v>Fire / Rares</x:v>
      </x:c>
      <x:c r="C305" t="str">
        <x:v>Ninetales</x:v>
      </x:c>
      <x:c r="D305" t="str">
        <x:v>20/95</x:v>
      </x:c>
      <x:c r="E305" t="str">
        <x:v>Unleashed</x:v>
      </x:c>
      <x:c r="F305" t="n">
        <x:v>2010</x:v>
      </x:c>
      <x:c r="G305" t="str">
        <x:v>Regular Rare</x:v>
      </x:c>
      <x:c r="H305" t="str">
        <x:v>1 of 1</x:v>
      </x:c>
      <x:c r="I305" t="n">
        <x:v>9.5</x:v>
      </x:c>
      <x:c r="J305" t="n">
        <x:v>13.5</x:v>
      </x:c>
      <x:c r="K305" t="n">
        <x:v>11.5</x:v>
      </x:c>
      <x:c r="L305" t="str">
        <x:v>$5–20</x:v>
      </x:c>
      <x:c r="M305" t="str">
        <x:v>Yes</x:v>
      </x:c>
      <x:c r="N305" t="str">
        <x:v>Yes</x:v>
      </x:c>
      <x:c r="O305" t="str">
        <x:v>Yes</x:v>
      </x:c>
      <x:c r="P305" t="str">
        <x:v>Clean/NM benchmark unless noted</x:v>
      </x:c>
      <x:c r="Q305" t="n">
        <x:v>9.5</x:v>
      </x:c>
      <x:c r="R305" t="n">
        <x:v>13.5</x:v>
      </x:c>
      <x:c r="S305" t="n">
        <x:v>11.5</x:v>
      </x:c>
      <x:c r="T305" t="str">
        <x:v>Unleashed Ninetales 20/95 regular rare. TCGplayer current market about $10–12.</x:v>
      </x:c>
      <x:c r="U305" t="n">
        <x:v>923</x:v>
      </x:c>
      <x:c r="V305" t="str">
        <x:v>Current chat continuation / researched 2026-08-15</x:v>
      </x:c>
      <x:c r="W305" t="str">
        <x:v>https://www.tcgplayer.com/search/pokemon/product?page=1&amp;productLineName=pokemon&amp;productName=Ninetales&amp;view=grid</x:v>
      </x:c>
    </x:row>
    <x:row r="306">
      <x:c r="A306" t="n">
        <x:v>409</x:v>
      </x:c>
      <x:c r="B306" t="str">
        <x:v>Fire / Rares</x:v>
      </x:c>
      <x:c r="C306" t="str">
        <x:v>Arbok δ</x:v>
      </x:c>
      <x:c r="D306" t="str">
        <x:v>13/101</x:v>
      </x:c>
      <x:c r="E306" t="str">
        <x:v>EX Dragon Frontiers</x:v>
      </x:c>
      <x:c r="F306" t="n">
        <x:v>2006</x:v>
      </x:c>
      <x:c r="G306" t="str">
        <x:v>Regular Rare (Delta Species)</x:v>
      </x:c>
      <x:c r="H306" t="str">
        <x:v>1 of 1</x:v>
      </x:c>
      <x:c r="I306" t="n">
        <x:v>2</x:v>
      </x:c>
      <x:c r="J306" t="n">
        <x:v>3</x:v>
      </x:c>
      <x:c r="K306" t="n">
        <x:v>2.5</x:v>
      </x:c>
      <x:c r="L306" t="str">
        <x:v>$1–5</x:v>
      </x:c>
      <x:c r="M306" t="str">
        <x:v>Yes</x:v>
      </x:c>
      <x:c r="N306" t="str">
        <x:v>No</x:v>
      </x:c>
      <x:c r="O306" t="str">
        <x:v>Yes</x:v>
      </x:c>
      <x:c r="P306" t="str">
        <x:v>Clean/NM benchmark unless noted</x:v>
      </x:c>
      <x:c r="Q306" t="n">
        <x:v>2</x:v>
      </x:c>
      <x:c r="R306" t="n">
        <x:v>3</x:v>
      </x:c>
      <x:c r="S306" t="n">
        <x:v>2.5</x:v>
      </x:c>
      <x:c r="T306" t="str">
        <x:v>EX Dragon Frontiers Arbok δ 13/101 regular rare; Fire-type Delta Species. Current raw market is roughly $2.20–2.50. Reverse foil is a separate, more valuable printing.</x:v>
      </x:c>
      <x:c r="U306" t="n">
        <x:v>924</x:v>
      </x:c>
      <x:c r="V306" t="str">
        <x:v>Current chat continuation / researched 2026-08-15</x:v>
      </x:c>
      <x:c r="W306" t="str">
        <x:v>https://www.pricecharting.com/game/pokemon-dragon-frontiers/arbok-13</x:v>
      </x:c>
    </x:row>
    <x:row r="307">
      <x:c r="A307" t="n">
        <x:v>410</x:v>
      </x:c>
      <x:c r="B307" t="str">
        <x:v>Fire / Rares</x:v>
      </x:c>
      <x:c r="C307" t="str">
        <x:v>Magmortar</x:v>
      </x:c>
      <x:c r="D307" t="str">
        <x:v>31/132</x:v>
      </x:c>
      <x:c r="E307" t="str">
        <x:v>Secret Wonders</x:v>
      </x:c>
      <x:c r="F307" t="n">
        <x:v>2007</x:v>
      </x:c>
      <x:c r="G307" t="str">
        <x:v>Regular Rare (LV.52)</x:v>
      </x:c>
      <x:c r="H307" t="str">
        <x:v>1 of 1</x:v>
      </x:c>
      <x:c r="I307" t="n">
        <x:v>0.85</x:v>
      </x:c>
      <x:c r="J307" t="n">
        <x:v>1.3</x:v>
      </x:c>
      <x:c r="K307" t="n">
        <x:v>1.075</x:v>
      </x:c>
      <x:c r="L307" t="str">
        <x:v>$1–5</x:v>
      </x:c>
      <x:c r="M307" t="str">
        <x:v>Yes</x:v>
      </x:c>
      <x:c r="N307" t="str">
        <x:v>No</x:v>
      </x:c>
      <x:c r="O307" t="str">
        <x:v>Yes</x:v>
      </x:c>
      <x:c r="P307" t="str">
        <x:v>Clean/NM benchmark unless noted</x:v>
      </x:c>
      <x:c r="Q307" t="n">
        <x:v>0.85</x:v>
      </x:c>
      <x:c r="R307" t="n">
        <x:v>1.3</x:v>
      </x:c>
      <x:c r="S307" t="n">
        <x:v>1.075</x:v>
      </x:c>
      <x:c r="T307" t="str">
        <x:v>Secret Wonders Magmortar LV.52 31/132 regular rare. TCGplayer market about $1.06. Deck-exclusive holo and reverse holo are separate printings.</x:v>
      </x:c>
      <x:c r="U307" t="n">
        <x:v>924</x:v>
      </x:c>
      <x:c r="V307" t="str">
        <x:v>Current chat continuation / researched 2026-08-15</x:v>
      </x:c>
      <x:c r="W307" t="str">
        <x:v>https://www.tcgplayer.com/search/pokemon/product?q=Magmortar</x:v>
      </x:c>
    </x:row>
    <x:row r="308">
      <x:c r="A308" t="n">
        <x:v>411</x:v>
      </x:c>
      <x:c r="B308" t="str">
        <x:v>Fire / Rares</x:v>
      </x:c>
      <x:c r="C308" t="str">
        <x:v>Chandelure</x:v>
      </x:c>
      <x:c r="D308" t="str">
        <x:v>20/99</x:v>
      </x:c>
      <x:c r="E308" t="str">
        <x:v>Next Destinies</x:v>
      </x:c>
      <x:c r="F308" t="n">
        <x:v>2012</x:v>
      </x:c>
      <x:c r="G308" t="str">
        <x:v>Holofoil</x:v>
      </x:c>
      <x:c r="H308" t="str">
        <x:v>1 of 3</x:v>
      </x:c>
      <x:c r="I308" t="n">
        <x:v>1.3</x:v>
      </x:c>
      <x:c r="J308" t="n">
        <x:v>2.1</x:v>
      </x:c>
      <x:c r="K308" t="n">
        <x:v>1.7000000000000002</x:v>
      </x:c>
      <x:c r="L308" t="str">
        <x:v>$1–5</x:v>
      </x:c>
      <x:c r="M308" t="str">
        <x:v>Yes</x:v>
      </x:c>
      <x:c r="N308" t="str">
        <x:v>No</x:v>
      </x:c>
      <x:c r="O308" t="str">
        <x:v>Yes</x:v>
      </x:c>
      <x:c r="P308" t="str">
        <x:v>Clean/NM benchmark unless noted</x:v>
      </x:c>
      <x:c r="Q308" t="n">
        <x:v>1.3</x:v>
      </x:c>
      <x:c r="R308" t="n">
        <x:v>2.1</x:v>
      </x:c>
      <x:c r="S308" t="n">
        <x:v>1.7000000000000002</x:v>
      </x:c>
      <x:c r="T308" t="str">
        <x:v>Next Destinies Chandelure 20/99 holo rare. TCGplayer market about $1.60–1.70 NM. Cracked Ice Holo is a separate blister-exclusive printing.</x:v>
      </x:c>
      <x:c r="U308" t="n">
        <x:v>925</x:v>
      </x:c>
      <x:c r="V308" t="str">
        <x:v>Current chat continuation / researched 2026-08-15</x:v>
      </x:c>
      <x:c r="W308" t="str">
        <x:v>https://www.tcgplayer.com/search/pokemon/product?productLineName=pokemon&amp;q=Chandelure+Next+Destinies+%2320</x:v>
      </x:c>
    </x:row>
    <x:row r="309">
      <x:c r="A309" t="n">
        <x:v>412</x:v>
      </x:c>
      <x:c r="B309" t="str">
        <x:v>Fire / Rares</x:v>
      </x:c>
      <x:c r="C309" t="str">
        <x:v>Chandelure</x:v>
      </x:c>
      <x:c r="D309" t="str">
        <x:v>20/99</x:v>
      </x:c>
      <x:c r="E309" t="str">
        <x:v>Next Destinies</x:v>
      </x:c>
      <x:c r="F309" t="n">
        <x:v>2012</x:v>
      </x:c>
      <x:c r="G309" t="str">
        <x:v>Holofoil</x:v>
      </x:c>
      <x:c r="H309" t="str">
        <x:v>2 of 3</x:v>
      </x:c>
      <x:c r="I309" t="n">
        <x:v>1.3</x:v>
      </x:c>
      <x:c r="J309" t="n">
        <x:v>2.1</x:v>
      </x:c>
      <x:c r="K309" t="n">
        <x:v>1.7000000000000002</x:v>
      </x:c>
      <x:c r="L309" t="str">
        <x:v>$1–5</x:v>
      </x:c>
      <x:c r="M309" t="str">
        <x:v>Yes</x:v>
      </x:c>
      <x:c r="N309" t="str">
        <x:v>No</x:v>
      </x:c>
      <x:c r="O309" t="str">
        <x:v>Yes</x:v>
      </x:c>
      <x:c r="P309" t="str">
        <x:v>Clean/NM benchmark unless noted</x:v>
      </x:c>
      <x:c r="Q309" t="n">
        <x:v>1.3</x:v>
      </x:c>
      <x:c r="R309" t="n">
        <x:v>2.1</x:v>
      </x:c>
      <x:c r="S309" t="n">
        <x:v>1.7000000000000002</x:v>
      </x:c>
      <x:c r="T309" t="str">
        <x:v>Next Destinies Chandelure 20/99 holo rare. TCGplayer market about $1.60–1.70 NM. Cracked Ice Holo is a separate blister-exclusive printing.</x:v>
      </x:c>
      <x:c r="U309" t="n">
        <x:v>925</x:v>
      </x:c>
      <x:c r="V309" t="str">
        <x:v>Current chat continuation / researched 2026-08-15</x:v>
      </x:c>
      <x:c r="W309" t="str">
        <x:v>https://www.tcgplayer.com/search/pokemon/product?productLineName=pokemon&amp;q=Chandelure+Next+Destinies+%2320</x:v>
      </x:c>
    </x:row>
    <x:row r="310">
      <x:c r="A310" t="n">
        <x:v>413</x:v>
      </x:c>
      <x:c r="B310" t="str">
        <x:v>Fire / Rares</x:v>
      </x:c>
      <x:c r="C310" t="str">
        <x:v>Chandelure</x:v>
      </x:c>
      <x:c r="D310" t="str">
        <x:v>20/99</x:v>
      </x:c>
      <x:c r="E310" t="str">
        <x:v>Next Destinies</x:v>
      </x:c>
      <x:c r="F310" t="n">
        <x:v>2012</x:v>
      </x:c>
      <x:c r="G310" t="str">
        <x:v>Holofoil</x:v>
      </x:c>
      <x:c r="H310" t="str">
        <x:v>3 of 3</x:v>
      </x:c>
      <x:c r="I310" t="n">
        <x:v>1.3</x:v>
      </x:c>
      <x:c r="J310" t="n">
        <x:v>2.1</x:v>
      </x:c>
      <x:c r="K310" t="n">
        <x:v>1.7000000000000002</x:v>
      </x:c>
      <x:c r="L310" t="str">
        <x:v>$1–5</x:v>
      </x:c>
      <x:c r="M310" t="str">
        <x:v>Yes</x:v>
      </x:c>
      <x:c r="N310" t="str">
        <x:v>No</x:v>
      </x:c>
      <x:c r="O310" t="str">
        <x:v>Yes</x:v>
      </x:c>
      <x:c r="P310" t="str">
        <x:v>Clean/NM benchmark unless noted</x:v>
      </x:c>
      <x:c r="Q310" t="n">
        <x:v>1.3</x:v>
      </x:c>
      <x:c r="R310" t="n">
        <x:v>2.1</x:v>
      </x:c>
      <x:c r="S310" t="n">
        <x:v>1.7000000000000002</x:v>
      </x:c>
      <x:c r="T310" t="str">
        <x:v>Next Destinies Chandelure 20/99 holo rare. TCGplayer market about $1.60–1.70 NM. Cracked Ice Holo is a separate blister-exclusive printing.</x:v>
      </x:c>
      <x:c r="U310" t="n">
        <x:v>925</x:v>
      </x:c>
      <x:c r="V310" t="str">
        <x:v>Current chat continuation / researched 2026-08-15</x:v>
      </x:c>
      <x:c r="W310" t="str">
        <x:v>https://www.tcgplayer.com/search/pokemon/product?productLineName=pokemon&amp;q=Chandelure+Next+Destinies+%2320</x:v>
      </x:c>
    </x:row>
    <x:row r="311">
      <x:c r="A311" t="n">
        <x:v>416</x:v>
      </x:c>
      <x:c r="B311" t="str">
        <x:v>Fire / Rares</x:v>
      </x:c>
      <x:c r="C311" t="str">
        <x:v>Volcarona</x:v>
      </x:c>
      <x:c r="D311" t="str">
        <x:v>21/101</x:v>
      </x:c>
      <x:c r="E311" t="str">
        <x:v>Noble Victories</x:v>
      </x:c>
      <x:c r="F311" t="n">
        <x:v>2011</x:v>
      </x:c>
      <x:c r="G311" t="str">
        <x:v>Reverse Holo</x:v>
      </x:c>
      <x:c r="H311" t="str">
        <x:v>1 of 1</x:v>
      </x:c>
      <x:c r="I311" t="n">
        <x:v>3.25</x:v>
      </x:c>
      <x:c r="J311" t="n">
        <x:v>4.5</x:v>
      </x:c>
      <x:c r="K311" t="n">
        <x:v>3.875</x:v>
      </x:c>
      <x:c r="L311" t="str">
        <x:v>$1–5</x:v>
      </x:c>
      <x:c r="M311" t="str">
        <x:v>Yes</x:v>
      </x:c>
      <x:c r="N311" t="str">
        <x:v>No</x:v>
      </x:c>
      <x:c r="O311" t="str">
        <x:v>Yes</x:v>
      </x:c>
      <x:c r="P311" t="str">
        <x:v>Clean/NM benchmark unless noted</x:v>
      </x:c>
      <x:c r="Q311" t="n">
        <x:v>3.25</x:v>
      </x:c>
      <x:c r="R311" t="n">
        <x:v>4.5</x:v>
      </x:c>
      <x:c r="S311" t="n">
        <x:v>3.875</x:v>
      </x:c>
      <x:c r="T311" t="str">
        <x:v>Noble Victories Volcarona 21/101 reverse holo. PriceCharting ungraded is about $3.94 and TCGplayer-derived reverse market about $3.81.</x:v>
      </x:c>
      <x:c r="U311" t="n">
        <x:v>926</x:v>
      </x:c>
      <x:c r="V311" t="str">
        <x:v>Current chat continuation / researched 2026-08-15</x:v>
      </x:c>
      <x:c r="W311" t="str">
        <x:v>https://www.pricecharting.com/game/pokemon-noble-victories/volcarona-reverse-holo-21</x:v>
      </x:c>
    </x:row>
    <x:row r="312">
      <x:c r="A312" t="n">
        <x:v>417</x:v>
      </x:c>
      <x:c r="B312" t="str">
        <x:v>Fire / Rares</x:v>
      </x:c>
      <x:c r="C312" t="str">
        <x:v>Emboar</x:v>
      </x:c>
      <x:c r="D312" t="str">
        <x:v>20/114</x:v>
      </x:c>
      <x:c r="E312" t="str">
        <x:v>Black &amp; White</x:v>
      </x:c>
      <x:c r="F312" t="n">
        <x:v>2011</x:v>
      </x:c>
      <x:c r="G312" t="str">
        <x:v>Holofoil</x:v>
      </x:c>
      <x:c r="H312" t="str">
        <x:v>1 of 2</x:v>
      </x:c>
      <x:c r="I312" t="n">
        <x:v>2.5</x:v>
      </x:c>
      <x:c r="J312" t="n">
        <x:v>3.5</x:v>
      </x:c>
      <x:c r="K312" t="n">
        <x:v>3</x:v>
      </x:c>
      <x:c r="L312" t="str">
        <x:v>$1–5</x:v>
      </x:c>
      <x:c r="M312" t="str">
        <x:v>Yes</x:v>
      </x:c>
      <x:c r="N312" t="str">
        <x:v>No</x:v>
      </x:c>
      <x:c r="O312" t="str">
        <x:v>Yes</x:v>
      </x:c>
      <x:c r="P312" t="str">
        <x:v>Clean/NM benchmark unless noted</x:v>
      </x:c>
      <x:c r="Q312" t="n">
        <x:v>2.5</x:v>
      </x:c>
      <x:c r="R312" t="n">
        <x:v>3.5</x:v>
      </x:c>
      <x:c r="S312" t="n">
        <x:v>3</x:v>
      </x:c>
      <x:c r="T312" t="str">
        <x:v>Black &amp; White Emboar 20/114 holo rare. Current TCGplayer market about $2.9–3.2 NM.</x:v>
      </x:c>
      <x:c r="U312" t="n">
        <x:v>927</x:v>
      </x:c>
      <x:c r="V312" t="str">
        <x:v>Current chat continuation / researched 2026-08-15</x:v>
      </x:c>
      <x:c r="W312" t="str">
        <x:v>https://www.tcgplayer.com/categories/trading-and-collectible-card-games/pokemon/price-guides/black-and-white</x:v>
      </x:c>
    </x:row>
    <x:row r="313">
      <x:c r="A313" t="n">
        <x:v>418</x:v>
      </x:c>
      <x:c r="B313" t="str">
        <x:v>Fire / Rares</x:v>
      </x:c>
      <x:c r="C313" t="str">
        <x:v>Emboar</x:v>
      </x:c>
      <x:c r="D313" t="str">
        <x:v>20/114</x:v>
      </x:c>
      <x:c r="E313" t="str">
        <x:v>Black &amp; White</x:v>
      </x:c>
      <x:c r="F313" t="n">
        <x:v>2011</x:v>
      </x:c>
      <x:c r="G313" t="str">
        <x:v>Holofoil</x:v>
      </x:c>
      <x:c r="H313" t="str">
        <x:v>2 of 2</x:v>
      </x:c>
      <x:c r="I313" t="n">
        <x:v>2.5</x:v>
      </x:c>
      <x:c r="J313" t="n">
        <x:v>3.5</x:v>
      </x:c>
      <x:c r="K313" t="n">
        <x:v>3</x:v>
      </x:c>
      <x:c r="L313" t="str">
        <x:v>$1–5</x:v>
      </x:c>
      <x:c r="M313" t="str">
        <x:v>Yes</x:v>
      </x:c>
      <x:c r="N313" t="str">
        <x:v>No</x:v>
      </x:c>
      <x:c r="O313" t="str">
        <x:v>Yes</x:v>
      </x:c>
      <x:c r="P313" t="str">
        <x:v>Clean/NM benchmark unless noted</x:v>
      </x:c>
      <x:c r="Q313" t="n">
        <x:v>2.5</x:v>
      </x:c>
      <x:c r="R313" t="n">
        <x:v>3.5</x:v>
      </x:c>
      <x:c r="S313" t="n">
        <x:v>3</x:v>
      </x:c>
      <x:c r="T313" t="str">
        <x:v>Black &amp; White Emboar 20/114 holo rare. Current TCGplayer market about $2.9–3.2 NM.</x:v>
      </x:c>
      <x:c r="U313" t="n">
        <x:v>927</x:v>
      </x:c>
      <x:c r="V313" t="str">
        <x:v>Current chat continuation / researched 2026-08-15</x:v>
      </x:c>
      <x:c r="W313" t="str">
        <x:v>https://www.tcgplayer.com/categories/trading-and-collectible-card-games/pokemon/price-guides/black-and-white</x:v>
      </x:c>
    </x:row>
    <x:row r="314">
      <x:c r="A314" t="n">
        <x:v>419</x:v>
      </x:c>
      <x:c r="B314" t="str">
        <x:v>Fire / Rares</x:v>
      </x:c>
      <x:c r="C314" t="str">
        <x:v>Emboar</x:v>
      </x:c>
      <x:c r="D314" t="str">
        <x:v>19/114</x:v>
      </x:c>
      <x:c r="E314" t="str">
        <x:v>Black &amp; White</x:v>
      </x:c>
      <x:c r="F314" t="n">
        <x:v>2011</x:v>
      </x:c>
      <x:c r="G314" t="str">
        <x:v>Reverse Holo</x:v>
      </x:c>
      <x:c r="H314" t="str">
        <x:v>1 of 1</x:v>
      </x:c>
      <x:c r="I314" t="n">
        <x:v>2.75</x:v>
      </x:c>
      <x:c r="J314" t="n">
        <x:v>3.75</x:v>
      </x:c>
      <x:c r="K314" t="n">
        <x:v>3.25</x:v>
      </x:c>
      <x:c r="L314" t="str">
        <x:v>$1–5</x:v>
      </x:c>
      <x:c r="M314" t="str">
        <x:v>Yes</x:v>
      </x:c>
      <x:c r="N314" t="str">
        <x:v>No</x:v>
      </x:c>
      <x:c r="O314" t="str">
        <x:v>Yes</x:v>
      </x:c>
      <x:c r="P314" t="str">
        <x:v>Clean/NM benchmark unless noted</x:v>
      </x:c>
      <x:c r="Q314" t="n">
        <x:v>2.75</x:v>
      </x:c>
      <x:c r="R314" t="n">
        <x:v>3.75</x:v>
      </x:c>
      <x:c r="S314" t="n">
        <x:v>3.25</x:v>
      </x:c>
      <x:c r="T314" t="str">
        <x:v>Black &amp; White Emboar 19/114 reverse holo. Current TCGplayer NM reverse-holo market about $3.26.</x:v>
      </x:c>
      <x:c r="U314" t="n">
        <x:v>927</x:v>
      </x:c>
      <x:c r="V314" t="str">
        <x:v>Current chat continuation / researched 2026-08-15</x:v>
      </x:c>
      <x:c r="W314" t="str">
        <x:v>https://www.tcgplayer.com/categories/trading-and-collectible-card-games/pokemon/price-guides/black-and-white</x:v>
      </x:c>
    </x:row>
    <x:row r="315">
      <x:c r="A315" t="n">
        <x:v>420</x:v>
      </x:c>
      <x:c r="B315" t="str">
        <x:v>Fire / Commons</x:v>
      </x:c>
      <x:c r="C315" t="str">
        <x:v>Litten</x:v>
      </x:c>
      <x:c r="D315" t="str">
        <x:v>SM02</x:v>
      </x:c>
      <x:c r="E315" t="str">
        <x:v>SM Black Star Promos</x:v>
      </x:c>
      <x:c r="F315" t="n">
        <x:v>2016</x:v>
      </x:c>
      <x:c r="G315" t="str">
        <x:v>Promo Holofoil</x:v>
      </x:c>
      <x:c r="H315" t="str">
        <x:v>1 of 1</x:v>
      </x:c>
      <x:c r="I315" t="n">
        <x:v>1.5</x:v>
      </x:c>
      <x:c r="J315" t="n">
        <x:v>3.5</x:v>
      </x:c>
      <x:c r="K315" t="n">
        <x:v>2.5</x:v>
      </x:c>
      <x:c r="L315" t="str">
        <x:v>$1–5</x:v>
      </x:c>
      <x:c r="M315" t="str">
        <x:v>Yes</x:v>
      </x:c>
      <x:c r="N315" t="str">
        <x:v>No</x:v>
      </x:c>
      <x:c r="O315" t="str">
        <x:v>Yes</x:v>
      </x:c>
      <x:c r="P315" t="str">
        <x:v>Clean/NM benchmark unless noted</x:v>
      </x:c>
      <x:c r="Q315" t="n">
        <x:v>1.5</x:v>
      </x:c>
      <x:c r="R315" t="n">
        <x:v>3.5</x:v>
      </x:c>
      <x:c r="S315" t="n">
        <x:v>2.5</x:v>
      </x:c>
      <x:c r="T315" t="str">
        <x:v>Litten SM02 Sun &amp; Moon Black Star Promo holo. TCGplayer market about $1.74; recent raw sales commonly around $2–4. Separate General Mills Sequin Holo SM02 variant is worth somewhat more.</x:v>
      </x:c>
      <x:c r="U315" t="n">
        <x:v>928</x:v>
      </x:c>
      <x:c r="V315" t="str">
        <x:v>Current chat continuation / researched 2026-08-15</x:v>
      </x:c>
      <x:c r="W315" t="str">
        <x:v>https://www.tcgplayer.com/search/pokemon/product?page=1&amp;productLineName=pokemon&amp;q=Litten+-+SM02&amp;setName=product&amp;view=grid</x:v>
      </x:c>
    </x:row>
    <x:row r="316">
      <x:c r="A316" t="n">
        <x:v>421</x:v>
      </x:c>
      <x:c r="B316" t="str">
        <x:v>Fighting / Commons</x:v>
      </x:c>
      <x:c r="C316" t="str">
        <x:v>Kabuto</x:v>
      </x:c>
      <x:c r="D316" t="str">
        <x:v>50/62</x:v>
      </x:c>
      <x:c r="E316" t="str">
        <x:v>Fossil</x:v>
      </x:c>
      <x:c r="F316" t="n">
        <x:v>1999</x:v>
      </x:c>
      <x:c r="G316" t="str">
        <x:v>Regular (Unlimited assumed)</x:v>
      </x:c>
      <x:c r="H316" t="str">
        <x:v>1 of 1</x:v>
      </x:c>
      <x:c r="I316" t="n">
        <x:v>1</x:v>
      </x:c>
      <x:c r="J316" t="n">
        <x:v>2.5</x:v>
      </x:c>
      <x:c r="K316" t="n">
        <x:v>1.75</x:v>
      </x:c>
      <x:c r="L316" t="str">
        <x:v>$1–5</x:v>
      </x:c>
      <x:c r="M316" t="str">
        <x:v>Yes</x:v>
      </x:c>
      <x:c r="N316" t="str">
        <x:v>No</x:v>
      </x:c>
      <x:c r="O316" t="str">
        <x:v>Yes</x:v>
      </x:c>
      <x:c r="P316" t="str">
        <x:v>Clean/NM benchmark unless noted</x:v>
      </x:c>
      <x:c r="Q316" t="n">
        <x:v>1</x:v>
      </x:c>
      <x:c r="R316" t="n">
        <x:v>2.5</x:v>
      </x:c>
      <x:c r="S316" t="n">
        <x:v>1.75</x:v>
      </x:c>
      <x:c r="T316" t="str">
        <x:v>Fossil Kabuto 50/62, Unlimited assumed. TCGplayer search market is currently distorted upward, but the Fossil NM price guide and recent sold comps support roughly $1–2 raw. Reprice if 1st Edition.</x:v>
      </x:c>
      <x:c r="U316" t="n">
        <x:v>929</x:v>
      </x:c>
      <x:c r="V316" t="str">
        <x:v>Current chat continuation / researched 2026-08-15</x:v>
      </x:c>
      <x:c r="W316" t="str">
        <x:v>https://www.tcgplayer.com/categories/trading-and-collectible-card-games/pokemon/price-guides/fossil</x:v>
      </x:c>
    </x:row>
    <x:row r="317">
      <x:c r="A317" t="n">
        <x:v>423</x:v>
      </x:c>
      <x:c r="B317" t="str">
        <x:v>Fighting / Commons</x:v>
      </x:c>
      <x:c r="C317" t="str">
        <x:v>Chikorita δ</x:v>
      </x:c>
      <x:c r="D317" t="str">
        <x:v>44/101</x:v>
      </x:c>
      <x:c r="E317" t="str">
        <x:v>EX Dragon Frontiers</x:v>
      </x:c>
      <x:c r="F317" t="n">
        <x:v>2006</x:v>
      </x:c>
      <x:c r="G317" t="str">
        <x:v>Stamped Reverse Holo (Delta Species — Fighting type)</x:v>
      </x:c>
      <x:c r="H317" t="str">
        <x:v>1 of 2</x:v>
      </x:c>
      <x:c r="I317" t="n">
        <x:v>34</x:v>
      </x:c>
      <x:c r="J317" t="n">
        <x:v>44</x:v>
      </x:c>
      <x:c r="K317" t="n">
        <x:v>39</x:v>
      </x:c>
      <x:c r="L317" t="str">
        <x:v>$20+</x:v>
      </x:c>
      <x:c r="M317" t="str">
        <x:v>Yes</x:v>
      </x:c>
      <x:c r="N317" t="str">
        <x:v>Yes</x:v>
      </x:c>
      <x:c r="O317" t="str">
        <x:v>Yes</x:v>
      </x:c>
      <x:c r="P317" t="str">
        <x:v>Clean/NM benchmark unless noted</x:v>
      </x:c>
      <x:c r="Q317" t="n">
        <x:v>34</x:v>
      </x:c>
      <x:c r="R317" t="n">
        <x:v>44</x:v>
      </x:c>
      <x:c r="S317" t="n">
        <x:v>39</x:v>
      </x:c>
      <x:c r="T317" t="str">
        <x:v>EX Dragon Frontiers Chikorita δ 44/101 stamped reverse holo; Fighting-type Delta Species. TCGplayer NM reverse-holo market about $38.97.</x:v>
      </x:c>
      <x:c r="U317" t="n">
        <x:v>929</x:v>
      </x:c>
      <x:c r="V317" t="str">
        <x:v>Current chat correction / researched 2026-08-15</x:v>
      </x:c>
      <x:c r="W317" t="str">
        <x:v>https://www.tcgplayer.com/product/84281/pokemon-ex-dragon-frontiers-chikorita-delta-species</x:v>
      </x:c>
    </x:row>
    <x:row r="318">
      <x:c r="A318" t="n">
        <x:v>424</x:v>
      </x:c>
      <x:c r="B318" t="str">
        <x:v>Fighting / Commons</x:v>
      </x:c>
      <x:c r="C318" t="str">
        <x:v>Pupitar</x:v>
      </x:c>
      <x:c r="D318" t="str">
        <x:v>70/115</x:v>
      </x:c>
      <x:c r="E318" t="str">
        <x:v>EX Unseen Forces</x:v>
      </x:c>
      <x:c r="F318" t="n">
        <x:v>2005</x:v>
      </x:c>
      <x:c r="G318" t="str">
        <x:v>Stamped Reverse Holo</x:v>
      </x:c>
      <x:c r="H318" t="str">
        <x:v>1 of 1</x:v>
      </x:c>
      <x:c r="I318" t="n">
        <x:v>10</x:v>
      </x:c>
      <x:c r="J318" t="n">
        <x:v>15</x:v>
      </x:c>
      <x:c r="K318" t="n">
        <x:v>12.5</x:v>
      </x:c>
      <x:c r="L318" t="str">
        <x:v>$5–20</x:v>
      </x:c>
      <x:c r="M318" t="str">
        <x:v>Yes</x:v>
      </x:c>
      <x:c r="N318" t="str">
        <x:v>Yes</x:v>
      </x:c>
      <x:c r="O318" t="str">
        <x:v>Yes</x:v>
      </x:c>
      <x:c r="P318" t="str">
        <x:v>Clean/NM benchmark unless noted</x:v>
      </x:c>
      <x:c r="Q318" t="n">
        <x:v>10</x:v>
      </x:c>
      <x:c r="R318" t="n">
        <x:v>15</x:v>
      </x:c>
      <x:c r="S318" t="n">
        <x:v>12.5</x:v>
      </x:c>
      <x:c r="T318" t="str">
        <x:v>EX Unseen Forces Pupitar 70/115 stamped reverse holo. TCGplayer NM reverse-holo market about $12.54.</x:v>
      </x:c>
      <x:c r="U318" t="n">
        <x:v>929</x:v>
      </x:c>
      <x:c r="V318" t="str">
        <x:v>Current chat correction / researched 2026-08-15</x:v>
      </x:c>
      <x:c r="W318" t="str">
        <x:v>https://www.tcgplayer.com/categories/trading-and-collectible-card-games/pokemon/price-guides/ex-unseen-forces</x:v>
      </x:c>
    </x:row>
    <x:row r="319">
      <x:c r="A319" t="n">
        <x:v>425</x:v>
      </x:c>
      <x:c r="B319" t="str">
        <x:v>Fighting / Commons</x:v>
      </x:c>
      <x:c r="C319" t="str">
        <x:v>Brock's Geodude</x:v>
      </x:c>
      <x:c r="D319" t="str">
        <x:v>68/132</x:v>
      </x:c>
      <x:c r="E319" t="str">
        <x:v>Gym Challenge</x:v>
      </x:c>
      <x:c r="F319" t="n">
        <x:v>2000</x:v>
      </x:c>
      <x:c r="G319" t="str">
        <x:v>Regular (Unlimited assumed)</x:v>
      </x:c>
      <x:c r="H319" t="str">
        <x:v>1 of 3</x:v>
      </x:c>
      <x:c r="I319" t="n">
        <x:v>1.5</x:v>
      </x:c>
      <x:c r="J319" t="n">
        <x:v>3.25</x:v>
      </x:c>
      <x:c r="K319" t="n">
        <x:v>2.375</x:v>
      </x:c>
      <x:c r="L319" t="str">
        <x:v>$1–5</x:v>
      </x:c>
      <x:c r="M319" t="str">
        <x:v>Yes</x:v>
      </x:c>
      <x:c r="N319" t="str">
        <x:v>No</x:v>
      </x:c>
      <x:c r="O319" t="str">
        <x:v>Yes</x:v>
      </x:c>
      <x:c r="P319" t="str">
        <x:v>Clean/NM benchmark unless noted</x:v>
      </x:c>
      <x:c r="Q319" t="n">
        <x:v>1.5</x:v>
      </x:c>
      <x:c r="R319" t="n">
        <x:v>3.25</x:v>
      </x:c>
      <x:c r="S319" t="n">
        <x:v>2.375</x:v>
      </x:c>
      <x:c r="T319" t="str">
        <x:v>Gym Challenge Brock's Geodude 68/132, Unlimited assumed. TCGplayer NM price guide is about $1.56 while current marketplace market is around $3.1. Reprice if 1st Edition.</x:v>
      </x:c>
      <x:c r="U319" t="n">
        <x:v>930</x:v>
      </x:c>
      <x:c r="V319" t="str">
        <x:v>Current chat continuation / researched 2026-08-15</x:v>
      </x:c>
      <x:c r="W319" t="str">
        <x:v>https://www.tcgplayer.com/categories/trading-collectible-card-games/pokemon/price-guides/gym-challenge</x:v>
      </x:c>
    </x:row>
    <x:row r="320">
      <x:c r="A320" t="n">
        <x:v>426</x:v>
      </x:c>
      <x:c r="B320" t="str">
        <x:v>Fighting / Commons</x:v>
      </x:c>
      <x:c r="C320" t="str">
        <x:v>Brock's Geodude</x:v>
      </x:c>
      <x:c r="D320" t="str">
        <x:v>68/132</x:v>
      </x:c>
      <x:c r="E320" t="str">
        <x:v>Gym Challenge</x:v>
      </x:c>
      <x:c r="F320" t="n">
        <x:v>2000</x:v>
      </x:c>
      <x:c r="G320" t="str">
        <x:v>Regular (Unlimited assumed)</x:v>
      </x:c>
      <x:c r="H320" t="str">
        <x:v>2 of 3</x:v>
      </x:c>
      <x:c r="I320" t="n">
        <x:v>1.5</x:v>
      </x:c>
      <x:c r="J320" t="n">
        <x:v>3.25</x:v>
      </x:c>
      <x:c r="K320" t="n">
        <x:v>2.375</x:v>
      </x:c>
      <x:c r="L320" t="str">
        <x:v>$1–5</x:v>
      </x:c>
      <x:c r="M320" t="str">
        <x:v>Yes</x:v>
      </x:c>
      <x:c r="N320" t="str">
        <x:v>No</x:v>
      </x:c>
      <x:c r="O320" t="str">
        <x:v>Yes</x:v>
      </x:c>
      <x:c r="P320" t="str">
        <x:v>Clean/NM benchmark unless noted</x:v>
      </x:c>
      <x:c r="Q320" t="n">
        <x:v>1.5</x:v>
      </x:c>
      <x:c r="R320" t="n">
        <x:v>3.25</x:v>
      </x:c>
      <x:c r="S320" t="n">
        <x:v>2.375</x:v>
      </x:c>
      <x:c r="T320" t="str">
        <x:v>Gym Challenge Brock's Geodude 68/132, Unlimited assumed. TCGplayer NM price guide is about $1.56 while current marketplace market is around $3.1. Reprice if 1st Edition.</x:v>
      </x:c>
      <x:c r="U320" t="n">
        <x:v>930</x:v>
      </x:c>
      <x:c r="V320" t="str">
        <x:v>Current chat continuation / researched 2026-08-15</x:v>
      </x:c>
      <x:c r="W320" t="str">
        <x:v>https://www.tcgplayer.com/categories/trading-collectible-card-games/pokemon/price-guides/gym-challenge</x:v>
      </x:c>
    </x:row>
    <x:row r="321">
      <x:c r="A321" t="n">
        <x:v>427</x:v>
      </x:c>
      <x:c r="B321" t="str">
        <x:v>Fighting / Commons</x:v>
      </x:c>
      <x:c r="C321" t="str">
        <x:v>Brock's Geodude</x:v>
      </x:c>
      <x:c r="D321" t="str">
        <x:v>68/132</x:v>
      </x:c>
      <x:c r="E321" t="str">
        <x:v>Gym Challenge</x:v>
      </x:c>
      <x:c r="F321" t="n">
        <x:v>2000</x:v>
      </x:c>
      <x:c r="G321" t="str">
        <x:v>Regular (Unlimited assumed)</x:v>
      </x:c>
      <x:c r="H321" t="str">
        <x:v>3 of 3</x:v>
      </x:c>
      <x:c r="I321" t="n">
        <x:v>1.5</x:v>
      </x:c>
      <x:c r="J321" t="n">
        <x:v>3.25</x:v>
      </x:c>
      <x:c r="K321" t="n">
        <x:v>2.375</x:v>
      </x:c>
      <x:c r="L321" t="str">
        <x:v>$1–5</x:v>
      </x:c>
      <x:c r="M321" t="str">
        <x:v>Yes</x:v>
      </x:c>
      <x:c r="N321" t="str">
        <x:v>No</x:v>
      </x:c>
      <x:c r="O321" t="str">
        <x:v>Yes</x:v>
      </x:c>
      <x:c r="P321" t="str">
        <x:v>Clean/NM benchmark unless noted</x:v>
      </x:c>
      <x:c r="Q321" t="n">
        <x:v>1.5</x:v>
      </x:c>
      <x:c r="R321" t="n">
        <x:v>3.25</x:v>
      </x:c>
      <x:c r="S321" t="n">
        <x:v>2.375</x:v>
      </x:c>
      <x:c r="T321" t="str">
        <x:v>Gym Challenge Brock's Geodude 68/132, Unlimited assumed. TCGplayer NM price guide is about $1.56 while current marketplace market is around $3.1. Reprice if 1st Edition.</x:v>
      </x:c>
      <x:c r="U321" t="n">
        <x:v>930</x:v>
      </x:c>
      <x:c r="V321" t="str">
        <x:v>Current chat continuation / researched 2026-08-15</x:v>
      </x:c>
      <x:c r="W321" t="str">
        <x:v>https://www.tcgplayer.com/categories/trading-collectible-card-games/pokemon/price-guides/gym-challenge</x:v>
      </x:c>
    </x:row>
    <x:row r="322">
      <x:c r="A322" t="n">
        <x:v>428</x:v>
      </x:c>
      <x:c r="B322" t="str">
        <x:v>Fighting / Commons</x:v>
      </x:c>
      <x:c r="C322" t="str">
        <x:v>Brock's Geodude</x:v>
      </x:c>
      <x:c r="D322" t="str">
        <x:v>66/132</x:v>
      </x:c>
      <x:c r="E322" t="str">
        <x:v>Gym Heroes</x:v>
      </x:c>
      <x:c r="F322" t="n">
        <x:v>2000</x:v>
      </x:c>
      <x:c r="G322" t="str">
        <x:v>Regular (Unlimited assumed)</x:v>
      </x:c>
      <x:c r="H322" t="str">
        <x:v>1 of 3</x:v>
      </x:c>
      <x:c r="I322" t="n">
        <x:v>0.85</x:v>
      </x:c>
      <x:c r="J322" t="n">
        <x:v>3</x:v>
      </x:c>
      <x:c r="K322" t="n">
        <x:v>1.925</x:v>
      </x:c>
      <x:c r="L322" t="str">
        <x:v>$1–5</x:v>
      </x:c>
      <x:c r="M322" t="str">
        <x:v>Yes</x:v>
      </x:c>
      <x:c r="N322" t="str">
        <x:v>No</x:v>
      </x:c>
      <x:c r="O322" t="str">
        <x:v>Yes</x:v>
      </x:c>
      <x:c r="P322" t="str">
        <x:v>Clean/NM benchmark unless noted</x:v>
      </x:c>
      <x:c r="Q322" t="n">
        <x:v>0.85</x:v>
      </x:c>
      <x:c r="R322" t="n">
        <x:v>3</x:v>
      </x:c>
      <x:c r="S322" t="n">
        <x:v>1.925</x:v>
      </x:c>
      <x:c r="T322" t="str">
        <x:v>Gym Heroes Brock's Geodude 66/132, Unlimited assumed. TCGplayer NM guide is about $0.85 but current marketplace market is around $3.0; treated as about-$1+ for sorting. Reprice if 1st Edition.</x:v>
      </x:c>
      <x:c r="U322" t="n">
        <x:v>930</x:v>
      </x:c>
      <x:c r="V322" t="str">
        <x:v>Current chat continuation / researched 2026-08-15</x:v>
      </x:c>
      <x:c r="W322" t="str">
        <x:v>https://www.tcgplayer.com/categories/trading-and-collectible-card-games/pokemon/price-guides/gym-heroes</x:v>
      </x:c>
    </x:row>
    <x:row r="323">
      <x:c r="A323" t="n">
        <x:v>429</x:v>
      </x:c>
      <x:c r="B323" t="str">
        <x:v>Fighting / Commons</x:v>
      </x:c>
      <x:c r="C323" t="str">
        <x:v>Brock's Geodude</x:v>
      </x:c>
      <x:c r="D323" t="str">
        <x:v>66/132</x:v>
      </x:c>
      <x:c r="E323" t="str">
        <x:v>Gym Heroes</x:v>
      </x:c>
      <x:c r="F323" t="n">
        <x:v>2000</x:v>
      </x:c>
      <x:c r="G323" t="str">
        <x:v>Regular (Unlimited assumed)</x:v>
      </x:c>
      <x:c r="H323" t="str">
        <x:v>2 of 3</x:v>
      </x:c>
      <x:c r="I323" t="n">
        <x:v>0.85</x:v>
      </x:c>
      <x:c r="J323" t="n">
        <x:v>3</x:v>
      </x:c>
      <x:c r="K323" t="n">
        <x:v>1.925</x:v>
      </x:c>
      <x:c r="L323" t="str">
        <x:v>$1–5</x:v>
      </x:c>
      <x:c r="M323" t="str">
        <x:v>Yes</x:v>
      </x:c>
      <x:c r="N323" t="str">
        <x:v>No</x:v>
      </x:c>
      <x:c r="O323" t="str">
        <x:v>Yes</x:v>
      </x:c>
      <x:c r="P323" t="str">
        <x:v>Clean/NM benchmark unless noted</x:v>
      </x:c>
      <x:c r="Q323" t="n">
        <x:v>0.85</x:v>
      </x:c>
      <x:c r="R323" t="n">
        <x:v>3</x:v>
      </x:c>
      <x:c r="S323" t="n">
        <x:v>1.925</x:v>
      </x:c>
      <x:c r="T323" t="str">
        <x:v>Gym Heroes Brock's Geodude 66/132, Unlimited assumed. TCGplayer NM guide is about $0.85 but current marketplace market is around $3.0; treated as about-$1+ for sorting. Reprice if 1st Edition.</x:v>
      </x:c>
      <x:c r="U323" t="n">
        <x:v>930</x:v>
      </x:c>
      <x:c r="V323" t="str">
        <x:v>Current chat continuation / researched 2026-08-15</x:v>
      </x:c>
      <x:c r="W323" t="str">
        <x:v>https://www.tcgplayer.com/categories/trading-and-collectible-card-games/pokemon/price-guides/gym-heroes</x:v>
      </x:c>
    </x:row>
    <x:row r="324">
      <x:c r="A324" t="n">
        <x:v>430</x:v>
      </x:c>
      <x:c r="B324" t="str">
        <x:v>Fighting / Commons</x:v>
      </x:c>
      <x:c r="C324" t="str">
        <x:v>Brock's Geodude</x:v>
      </x:c>
      <x:c r="D324" t="str">
        <x:v>66/132</x:v>
      </x:c>
      <x:c r="E324" t="str">
        <x:v>Gym Heroes</x:v>
      </x:c>
      <x:c r="F324" t="n">
        <x:v>2000</x:v>
      </x:c>
      <x:c r="G324" t="str">
        <x:v>Regular (Unlimited assumed)</x:v>
      </x:c>
      <x:c r="H324" t="str">
        <x:v>3 of 3</x:v>
      </x:c>
      <x:c r="I324" t="n">
        <x:v>0.85</x:v>
      </x:c>
      <x:c r="J324" t="n">
        <x:v>3</x:v>
      </x:c>
      <x:c r="K324" t="n">
        <x:v>1.925</x:v>
      </x:c>
      <x:c r="L324" t="str">
        <x:v>$1–5</x:v>
      </x:c>
      <x:c r="M324" t="str">
        <x:v>Yes</x:v>
      </x:c>
      <x:c r="N324" t="str">
        <x:v>No</x:v>
      </x:c>
      <x:c r="O324" t="str">
        <x:v>Yes</x:v>
      </x:c>
      <x:c r="P324" t="str">
        <x:v>Clean/NM benchmark unless noted</x:v>
      </x:c>
      <x:c r="Q324" t="n">
        <x:v>0.85</x:v>
      </x:c>
      <x:c r="R324" t="n">
        <x:v>3</x:v>
      </x:c>
      <x:c r="S324" t="n">
        <x:v>1.925</x:v>
      </x:c>
      <x:c r="T324" t="str">
        <x:v>Gym Heroes Brock's Geodude 66/132, Unlimited assumed. TCGplayer NM guide is about $0.85 but current marketplace market is around $3.0; treated as about-$1+ for sorting. Reprice if 1st Edition.</x:v>
      </x:c>
      <x:c r="U324" t="n">
        <x:v>930</x:v>
      </x:c>
      <x:c r="V324" t="str">
        <x:v>Current chat continuation / researched 2026-08-15</x:v>
      </x:c>
      <x:c r="W324" t="str">
        <x:v>https://www.tcgplayer.com/categories/trading-and-collectible-card-games/pokemon/price-guides/gym-heroes</x:v>
      </x:c>
    </x:row>
    <x:row r="325">
      <x:c r="A325" t="n">
        <x:v>431</x:v>
      </x:c>
      <x:c r="B325" t="str">
        <x:v>Fighting / Commons</x:v>
      </x:c>
      <x:c r="C325" t="str">
        <x:v>Brock's Mankey</x:v>
      </x:c>
      <x:c r="D325" t="str">
        <x:v>68/132</x:v>
      </x:c>
      <x:c r="E325" t="str">
        <x:v>Gym Heroes</x:v>
      </x:c>
      <x:c r="F325" t="n">
        <x:v>2000</x:v>
      </x:c>
      <x:c r="G325" t="str">
        <x:v>Regular (Unlimited assumed)</x:v>
      </x:c>
      <x:c r="H325" t="str">
        <x:v>1 of 1</x:v>
      </x:c>
      <x:c r="I325" t="n">
        <x:v>2.5</x:v>
      </x:c>
      <x:c r="J325" t="n">
        <x:v>4.25</x:v>
      </x:c>
      <x:c r="K325" t="n">
        <x:v>3.375</x:v>
      </x:c>
      <x:c r="L325" t="str">
        <x:v>$1–5</x:v>
      </x:c>
      <x:c r="M325" t="str">
        <x:v>Yes</x:v>
      </x:c>
      <x:c r="N325" t="str">
        <x:v>No</x:v>
      </x:c>
      <x:c r="O325" t="str">
        <x:v>Yes</x:v>
      </x:c>
      <x:c r="P325" t="str">
        <x:v>Clean/NM benchmark unless noted</x:v>
      </x:c>
      <x:c r="Q325" t="n">
        <x:v>2.5</x:v>
      </x:c>
      <x:c r="R325" t="n">
        <x:v>4.25</x:v>
      </x:c>
      <x:c r="S325" t="n">
        <x:v>3.375</x:v>
      </x:c>
      <x:c r="T325" t="str">
        <x:v>Gym Heroes Brock's Mankey 68/132, Unlimited assumed. Current TCGplayer marketplace market is about $4.0. Reprice if 1st Edition.</x:v>
      </x:c>
      <x:c r="U325" t="n">
        <x:v>930</x:v>
      </x:c>
      <x:c r="V325" t="str">
        <x:v>Current chat continuation / researched 2026-08-15</x:v>
      </x:c>
      <x:c r="W325" t="str">
        <x:v>https://www.tcgplayer.com/search/pokemon/product?q=Brock%27s+Mankey+Gym+Heroes</x:v>
      </x:c>
    </x:row>
    <x:row r="326">
      <x:c r="A326" t="n">
        <x:v>432</x:v>
      </x:c>
      <x:c r="B326" t="str">
        <x:v>Fighting / Commons</x:v>
      </x:c>
      <x:c r="C326" t="str">
        <x:v>Brock's Sandshrew</x:v>
      </x:c>
      <x:c r="D326" t="str">
        <x:v>71/132</x:v>
      </x:c>
      <x:c r="E326" t="str">
        <x:v>Gym Heroes</x:v>
      </x:c>
      <x:c r="F326" t="n">
        <x:v>2000</x:v>
      </x:c>
      <x:c r="G326" t="str">
        <x:v>Regular (Unlimited assumed)</x:v>
      </x:c>
      <x:c r="H326" t="str">
        <x:v>1 of 2</x:v>
      </x:c>
      <x:c r="I326" t="n">
        <x:v>2.25</x:v>
      </x:c>
      <x:c r="J326" t="n">
        <x:v>4</x:v>
      </x:c>
      <x:c r="K326" t="n">
        <x:v>3.125</x:v>
      </x:c>
      <x:c r="L326" t="str">
        <x:v>$1–5</x:v>
      </x:c>
      <x:c r="M326" t="str">
        <x:v>Yes</x:v>
      </x:c>
      <x:c r="N326" t="str">
        <x:v>No</x:v>
      </x:c>
      <x:c r="O326" t="str">
        <x:v>Yes</x:v>
      </x:c>
      <x:c r="P326" t="str">
        <x:v>Clean/NM benchmark unless noted</x:v>
      </x:c>
      <x:c r="Q326" t="n">
        <x:v>2.25</x:v>
      </x:c>
      <x:c r="R326" t="n">
        <x:v>4</x:v>
      </x:c>
      <x:c r="S326" t="n">
        <x:v>3.125</x:v>
      </x:c>
      <x:c r="T326" t="str">
        <x:v>Gym Heroes Brock's Sandshrew 71/132, Unlimited assumed. Current TCGplayer marketplace market is about $3.7. Reprice if 1st Edition.</x:v>
      </x:c>
      <x:c r="U326" t="n">
        <x:v>930</x:v>
      </x:c>
      <x:c r="V326" t="str">
        <x:v>Current chat continuation / researched 2026-08-15</x:v>
      </x:c>
      <x:c r="W326" t="str">
        <x:v>https://www.tcgplayer.com/search/pokemon/product?q=Brock%27s+Sandshrew+Gym+Heroes</x:v>
      </x:c>
    </x:row>
    <x:row r="327">
      <x:c r="A327" t="n">
        <x:v>433</x:v>
      </x:c>
      <x:c r="B327" t="str">
        <x:v>Fighting / Commons</x:v>
      </x:c>
      <x:c r="C327" t="str">
        <x:v>Brock's Sandshrew</x:v>
      </x:c>
      <x:c r="D327" t="str">
        <x:v>71/132</x:v>
      </x:c>
      <x:c r="E327" t="str">
        <x:v>Gym Heroes</x:v>
      </x:c>
      <x:c r="F327" t="n">
        <x:v>2000</x:v>
      </x:c>
      <x:c r="G327" t="str">
        <x:v>Regular (Unlimited assumed)</x:v>
      </x:c>
      <x:c r="H327" t="str">
        <x:v>2 of 2</x:v>
      </x:c>
      <x:c r="I327" t="n">
        <x:v>2.25</x:v>
      </x:c>
      <x:c r="J327" t="n">
        <x:v>4</x:v>
      </x:c>
      <x:c r="K327" t="n">
        <x:v>3.125</x:v>
      </x:c>
      <x:c r="L327" t="str">
        <x:v>$1–5</x:v>
      </x:c>
      <x:c r="M327" t="str">
        <x:v>Yes</x:v>
      </x:c>
      <x:c r="N327" t="str">
        <x:v>No</x:v>
      </x:c>
      <x:c r="O327" t="str">
        <x:v>Yes</x:v>
      </x:c>
      <x:c r="P327" t="str">
        <x:v>Clean/NM benchmark unless noted</x:v>
      </x:c>
      <x:c r="Q327" t="n">
        <x:v>2.25</x:v>
      </x:c>
      <x:c r="R327" t="n">
        <x:v>4</x:v>
      </x:c>
      <x:c r="S327" t="n">
        <x:v>3.125</x:v>
      </x:c>
      <x:c r="T327" t="str">
        <x:v>Gym Heroes Brock's Sandshrew 71/132, Unlimited assumed. Current TCGplayer marketplace market is about $3.7. Reprice if 1st Edition.</x:v>
      </x:c>
      <x:c r="U327" t="n">
        <x:v>930</x:v>
      </x:c>
      <x:c r="V327" t="str">
        <x:v>Current chat continuation / researched 2026-08-15</x:v>
      </x:c>
      <x:c r="W327" t="str">
        <x:v>https://www.tcgplayer.com/search/pokemon/product?q=Brock%27s+Sandshrew+Gym+Heroes</x:v>
      </x:c>
    </x:row>
    <x:row r="328">
      <x:c r="A328" t="n">
        <x:v>434</x:v>
      </x:c>
      <x:c r="B328" t="str">
        <x:v>Fighting / Commons</x:v>
      </x:c>
      <x:c r="C328" t="str">
        <x:v>Brock's Mankey</x:v>
      </x:c>
      <x:c r="D328" t="str">
        <x:v>67/132</x:v>
      </x:c>
      <x:c r="E328" t="str">
        <x:v>Gym Heroes</x:v>
      </x:c>
      <x:c r="F328" t="n">
        <x:v>2000</x:v>
      </x:c>
      <x:c r="G328" t="str">
        <x:v>Regular (Unlimited assumed)</x:v>
      </x:c>
      <x:c r="H328" t="str">
        <x:v>1 of 1</x:v>
      </x:c>
      <x:c r="I328" t="n">
        <x:v>1.75</x:v>
      </x:c>
      <x:c r="J328" t="n">
        <x:v>3.25</x:v>
      </x:c>
      <x:c r="K328" t="n">
        <x:v>2.5</x:v>
      </x:c>
      <x:c r="L328" t="str">
        <x:v>$1–5</x:v>
      </x:c>
      <x:c r="M328" t="str">
        <x:v>Yes</x:v>
      </x:c>
      <x:c r="N328" t="str">
        <x:v>No</x:v>
      </x:c>
      <x:c r="O328" t="str">
        <x:v>Yes</x:v>
      </x:c>
      <x:c r="P328" t="str">
        <x:v>Clean/NM benchmark unless noted</x:v>
      </x:c>
      <x:c r="Q328" t="n">
        <x:v>1.75</x:v>
      </x:c>
      <x:c r="R328" t="n">
        <x:v>3.25</x:v>
      </x:c>
      <x:c r="S328" t="n">
        <x:v>2.5</x:v>
      </x:c>
      <x:c r="T328" t="str">
        <x:v>Gym Heroes Brock's Mankey 67/132, Unlimited assumed. Current TCGplayer market is about $2.5–2.7. Reprice if 1st Edition.</x:v>
      </x:c>
      <x:c r="U328" t="n">
        <x:v>931</x:v>
      </x:c>
      <x:c r="V328" t="str">
        <x:v>Current chat continuation / researched 2026-08-15</x:v>
      </x:c>
      <x:c r="W328" t="str">
        <x:v>https://www.tcgplayer.com/search/pokemon/product?productLineName=pokemon&amp;q=mankey+gym+heroes+67</x:v>
      </x:c>
    </x:row>
    <x:row r="329">
      <x:c r="A329" t="n">
        <x:v>435</x:v>
      </x:c>
      <x:c r="B329" t="str">
        <x:v>Fighting / Commons</x:v>
      </x:c>
      <x:c r="C329" t="str">
        <x:v>Barboach</x:v>
      </x:c>
      <x:c r="D329" t="str">
        <x:v>60/110</x:v>
      </x:c>
      <x:c r="E329" t="str">
        <x:v>EX Holon Phantoms</x:v>
      </x:c>
      <x:c r="F329" t="n">
        <x:v>2006</x:v>
      </x:c>
      <x:c r="G329" t="str">
        <x:v>Stamped Reverse Holo</x:v>
      </x:c>
      <x:c r="H329" t="str">
        <x:v>1 of 1</x:v>
      </x:c>
      <x:c r="I329" t="n">
        <x:v>7</x:v>
      </x:c>
      <x:c r="J329" t="n">
        <x:v>9.5</x:v>
      </x:c>
      <x:c r="K329" t="n">
        <x:v>8.25</x:v>
      </x:c>
      <x:c r="L329" t="str">
        <x:v>$5–20</x:v>
      </x:c>
      <x:c r="M329" t="str">
        <x:v>Yes</x:v>
      </x:c>
      <x:c r="N329" t="str">
        <x:v>No</x:v>
      </x:c>
      <x:c r="O329" t="str">
        <x:v>Yes</x:v>
      </x:c>
      <x:c r="P329" t="str">
        <x:v>Clean/NM benchmark unless noted</x:v>
      </x:c>
      <x:c r="Q329" t="n">
        <x:v>7</x:v>
      </x:c>
      <x:c r="R329" t="n">
        <x:v>9.5</x:v>
      </x:c>
      <x:c r="S329" t="n">
        <x:v>8.25</x:v>
      </x:c>
      <x:c r="T329" t="str">
        <x:v>EX Holon Phantoms Barboach 60/110 stamped reverse holo. TCGplayer NM reverse-holo market about $8.19.</x:v>
      </x:c>
      <x:c r="U329" t="n">
        <x:v>932</x:v>
      </x:c>
      <x:c r="V329" t="str">
        <x:v>Current chat continuation / researched 2026-08-15</x:v>
      </x:c>
      <x:c r="W329" t="str">
        <x:v>https://www.tcgplayer.com/categories/trading-collectible-card-games/pokemon/price-guides/holon-phantoms</x:v>
      </x:c>
    </x:row>
    <x:row r="330">
      <x:c r="A330" t="n">
        <x:v>436</x:v>
      </x:c>
      <x:c r="B330" t="str">
        <x:v>Fighting / Commons</x:v>
      </x:c>
      <x:c r="C330" t="str">
        <x:v>Sandile</x:v>
      </x:c>
      <x:c r="D330" t="str">
        <x:v>63/114</x:v>
      </x:c>
      <x:c r="E330" t="str">
        <x:v>Black &amp; White</x:v>
      </x:c>
      <x:c r="F330" t="n">
        <x:v>2011</x:v>
      </x:c>
      <x:c r="G330" t="str">
        <x:v>Reverse Holo</x:v>
      </x:c>
      <x:c r="H330" t="str">
        <x:v>1 of 1</x:v>
      </x:c>
      <x:c r="I330" t="n">
        <x:v>4</x:v>
      </x:c>
      <x:c r="J330" t="n">
        <x:v>5.5</x:v>
      </x:c>
      <x:c r="K330" t="n">
        <x:v>4.75</x:v>
      </x:c>
      <x:c r="L330" t="str">
        <x:v>$1–5</x:v>
      </x:c>
      <x:c r="M330" t="str">
        <x:v>Yes</x:v>
      </x:c>
      <x:c r="N330" t="str">
        <x:v>No</x:v>
      </x:c>
      <x:c r="O330" t="str">
        <x:v>Yes</x:v>
      </x:c>
      <x:c r="P330" t="str">
        <x:v>Clean/NM benchmark unless noted</x:v>
      </x:c>
      <x:c r="Q330" t="n">
        <x:v>4</x:v>
      </x:c>
      <x:c r="R330" t="n">
        <x:v>5.5</x:v>
      </x:c>
      <x:c r="S330" t="n">
        <x:v>4.75</x:v>
      </x:c>
      <x:c r="T330" t="str">
        <x:v>Black &amp; White Sandile 63/114 reverse holo. TCGplayer NM reverse-holo market about $4.77. Cracked Ice Holo is a separate promo printing.</x:v>
      </x:c>
      <x:c r="U330" t="n">
        <x:v>933</x:v>
      </x:c>
      <x:c r="V330" t="str">
        <x:v>Current chat continuation / researched 2026-08-15</x:v>
      </x:c>
      <x:c r="W330" t="str">
        <x:v>https://www.tcgplayer.com/categories/trading-and-collectible-card-games/pokemon/price-guides/black-and-white</x:v>
      </x:c>
    </x:row>
    <x:row r="331">
      <x:c r="A331" t="n">
        <x:v>439</x:v>
      </x:c>
      <x:c r="B331" t="str">
        <x:v>Fighting / Commons</x:v>
      </x:c>
      <x:c r="C331" t="str">
        <x:v>Cubone</x:v>
      </x:c>
      <x:c r="D331" t="str">
        <x:v>60/124</x:v>
      </x:c>
      <x:c r="E331" t="str">
        <x:v>Dragons Exalted</x:v>
      </x:c>
      <x:c r="F331" t="n">
        <x:v>2012</x:v>
      </x:c>
      <x:c r="G331" t="str">
        <x:v>Reverse Holo</x:v>
      </x:c>
      <x:c r="H331" t="str">
        <x:v>1 of 1</x:v>
      </x:c>
      <x:c r="I331" t="n">
        <x:v>9</x:v>
      </x:c>
      <x:c r="J331" t="n">
        <x:v>12</x:v>
      </x:c>
      <x:c r="K331" t="n">
        <x:v>10.5</x:v>
      </x:c>
      <x:c r="L331" t="str">
        <x:v>$5–20</x:v>
      </x:c>
      <x:c r="M331" t="str">
        <x:v>Yes</x:v>
      </x:c>
      <x:c r="N331" t="str">
        <x:v>Yes</x:v>
      </x:c>
      <x:c r="O331" t="str">
        <x:v>Yes</x:v>
      </x:c>
      <x:c r="P331" t="str">
        <x:v>Clean/NM benchmark unless noted</x:v>
      </x:c>
      <x:c r="Q331" t="n">
        <x:v>9</x:v>
      </x:c>
      <x:c r="R331" t="n">
        <x:v>12</x:v>
      </x:c>
      <x:c r="S331" t="n">
        <x:v>10.5</x:v>
      </x:c>
      <x:c r="T331" t="str">
        <x:v>Dragons Exalted Cubone 60/124 reverse holo. TCGplayer NM reverse-holo market about $10.53.</x:v>
      </x:c>
      <x:c r="U331" t="n">
        <x:v>934</x:v>
      </x:c>
      <x:c r="V331" t="str">
        <x:v>Current chat continuation / researched 2026-08-15</x:v>
      </x:c>
      <x:c r="W331" t="str">
        <x:v>https://www.tcgplayer.com/categories/trading-collectible-card-games/pokemon/price-guides/dragons-exalted</x:v>
      </x:c>
    </x:row>
    <x:row r="332">
      <x:c r="A332" t="n">
        <x:v>440</x:v>
      </x:c>
      <x:c r="B332" t="str">
        <x:v>Fighting / Commons</x:v>
      </x:c>
      <x:c r="C332" t="str">
        <x:v>Cubone</x:v>
      </x:c>
      <x:c r="D332" t="str">
        <x:v>60/102</x:v>
      </x:c>
      <x:c r="E332" t="str">
        <x:v>Triumphant</x:v>
      </x:c>
      <x:c r="F332" t="n">
        <x:v>2010</x:v>
      </x:c>
      <x:c r="G332" t="str">
        <x:v>Reverse Holo</x:v>
      </x:c>
      <x:c r="H332" t="str">
        <x:v>1 of 2</x:v>
      </x:c>
      <x:c r="I332" t="n">
        <x:v>30</x:v>
      </x:c>
      <x:c r="J332" t="n">
        <x:v>50</x:v>
      </x:c>
      <x:c r="K332" t="n">
        <x:v>40</x:v>
      </x:c>
      <x:c r="L332" t="str">
        <x:v>$20+</x:v>
      </x:c>
      <x:c r="M332" t="str">
        <x:v>Yes</x:v>
      </x:c>
      <x:c r="N332" t="str">
        <x:v>Yes</x:v>
      </x:c>
      <x:c r="O332" t="str">
        <x:v>Yes</x:v>
      </x:c>
      <x:c r="P332" t="str">
        <x:v>Clean/NM benchmark unless noted</x:v>
      </x:c>
      <x:c r="Q332" t="n">
        <x:v>30</x:v>
      </x:c>
      <x:c r="R332" t="n">
        <x:v>50</x:v>
      </x:c>
      <x:c r="S332" t="n">
        <x:v>40</x:v>
      </x:c>
      <x:c r="T332" t="str">
        <x:v>Triumphant Cubone 60/102 reverse holo. Current reverse-holo market trackers are around $39–41, with recent NM sales roughly $29–59; working clean/NM range $30–50.</x:v>
      </x:c>
      <x:c r="U332" t="n">
        <x:v>934</x:v>
      </x:c>
      <x:c r="V332" t="str">
        <x:v>Current chat continuation / researched 2026-08-15</x:v>
      </x:c>
      <x:c r="W332" t="str">
        <x:v>https://www.pricecharting.com/game/pokemon-triumphant/cubone-reverse-holo-60</x:v>
      </x:c>
    </x:row>
    <x:row r="333">
      <x:c r="A333" t="n">
        <x:v>441</x:v>
      </x:c>
      <x:c r="B333" t="str">
        <x:v>Fighting / Commons</x:v>
      </x:c>
      <x:c r="C333" t="str">
        <x:v>Trapinch</x:v>
      </x:c>
      <x:c r="D333" t="str">
        <x:v>83/149</x:v>
      </x:c>
      <x:c r="E333" t="str">
        <x:v>Boundaries Crossed</x:v>
      </x:c>
      <x:c r="F333" t="n">
        <x:v>2012</x:v>
      </x:c>
      <x:c r="G333" t="str">
        <x:v>Reverse Holo</x:v>
      </x:c>
      <x:c r="H333" t="str">
        <x:v>1 of 1</x:v>
      </x:c>
      <x:c r="I333" t="n">
        <x:v>6.5</x:v>
      </x:c>
      <x:c r="J333" t="n">
        <x:v>9</x:v>
      </x:c>
      <x:c r="K333" t="n">
        <x:v>7.75</x:v>
      </x:c>
      <x:c r="L333" t="str">
        <x:v>$5–20</x:v>
      </x:c>
      <x:c r="M333" t="str">
        <x:v>Yes</x:v>
      </x:c>
      <x:c r="N333" t="str">
        <x:v>No</x:v>
      </x:c>
      <x:c r="O333" t="str">
        <x:v>Yes</x:v>
      </x:c>
      <x:c r="P333" t="str">
        <x:v>Clean/NM benchmark unless noted</x:v>
      </x:c>
      <x:c r="Q333" t="n">
        <x:v>6.5</x:v>
      </x:c>
      <x:c r="R333" t="n">
        <x:v>9</x:v>
      </x:c>
      <x:c r="S333" t="n">
        <x:v>7.75</x:v>
      </x:c>
      <x:c r="T333" t="str">
        <x:v>Boundaries Crossed Trapinch 83/149 reverse holo. TCGplayer NM reverse-holo price guide about $7.91.</x:v>
      </x:c>
      <x:c r="U333" t="n">
        <x:v>935</x:v>
      </x:c>
      <x:c r="V333" t="str">
        <x:v>Current chat continuation / researched 2026-08-15</x:v>
      </x:c>
      <x:c r="W333" t="str">
        <x:v>https://www.tcgplayer.com/categories/trading-and-collectible-card-games/pokemon/price-guides/boundaries-crossed</x:v>
      </x:c>
    </x:row>
    <x:row r="334">
      <x:c r="A334" t="n">
        <x:v>442</x:v>
      </x:c>
      <x:c r="B334" t="str">
        <x:v>Fighting / Commons</x:v>
      </x:c>
      <x:c r="C334" t="str">
        <x:v>Makuhita</x:v>
      </x:c>
      <x:c r="D334" t="str">
        <x:v>82/149</x:v>
      </x:c>
      <x:c r="E334" t="str">
        <x:v>Boundaries Crossed</x:v>
      </x:c>
      <x:c r="F334" t="n">
        <x:v>2012</x:v>
      </x:c>
      <x:c r="G334" t="str">
        <x:v>Reverse Holo</x:v>
      </x:c>
      <x:c r="H334" t="str">
        <x:v>1 of 2</x:v>
      </x:c>
      <x:c r="I334" t="n">
        <x:v>0.8</x:v>
      </x:c>
      <x:c r="J334" t="n">
        <x:v>1.3</x:v>
      </x:c>
      <x:c r="K334" t="n">
        <x:v>1.05</x:v>
      </x:c>
      <x:c r="L334" t="str">
        <x:v>$1–5</x:v>
      </x:c>
      <x:c r="M334" t="str">
        <x:v>Yes</x:v>
      </x:c>
      <x:c r="N334" t="str">
        <x:v>No</x:v>
      </x:c>
      <x:c r="O334" t="str">
        <x:v>Yes</x:v>
      </x:c>
      <x:c r="P334" t="str">
        <x:v>Clean/NM benchmark unless noted</x:v>
      </x:c>
      <x:c r="Q334" t="n">
        <x:v>0.8</x:v>
      </x:c>
      <x:c r="R334" t="n">
        <x:v>1.3</x:v>
      </x:c>
      <x:c r="S334" t="n">
        <x:v>1.05</x:v>
      </x:c>
      <x:c r="T334" t="str">
        <x:v>Boundaries Crossed Makuhita 82/149 reverse holo. TCGplayer NM reverse-holo price guide about $1.02.</x:v>
      </x:c>
      <x:c r="U334" t="n">
        <x:v>935</x:v>
      </x:c>
      <x:c r="V334" t="str">
        <x:v>Current chat continuation / researched 2026-08-15</x:v>
      </x:c>
      <x:c r="W334" t="str">
        <x:v>https://www.tcgplayer.com/categories/trading-and-collectible-card-games/pokemon/price-guides/boundaries-crossed</x:v>
      </x:c>
    </x:row>
    <x:row r="335">
      <x:c r="A335" t="n">
        <x:v>443</x:v>
      </x:c>
      <x:c r="B335" t="str">
        <x:v>Fighting / Commons</x:v>
      </x:c>
      <x:c r="C335" t="str">
        <x:v>Makuhita</x:v>
      </x:c>
      <x:c r="D335" t="str">
        <x:v>82/149</x:v>
      </x:c>
      <x:c r="E335" t="str">
        <x:v>Boundaries Crossed</x:v>
      </x:c>
      <x:c r="F335" t="n">
        <x:v>2012</x:v>
      </x:c>
      <x:c r="G335" t="str">
        <x:v>Reverse Holo</x:v>
      </x:c>
      <x:c r="H335" t="str">
        <x:v>2 of 2</x:v>
      </x:c>
      <x:c r="I335" t="n">
        <x:v>0.8</x:v>
      </x:c>
      <x:c r="J335" t="n">
        <x:v>1.3</x:v>
      </x:c>
      <x:c r="K335" t="n">
        <x:v>1.05</x:v>
      </x:c>
      <x:c r="L335" t="str">
        <x:v>$1–5</x:v>
      </x:c>
      <x:c r="M335" t="str">
        <x:v>Yes</x:v>
      </x:c>
      <x:c r="N335" t="str">
        <x:v>No</x:v>
      </x:c>
      <x:c r="O335" t="str">
        <x:v>Yes</x:v>
      </x:c>
      <x:c r="P335" t="str">
        <x:v>Clean/NM benchmark unless noted</x:v>
      </x:c>
      <x:c r="Q335" t="n">
        <x:v>0.8</x:v>
      </x:c>
      <x:c r="R335" t="n">
        <x:v>1.3</x:v>
      </x:c>
      <x:c r="S335" t="n">
        <x:v>1.05</x:v>
      </x:c>
      <x:c r="T335" t="str">
        <x:v>Boundaries Crossed Makuhita 82/149 reverse holo. TCGplayer NM reverse-holo price guide about $1.02.</x:v>
      </x:c>
      <x:c r="U335" t="n">
        <x:v>935</x:v>
      </x:c>
      <x:c r="V335" t="str">
        <x:v>Current chat continuation / researched 2026-08-15</x:v>
      </x:c>
      <x:c r="W335" t="str">
        <x:v>https://www.tcgplayer.com/categories/trading-and-collectible-card-games/pokemon/price-guides/boundaries-crossed</x:v>
      </x:c>
    </x:row>
    <x:row r="336">
      <x:c r="A336" t="n">
        <x:v>446</x:v>
      </x:c>
      <x:c r="B336" t="str">
        <x:v>Fighting / Commons</x:v>
      </x:c>
      <x:c r="C336" t="str">
        <x:v>Larvitar</x:v>
      </x:c>
      <x:c r="D336" t="str">
        <x:v>63/100</x:v>
      </x:c>
      <x:c r="E336" t="str">
        <x:v>Stormfront</x:v>
      </x:c>
      <x:c r="F336" t="n">
        <x:v>2008</x:v>
      </x:c>
      <x:c r="G336" t="str">
        <x:v>Reverse Holo (LV.19)</x:v>
      </x:c>
      <x:c r="H336" t="str">
        <x:v>1 of 1</x:v>
      </x:c>
      <x:c r="I336" t="n">
        <x:v>12</x:v>
      </x:c>
      <x:c r="J336" t="n">
        <x:v>20</x:v>
      </x:c>
      <x:c r="K336" t="n">
        <x:v>16</x:v>
      </x:c>
      <x:c r="L336" t="str">
        <x:v>$5–20</x:v>
      </x:c>
      <x:c r="M336" t="str">
        <x:v>Yes</x:v>
      </x:c>
      <x:c r="N336" t="str">
        <x:v>Yes</x:v>
      </x:c>
      <x:c r="O336" t="str">
        <x:v>Yes</x:v>
      </x:c>
      <x:c r="P336" t="str">
        <x:v>Clean/NM benchmark unless noted</x:v>
      </x:c>
      <x:c r="Q336" t="n">
        <x:v>12</x:v>
      </x:c>
      <x:c r="R336" t="n">
        <x:v>20</x:v>
      </x:c>
      <x:c r="S336" t="n">
        <x:v>16</x:v>
      </x:c>
      <x:c r="T336" t="str">
        <x:v>Stormfront Larvitar LV.19 63/100 reverse holo. Reverse-specific raw trackers are around $16–17; TCGplayer search-market data appears less printing-specific, so working range is $12–20.</x:v>
      </x:c>
      <x:c r="U336" t="n">
        <x:v>936</x:v>
      </x:c>
      <x:c r="V336" t="str">
        <x:v>Current chat continuation / researched 2026-08-15</x:v>
      </x:c>
      <x:c r="W336" t="str">
        <x:v>https://www.pricecharting.com/game/pokemon-stormfront/larvitar-reverse-holo-63</x:v>
      </x:c>
    </x:row>
    <x:row r="337">
      <x:c r="A337" t="n">
        <x:v>448</x:v>
      </x:c>
      <x:c r="B337" t="str">
        <x:v>Fighting / Commons</x:v>
      </x:c>
      <x:c r="C337" t="str">
        <x:v>Timburr</x:v>
      </x:c>
      <x:c r="D337" t="str">
        <x:v>58/?</x:v>
      </x:c>
      <x:c r="E337" t="str">
        <x:v>Set unresolved</x:v>
      </x:c>
      <x:c r="F337"/>
      <x:c r="G337" t="str">
        <x:v>Reverse Holo</x:v>
      </x:c>
      <x:c r="H337" t="str">
        <x:v>1 of 1</x:v>
      </x:c>
      <x:c r="I337"/>
      <x:c r="J337"/>
      <x:c r="K337"/>
      <x:c r="L337" t="str">
        <x:v>Needs ID</x:v>
      </x:c>
      <x:c r="M337" t="str">
        <x:v>Yes</x:v>
      </x:c>
      <x:c r="N337" t="str">
        <x:v>No</x:v>
      </x:c>
      <x:c r="O337" t="str">
        <x:v>Yes</x:v>
      </x:c>
      <x:c r="P337" t="str">
        <x:v>Needs denominator/set confirmation</x:v>
      </x:c>
      <x:c r="Q337"/>
      <x:c r="R337"/>
      <x:c r="S337"/>
      <x:c r="T337" t="str">
        <x:v>Timburr #58 reverse holo is ambiguous: 58/114 = Black &amp; White (~$1.30 NM) or 58/108 = Dark Explorers (~$1.42 NM). Either clears the $1+ separator; denominator needed for exact set.</x:v>
      </x:c>
      <x:c r="U337" t="n">
        <x:v>936</x:v>
      </x:c>
      <x:c r="V337" t="str">
        <x:v>Current chat continuation / unresolved 2026-08-15</x:v>
      </x:c>
      <x:c r="W337" t="str">
        <x:v>https://www.tcgplayer.com/search/pokemon/product?productLineName=pokemon&amp;q=Timburr+58</x:v>
      </x:c>
    </x:row>
    <x:row r="338">
      <x:c r="A338" t="n">
        <x:v>449</x:v>
      </x:c>
      <x:c r="B338" t="str">
        <x:v>Fighting / Commons</x:v>
      </x:c>
      <x:c r="C338" t="str">
        <x:v>Nosepass</x:v>
      </x:c>
      <x:c r="D338" t="str">
        <x:v>109/146</x:v>
      </x:c>
      <x:c r="E338" t="str">
        <x:v>Legends Awakened</x:v>
      </x:c>
      <x:c r="F338" t="n">
        <x:v>2008</x:v>
      </x:c>
      <x:c r="G338" t="str">
        <x:v>Reverse Holo (LV.15)</x:v>
      </x:c>
      <x:c r="H338" t="str">
        <x:v>1 of 1</x:v>
      </x:c>
      <x:c r="I338" t="n">
        <x:v>1.4</x:v>
      </x:c>
      <x:c r="J338" t="n">
        <x:v>2.2</x:v>
      </x:c>
      <x:c r="K338" t="n">
        <x:v>1.8</x:v>
      </x:c>
      <x:c r="L338" t="str">
        <x:v>$1–5</x:v>
      </x:c>
      <x:c r="M338" t="str">
        <x:v>Yes</x:v>
      </x:c>
      <x:c r="N338" t="str">
        <x:v>No</x:v>
      </x:c>
      <x:c r="O338" t="str">
        <x:v>Yes</x:v>
      </x:c>
      <x:c r="P338" t="str">
        <x:v>Clean/NM benchmark unless noted</x:v>
      </x:c>
      <x:c r="Q338" t="n">
        <x:v>1.4</x:v>
      </x:c>
      <x:c r="R338" t="n">
        <x:v>2.2</x:v>
      </x:c>
      <x:c r="S338" t="n">
        <x:v>1.8</x:v>
      </x:c>
      <x:c r="T338" t="str">
        <x:v>Legends Awakened Nosepass LV.15 109/146 reverse holo. TCGplayer NM reverse-holo price guide about $1.79.</x:v>
      </x:c>
      <x:c r="U338" t="n">
        <x:v>937</x:v>
      </x:c>
      <x:c r="V338" t="str">
        <x:v>Current chat continuation / researched 2026-08-15</x:v>
      </x:c>
      <x:c r="W338" t="str">
        <x:v>https://www.tcgplayer.com/categories/trading-and-collectible-card-games/pokemon/price-guides/legends-awakened</x:v>
      </x:c>
    </x:row>
    <x:row r="339">
      <x:c r="A339" t="n">
        <x:v>453</x:v>
      </x:c>
      <x:c r="B339" t="str">
        <x:v>Fighting / Uncommons</x:v>
      </x:c>
      <x:c r="C339" t="str">
        <x:v>Sandslash</x:v>
      </x:c>
      <x:c r="D339" t="str">
        <x:v>79/149</x:v>
      </x:c>
      <x:c r="E339" t="str">
        <x:v>Boundaries Crossed</x:v>
      </x:c>
      <x:c r="F339" t="n">
        <x:v>2012</x:v>
      </x:c>
      <x:c r="G339" t="str">
        <x:v>Reverse Holo</x:v>
      </x:c>
      <x:c r="H339" t="str">
        <x:v>1 of 1</x:v>
      </x:c>
      <x:c r="I339" t="n">
        <x:v>1.5</x:v>
      </x:c>
      <x:c r="J339" t="n">
        <x:v>3</x:v>
      </x:c>
      <x:c r="K339" t="n">
        <x:v>2.25</x:v>
      </x:c>
      <x:c r="L339" t="str">
        <x:v>$1–5</x:v>
      </x:c>
      <x:c r="M339" t="str">
        <x:v>Yes</x:v>
      </x:c>
      <x:c r="N339" t="str">
        <x:v>No</x:v>
      </x:c>
      <x:c r="O339" t="str">
        <x:v>Yes</x:v>
      </x:c>
      <x:c r="P339" t="str">
        <x:v>Clean/NM benchmark unless noted</x:v>
      </x:c>
      <x:c r="Q339" t="n">
        <x:v>1.5</x:v>
      </x:c>
      <x:c r="R339" t="n">
        <x:v>3</x:v>
      </x:c>
      <x:c r="S339" t="n">
        <x:v>2.25</x:v>
      </x:c>
      <x:c r="T339" t="str">
        <x:v>Boundaries Crossed Sandslash 79/149 reverse holo. TCGplayer NM reverse-holo market about $1.79; PriceCharting ungraded about $2.49.</x:v>
      </x:c>
      <x:c r="U339" t="n">
        <x:v>938</x:v>
      </x:c>
      <x:c r="V339" t="str">
        <x:v>Current chat continuation / researched 2026-08-15</x:v>
      </x:c>
      <x:c r="W339" t="str">
        <x:v>https://www.tcgplayer.com/categories/trading-and-collectible-card-games/pokemon/price-guides/boundaries-crossed</x:v>
      </x:c>
    </x:row>
    <x:row r="340">
      <x:c r="A340" t="n">
        <x:v>454</x:v>
      </x:c>
      <x:c r="B340" t="str">
        <x:v>Fighting / Uncommons</x:v>
      </x:c>
      <x:c r="C340" t="str">
        <x:v>Sawk</x:v>
      </x:c>
      <x:c r="D340" t="str">
        <x:v>59/98</x:v>
      </x:c>
      <x:c r="E340" t="str">
        <x:v>Emerging Powers</x:v>
      </x:c>
      <x:c r="F340" t="n">
        <x:v>2011</x:v>
      </x:c>
      <x:c r="G340" t="str">
        <x:v>Reverse Holo</x:v>
      </x:c>
      <x:c r="H340" t="str">
        <x:v>1 of 2</x:v>
      </x:c>
      <x:c r="I340" t="n">
        <x:v>0.75</x:v>
      </x:c>
      <x:c r="J340" t="n">
        <x:v>1.5</x:v>
      </x:c>
      <x:c r="K340" t="n">
        <x:v>1.125</x:v>
      </x:c>
      <x:c r="L340" t="str">
        <x:v>$1–5</x:v>
      </x:c>
      <x:c r="M340" t="str">
        <x:v>Yes</x:v>
      </x:c>
      <x:c r="N340" t="str">
        <x:v>No</x:v>
      </x:c>
      <x:c r="O340" t="str">
        <x:v>Yes</x:v>
      </x:c>
      <x:c r="P340" t="str">
        <x:v>Clean/NM benchmark unless noted</x:v>
      </x:c>
      <x:c r="Q340" t="n">
        <x:v>0.75</x:v>
      </x:c>
      <x:c r="R340" t="n">
        <x:v>1.5</x:v>
      </x:c>
      <x:c r="S340" t="n">
        <x:v>1.125</x:v>
      </x:c>
      <x:c r="T340" t="str">
        <x:v>Emerging Powers Sawk 59/98 reverse holo. PriceCharting ungraded about $1.21; recent TCGplayer NM sales are commonly around $0.50–1.00, so treated as an about-$1 separator card.</x:v>
      </x:c>
      <x:c r="U340" t="n">
        <x:v>938</x:v>
      </x:c>
      <x:c r="V340" t="str">
        <x:v>Current chat continuation / researched 2026-08-15</x:v>
      </x:c>
      <x:c r="W340" t="str">
        <x:v>https://www.pricecharting.com/game/pokemon-emerging-powers/sawk-reverse-holo-59</x:v>
      </x:c>
    </x:row>
    <x:row r="341">
      <x:c r="A341" t="n">
        <x:v>455</x:v>
      </x:c>
      <x:c r="B341" t="str">
        <x:v>Fighting / Uncommons</x:v>
      </x:c>
      <x:c r="C341" t="str">
        <x:v>Sawk</x:v>
      </x:c>
      <x:c r="D341" t="str">
        <x:v>59/98</x:v>
      </x:c>
      <x:c r="E341" t="str">
        <x:v>Emerging Powers</x:v>
      </x:c>
      <x:c r="F341" t="n">
        <x:v>2011</x:v>
      </x:c>
      <x:c r="G341" t="str">
        <x:v>Reverse Holo</x:v>
      </x:c>
      <x:c r="H341" t="str">
        <x:v>2 of 2</x:v>
      </x:c>
      <x:c r="I341" t="n">
        <x:v>0.75</x:v>
      </x:c>
      <x:c r="J341" t="n">
        <x:v>1.5</x:v>
      </x:c>
      <x:c r="K341" t="n">
        <x:v>1.125</x:v>
      </x:c>
      <x:c r="L341" t="str">
        <x:v>$1–5</x:v>
      </x:c>
      <x:c r="M341" t="str">
        <x:v>Yes</x:v>
      </x:c>
      <x:c r="N341" t="str">
        <x:v>No</x:v>
      </x:c>
      <x:c r="O341" t="str">
        <x:v>Yes</x:v>
      </x:c>
      <x:c r="P341" t="str">
        <x:v>Clean/NM benchmark unless noted</x:v>
      </x:c>
      <x:c r="Q341" t="n">
        <x:v>0.75</x:v>
      </x:c>
      <x:c r="R341" t="n">
        <x:v>1.5</x:v>
      </x:c>
      <x:c r="S341" t="n">
        <x:v>1.125</x:v>
      </x:c>
      <x:c r="T341" t="str">
        <x:v>Emerging Powers Sawk 59/98 reverse holo. PriceCharting ungraded about $1.21; recent TCGplayer NM sales are commonly around $0.50–1.00, so treated as an about-$1 separator card.</x:v>
      </x:c>
      <x:c r="U341" t="n">
        <x:v>938</x:v>
      </x:c>
      <x:c r="V341" t="str">
        <x:v>Current chat continuation / researched 2026-08-15</x:v>
      </x:c>
      <x:c r="W341" t="str">
        <x:v>https://www.pricecharting.com/game/pokemon-emerging-powers/sawk-reverse-holo-59</x:v>
      </x:c>
    </x:row>
    <x:row r="342">
      <x:c r="A342" t="n">
        <x:v>456</x:v>
      </x:c>
      <x:c r="B342" t="str">
        <x:v>Fighting / Uncommons</x:v>
      </x:c>
      <x:c r="C342" t="str">
        <x:v>Machoke</x:v>
      </x:c>
      <x:c r="D342" t="str">
        <x:v>53/130</x:v>
      </x:c>
      <x:c r="E342" t="str">
        <x:v>Diamond &amp; Pearl</x:v>
      </x:c>
      <x:c r="F342" t="n">
        <x:v>2007</x:v>
      </x:c>
      <x:c r="G342" t="str">
        <x:v>Reverse Holo (LV.39)</x:v>
      </x:c>
      <x:c r="H342" t="str">
        <x:v>1 of 1</x:v>
      </x:c>
      <x:c r="I342" t="n">
        <x:v>4</x:v>
      </x:c>
      <x:c r="J342" t="n">
        <x:v>5.5</x:v>
      </x:c>
      <x:c r="K342" t="n">
        <x:v>4.75</x:v>
      </x:c>
      <x:c r="L342" t="str">
        <x:v>$1–5</x:v>
      </x:c>
      <x:c r="M342" t="str">
        <x:v>Yes</x:v>
      </x:c>
      <x:c r="N342" t="str">
        <x:v>No</x:v>
      </x:c>
      <x:c r="O342" t="str">
        <x:v>Yes</x:v>
      </x:c>
      <x:c r="P342" t="str">
        <x:v>Clean/NM benchmark unless noted</x:v>
      </x:c>
      <x:c r="Q342" t="n">
        <x:v>4</x:v>
      </x:c>
      <x:c r="R342" t="n">
        <x:v>5.5</x:v>
      </x:c>
      <x:c r="S342" t="n">
        <x:v>4.75</x:v>
      </x:c>
      <x:c r="T342" t="str">
        <x:v>Diamond &amp; Pearl Machoke LV.39 53/130 reverse holo. TCGplayer NM reverse-holo price guide about $4.66.</x:v>
      </x:c>
      <x:c r="U342" t="n">
        <x:v>938</x:v>
      </x:c>
      <x:c r="V342" t="str">
        <x:v>Current chat continuation / researched 2026-08-15</x:v>
      </x:c>
      <x:c r="W342" t="str">
        <x:v>https://www.tcgplayer.com/categories/trading-and-collectible-card-games/pokemon/price-guides/diamond-and-pearl</x:v>
      </x:c>
    </x:row>
    <x:row r="343">
      <x:c r="A343" t="n">
        <x:v>458</x:v>
      </x:c>
      <x:c r="B343" t="str">
        <x:v>Fighting / Uncommons</x:v>
      </x:c>
      <x:c r="C343" t="str">
        <x:v>Archen</x:v>
      </x:c>
      <x:c r="D343" t="str">
        <x:v>66/101</x:v>
      </x:c>
      <x:c r="E343" t="str">
        <x:v>Noble Victories</x:v>
      </x:c>
      <x:c r="F343" t="n">
        <x:v>2011</x:v>
      </x:c>
      <x:c r="G343" t="str">
        <x:v>Reverse Holo</x:v>
      </x:c>
      <x:c r="H343" t="str">
        <x:v>1 of 1</x:v>
      </x:c>
      <x:c r="I343" t="n">
        <x:v>4.5</x:v>
      </x:c>
      <x:c r="J343" t="n">
        <x:v>6.5</x:v>
      </x:c>
      <x:c r="K343" t="n">
        <x:v>5.5</x:v>
      </x:c>
      <x:c r="L343" t="str">
        <x:v>$5–20</x:v>
      </x:c>
      <x:c r="M343" t="str">
        <x:v>Yes</x:v>
      </x:c>
      <x:c r="N343" t="str">
        <x:v>No</x:v>
      </x:c>
      <x:c r="O343" t="str">
        <x:v>Yes</x:v>
      </x:c>
      <x:c r="P343" t="str">
        <x:v>Clean/NM benchmark unless noted</x:v>
      </x:c>
      <x:c r="Q343" t="n">
        <x:v>4.5</x:v>
      </x:c>
      <x:c r="R343" t="n">
        <x:v>6.5</x:v>
      </x:c>
      <x:c r="S343" t="n">
        <x:v>5.5</x:v>
      </x:c>
      <x:c r="T343" t="str">
        <x:v>Noble Victories Archen 66/101 reverse holo. Current TCGplayer/market tracking is about $5–6.15.</x:v>
      </x:c>
      <x:c r="U343" t="n">
        <x:v>939</x:v>
      </x:c>
      <x:c r="V343" t="str">
        <x:v>Current chat continuation / researched 2026-08-15</x:v>
      </x:c>
      <x:c r="W343" t="str">
        <x:v>https://www.pricecharting.com/game/pokemon-noble-victories/archen-reverse-holo-66</x:v>
      </x:c>
    </x:row>
    <x:row r="344">
      <x:c r="A344" t="n">
        <x:v>459</x:v>
      </x:c>
      <x:c r="B344" t="str">
        <x:v>Fighting / Uncommons</x:v>
      </x:c>
      <x:c r="C344" t="str">
        <x:v>Riolu</x:v>
      </x:c>
      <x:c r="D344" t="str">
        <x:v>50/95</x:v>
      </x:c>
      <x:c r="E344" t="str">
        <x:v>Call of Legends</x:v>
      </x:c>
      <x:c r="F344" t="n">
        <x:v>2011</x:v>
      </x:c>
      <x:c r="G344" t="str">
        <x:v>Reverse Holo</x:v>
      </x:c>
      <x:c r="H344" t="str">
        <x:v>1 of 1</x:v>
      </x:c>
      <x:c r="I344" t="n">
        <x:v>4</x:v>
      </x:c>
      <x:c r="J344" t="n">
        <x:v>9</x:v>
      </x:c>
      <x:c r="K344" t="n">
        <x:v>6.5</x:v>
      </x:c>
      <x:c r="L344" t="str">
        <x:v>$5–20</x:v>
      </x:c>
      <x:c r="M344" t="str">
        <x:v>Yes</x:v>
      </x:c>
      <x:c r="N344" t="str">
        <x:v>No</x:v>
      </x:c>
      <x:c r="O344" t="str">
        <x:v>Yes</x:v>
      </x:c>
      <x:c r="P344" t="str">
        <x:v>Clean/NM benchmark unless noted</x:v>
      </x:c>
      <x:c r="Q344" t="n">
        <x:v>4</x:v>
      </x:c>
      <x:c r="R344" t="n">
        <x:v>9</x:v>
      </x:c>
      <x:c r="S344" t="n">
        <x:v>6.5</x:v>
      </x:c>
      <x:c r="T344" t="str">
        <x:v>Call of Legends Riolu 50/95 reverse holo. TCGplayer market about $8.73; PriceCharting ungraded about $5.26, with recent NM sales spanning roughly $3.5–10.8.</x:v>
      </x:c>
      <x:c r="U344" t="n">
        <x:v>939</x:v>
      </x:c>
      <x:c r="V344" t="str">
        <x:v>Current chat continuation / researched 2026-08-15</x:v>
      </x:c>
      <x:c r="W344" t="str">
        <x:v>https://www.pricecharting.com/game/pokemon-call-of-legends/riolu-reverse-holo-50</x:v>
      </x:c>
    </x:row>
    <x:row r="345">
      <x:c r="A345" t="n">
        <x:v>460</x:v>
      </x:c>
      <x:c r="B345" t="str">
        <x:v>Fighting / Uncommons</x:v>
      </x:c>
      <x:c r="C345" t="str">
        <x:v>Riolu</x:v>
      </x:c>
      <x:c r="D345" t="str">
        <x:v>79/113</x:v>
      </x:c>
      <x:c r="E345" t="str">
        <x:v>Legendary Treasures</x:v>
      </x:c>
      <x:c r="F345" t="n">
        <x:v>2013</x:v>
      </x:c>
      <x:c r="G345" t="str">
        <x:v>Reverse Holo</x:v>
      </x:c>
      <x:c r="H345" t="str">
        <x:v>1 of 1</x:v>
      </x:c>
      <x:c r="I345" t="n">
        <x:v>4.5</x:v>
      </x:c>
      <x:c r="J345" t="n">
        <x:v>7.5</x:v>
      </x:c>
      <x:c r="K345" t="n">
        <x:v>6</x:v>
      </x:c>
      <x:c r="L345" t="str">
        <x:v>$5–20</x:v>
      </x:c>
      <x:c r="M345" t="str">
        <x:v>Yes</x:v>
      </x:c>
      <x:c r="N345" t="str">
        <x:v>No</x:v>
      </x:c>
      <x:c r="O345" t="str">
        <x:v>Yes</x:v>
      </x:c>
      <x:c r="P345" t="str">
        <x:v>Clean/NM benchmark unless noted</x:v>
      </x:c>
      <x:c r="Q345" t="n">
        <x:v>4.5</x:v>
      </x:c>
      <x:c r="R345" t="n">
        <x:v>7.5</x:v>
      </x:c>
      <x:c r="S345" t="n">
        <x:v>6</x:v>
      </x:c>
      <x:c r="T345" t="str">
        <x:v>Legendary Treasures Riolu 79/113 reverse holo. TCGplayer NM reverse-holo market about $6.69; PriceCharting ungraded about $4.99.</x:v>
      </x:c>
      <x:c r="U345" t="n">
        <x:v>939</x:v>
      </x:c>
      <x:c r="V345" t="str">
        <x:v>Current chat continuation / researched 2026-08-15</x:v>
      </x:c>
      <x:c r="W345" t="str">
        <x:v>https://www.tcgplayer.com/categories/trading-and-collectible-card-games/pokemon/price-guides/legendary-treasures</x:v>
      </x:c>
    </x:row>
    <x:row r="346">
      <x:c r="A346" t="n">
        <x:v>461</x:v>
      </x:c>
      <x:c r="B346" t="str">
        <x:v>Fighting / Uncommons</x:v>
      </x:c>
      <x:c r="C346" t="str">
        <x:v>Stunfisk</x:v>
      </x:c>
      <x:c r="D346" t="str">
        <x:v>RC12/RC25</x:v>
      </x:c>
      <x:c r="E346" t="str">
        <x:v>Legendary Treasures: Radiant Collection</x:v>
      </x:c>
      <x:c r="F346" t="n">
        <x:v>2013</x:v>
      </x:c>
      <x:c r="G346" t="str">
        <x:v>Radiant Collection Foil</x:v>
      </x:c>
      <x:c r="H346" t="str">
        <x:v>1 of 2</x:v>
      </x:c>
      <x:c r="I346" t="n">
        <x:v>4.5</x:v>
      </x:c>
      <x:c r="J346" t="n">
        <x:v>6.5</x:v>
      </x:c>
      <x:c r="K346" t="n">
        <x:v>5.5</x:v>
      </x:c>
      <x:c r="L346" t="str">
        <x:v>$5–20</x:v>
      </x:c>
      <x:c r="M346" t="str">
        <x:v>Yes</x:v>
      </x:c>
      <x:c r="N346" t="str">
        <x:v>No</x:v>
      </x:c>
      <x:c r="O346" t="str">
        <x:v>Yes</x:v>
      </x:c>
      <x:c r="P346" t="str">
        <x:v>Clean/NM benchmark unless noted</x:v>
      </x:c>
      <x:c r="Q346" t="n">
        <x:v>4.5</x:v>
      </x:c>
      <x:c r="R346" t="n">
        <x:v>6.5</x:v>
      </x:c>
      <x:c r="S346" t="n">
        <x:v>5.5</x:v>
      </x:c>
      <x:c r="T346" t="str">
        <x:v>Legendary Treasures: Radiant Collection Stunfisk RC12/RC25. TCGplayer current market about $5.37 NM.</x:v>
      </x:c>
      <x:c r="U346" t="n">
        <x:v>940</x:v>
      </x:c>
      <x:c r="V346" t="str">
        <x:v>Current chat continuation / researched 2026-08-15</x:v>
      </x:c>
      <x:c r="W346" t="str">
        <x:v>https://www.tcgplayer.com/search/pokemon/legendary-treasures-radiant-collection?page=1&amp;productLineName=pokemon&amp;setName=legendary-treasures-radiant-collection&amp;view=grid</x:v>
      </x:c>
    </x:row>
    <x:row r="347">
      <x:c r="A347" t="n">
        <x:v>462</x:v>
      </x:c>
      <x:c r="B347" t="str">
        <x:v>Fighting / Uncommons</x:v>
      </x:c>
      <x:c r="C347" t="str">
        <x:v>Stunfisk</x:v>
      </x:c>
      <x:c r="D347" t="str">
        <x:v>RC12/RC25</x:v>
      </x:c>
      <x:c r="E347" t="str">
        <x:v>Legendary Treasures: Radiant Collection</x:v>
      </x:c>
      <x:c r="F347" t="n">
        <x:v>2013</x:v>
      </x:c>
      <x:c r="G347" t="str">
        <x:v>Radiant Collection Foil</x:v>
      </x:c>
      <x:c r="H347" t="str">
        <x:v>2 of 2</x:v>
      </x:c>
      <x:c r="I347" t="n">
        <x:v>4.5</x:v>
      </x:c>
      <x:c r="J347" t="n">
        <x:v>6.5</x:v>
      </x:c>
      <x:c r="K347" t="n">
        <x:v>5.5</x:v>
      </x:c>
      <x:c r="L347" t="str">
        <x:v>$5–20</x:v>
      </x:c>
      <x:c r="M347" t="str">
        <x:v>Yes</x:v>
      </x:c>
      <x:c r="N347" t="str">
        <x:v>No</x:v>
      </x:c>
      <x:c r="O347" t="str">
        <x:v>Yes</x:v>
      </x:c>
      <x:c r="P347" t="str">
        <x:v>Clean/NM benchmark unless noted</x:v>
      </x:c>
      <x:c r="Q347" t="n">
        <x:v>4.5</x:v>
      </x:c>
      <x:c r="R347" t="n">
        <x:v>6.5</x:v>
      </x:c>
      <x:c r="S347" t="n">
        <x:v>5.5</x:v>
      </x:c>
      <x:c r="T347" t="str">
        <x:v>Legendary Treasures: Radiant Collection Stunfisk RC12/RC25. TCGplayer current market about $5.37 NM.</x:v>
      </x:c>
      <x:c r="U347" t="n">
        <x:v>940</x:v>
      </x:c>
      <x:c r="V347" t="str">
        <x:v>Current chat continuation / researched 2026-08-15</x:v>
      </x:c>
      <x:c r="W347" t="str">
        <x:v>https://www.tcgplayer.com/search/pokemon/legendary-treasures-radiant-collection?page=1&amp;productLineName=pokemon&amp;setName=legendary-treasures-radiant-collection&amp;view=grid</x:v>
      </x:c>
    </x:row>
    <x:row r="348">
      <x:c r="A348" t="n">
        <x:v>463</x:v>
      </x:c>
      <x:c r="B348" t="str">
        <x:v>Fighting / Uncommons</x:v>
      </x:c>
      <x:c r="C348" t="str">
        <x:v>Stunfisk</x:v>
      </x:c>
      <x:c r="D348" t="str">
        <x:v>70/124</x:v>
      </x:c>
      <x:c r="E348" t="str">
        <x:v>Dragons Exalted</x:v>
      </x:c>
      <x:c r="F348" t="n">
        <x:v>2012</x:v>
      </x:c>
      <x:c r="G348" t="str">
        <x:v>Reverse Holo</x:v>
      </x:c>
      <x:c r="H348" t="str">
        <x:v>1 of 1</x:v>
      </x:c>
      <x:c r="I348" t="n">
        <x:v>0.75</x:v>
      </x:c>
      <x:c r="J348" t="n">
        <x:v>1.5</x:v>
      </x:c>
      <x:c r="K348" t="n">
        <x:v>1.125</x:v>
      </x:c>
      <x:c r="L348" t="str">
        <x:v>$1–5</x:v>
      </x:c>
      <x:c r="M348" t="str">
        <x:v>Yes</x:v>
      </x:c>
      <x:c r="N348" t="str">
        <x:v>No</x:v>
      </x:c>
      <x:c r="O348" t="str">
        <x:v>Yes</x:v>
      </x:c>
      <x:c r="P348" t="str">
        <x:v>Clean/NM benchmark unless noted</x:v>
      </x:c>
      <x:c r="Q348" t="n">
        <x:v>0.75</x:v>
      </x:c>
      <x:c r="R348" t="n">
        <x:v>1.5</x:v>
      </x:c>
      <x:c r="S348" t="n">
        <x:v>1.125</x:v>
      </x:c>
      <x:c r="T348" t="str">
        <x:v>Dragons Exalted Stunfisk 70/124 reverse holo. TCGplayer NM reverse-holo guide about $0.85; broader raw tracking is around $1.17, so kept on the about-$1 separator.</x:v>
      </x:c>
      <x:c r="U348" t="n">
        <x:v>940</x:v>
      </x:c>
      <x:c r="V348" t="str">
        <x:v>Current chat continuation / researched 2026-08-15</x:v>
      </x:c>
      <x:c r="W348" t="str">
        <x:v>https://www.tcgplayer.com/categories/trading-collectible-card-games/pokemon/price-guides/dragons-exalted</x:v>
      </x:c>
    </x:row>
    <x:row r="349">
      <x:c r="A349" t="n">
        <x:v>464</x:v>
      </x:c>
      <x:c r="B349" t="str">
        <x:v>Fighting / Uncommons</x:v>
      </x:c>
      <x:c r="C349" t="str">
        <x:v>Machoke</x:v>
      </x:c>
      <x:c r="D349" t="str">
        <x:v>48/101</x:v>
      </x:c>
      <x:c r="E349" t="str">
        <x:v>Plasma Blast</x:v>
      </x:c>
      <x:c r="F349" t="n">
        <x:v>2013</x:v>
      </x:c>
      <x:c r="G349" t="str">
        <x:v>Reverse Holo</x:v>
      </x:c>
      <x:c r="H349" t="str">
        <x:v>1 of 1</x:v>
      </x:c>
      <x:c r="I349" t="n">
        <x:v>0.8</x:v>
      </x:c>
      <x:c r="J349" t="n">
        <x:v>1.3</x:v>
      </x:c>
      <x:c r="K349" t="n">
        <x:v>1.05</x:v>
      </x:c>
      <x:c r="L349" t="str">
        <x:v>$1–5</x:v>
      </x:c>
      <x:c r="M349" t="str">
        <x:v>Yes</x:v>
      </x:c>
      <x:c r="N349" t="str">
        <x:v>No</x:v>
      </x:c>
      <x:c r="O349" t="str">
        <x:v>Yes</x:v>
      </x:c>
      <x:c r="P349" t="str">
        <x:v>Clean/NM benchmark unless noted</x:v>
      </x:c>
      <x:c r="Q349" t="n">
        <x:v>0.8</x:v>
      </x:c>
      <x:c r="R349" t="n">
        <x:v>1.3</x:v>
      </x:c>
      <x:c r="S349" t="n">
        <x:v>1.05</x:v>
      </x:c>
      <x:c r="T349" t="str">
        <x:v>Plasma Blast Machoke 48/101 reverse holo. TCGplayer NM reverse-holo price guide about $1.00.</x:v>
      </x:c>
      <x:c r="U349" t="n">
        <x:v>940</x:v>
      </x:c>
      <x:c r="V349" t="str">
        <x:v>Current chat continuation / researched 2026-08-15</x:v>
      </x:c>
      <x:c r="W349" t="str">
        <x:v>https://www.tcgplayer.com/categories/trading-and-collectible-card-games/pokemon/price-guides/plasma-blast</x:v>
      </x:c>
    </x:row>
    <x:row r="350">
      <x:c r="A350" t="n">
        <x:v>469</x:v>
      </x:c>
      <x:c r="B350" t="str">
        <x:v>Fighting / Rares</x:v>
      </x:c>
      <x:c r="C350" t="str">
        <x:v>Terrakion</x:v>
      </x:c>
      <x:c r="D350" t="str">
        <x:v>63/98</x:v>
      </x:c>
      <x:c r="E350" t="str">
        <x:v>Emerging Powers</x:v>
      </x:c>
      <x:c r="F350" t="n">
        <x:v>2011</x:v>
      </x:c>
      <x:c r="G350" t="str">
        <x:v>Holofoil Rare</x:v>
      </x:c>
      <x:c r="H350" t="str">
        <x:v>1 of 4</x:v>
      </x:c>
      <x:c r="I350" t="n">
        <x:v>1.5</x:v>
      </x:c>
      <x:c r="J350" t="n">
        <x:v>2.25</x:v>
      </x:c>
      <x:c r="K350" t="n">
        <x:v>1.875</x:v>
      </x:c>
      <x:c r="L350" t="str">
        <x:v>$1–5</x:v>
      </x:c>
      <x:c r="M350" t="str">
        <x:v>Yes</x:v>
      </x:c>
      <x:c r="N350" t="str">
        <x:v>No</x:v>
      </x:c>
      <x:c r="O350" t="str">
        <x:v>Yes</x:v>
      </x:c>
      <x:c r="P350" t="str">
        <x:v>Clean/NM benchmark unless noted</x:v>
      </x:c>
      <x:c r="Q350" t="n">
        <x:v>1.5</x:v>
      </x:c>
      <x:c r="R350" t="n">
        <x:v>2.25</x:v>
      </x:c>
      <x:c r="S350" t="n">
        <x:v>1.875</x:v>
      </x:c>
      <x:c r="T350" t="str">
        <x:v>Emerging Powers Terrakion 63/98 standard holo rare. TCGplayer market about $1.75–1.80. Reverse holo is a separate printing with similar current raw value.</x:v>
      </x:c>
      <x:c r="U350" t="n">
        <x:v>942</x:v>
      </x:c>
      <x:c r="V350" t="str">
        <x:v>Current chat continuation / researched 2026-08-15</x:v>
      </x:c>
      <x:c r="W350" t="str">
        <x:v>https://www.tcgplayer.com/search/pokemon/product?q=Terrakion+Emerging+Powers+63</x:v>
      </x:c>
    </x:row>
    <x:row r="351">
      <x:c r="A351" t="n">
        <x:v>470</x:v>
      </x:c>
      <x:c r="B351" t="str">
        <x:v>Fighting / Rares</x:v>
      </x:c>
      <x:c r="C351" t="str">
        <x:v>Terrakion</x:v>
      </x:c>
      <x:c r="D351" t="str">
        <x:v>63/98</x:v>
      </x:c>
      <x:c r="E351" t="str">
        <x:v>Emerging Powers</x:v>
      </x:c>
      <x:c r="F351" t="n">
        <x:v>2011</x:v>
      </x:c>
      <x:c r="G351" t="str">
        <x:v>Holofoil Rare</x:v>
      </x:c>
      <x:c r="H351" t="str">
        <x:v>2 of 4</x:v>
      </x:c>
      <x:c r="I351" t="n">
        <x:v>1.5</x:v>
      </x:c>
      <x:c r="J351" t="n">
        <x:v>2.25</x:v>
      </x:c>
      <x:c r="K351" t="n">
        <x:v>1.875</x:v>
      </x:c>
      <x:c r="L351" t="str">
        <x:v>$1–5</x:v>
      </x:c>
      <x:c r="M351" t="str">
        <x:v>Yes</x:v>
      </x:c>
      <x:c r="N351" t="str">
        <x:v>No</x:v>
      </x:c>
      <x:c r="O351" t="str">
        <x:v>Yes</x:v>
      </x:c>
      <x:c r="P351" t="str">
        <x:v>Clean/NM benchmark unless noted</x:v>
      </x:c>
      <x:c r="Q351" t="n">
        <x:v>1.5</x:v>
      </x:c>
      <x:c r="R351" t="n">
        <x:v>2.25</x:v>
      </x:c>
      <x:c r="S351" t="n">
        <x:v>1.875</x:v>
      </x:c>
      <x:c r="T351" t="str">
        <x:v>Emerging Powers Terrakion 63/98 standard holo rare. TCGplayer market about $1.75–1.80. Reverse holo is a separate printing with similar current raw value.</x:v>
      </x:c>
      <x:c r="U351" t="n">
        <x:v>942</x:v>
      </x:c>
      <x:c r="V351" t="str">
        <x:v>Current chat continuation / researched 2026-08-15</x:v>
      </x:c>
      <x:c r="W351" t="str">
        <x:v>https://www.tcgplayer.com/search/pokemon/product?q=Terrakion+Emerging+Powers+63</x:v>
      </x:c>
    </x:row>
    <x:row r="352">
      <x:c r="A352" t="n">
        <x:v>471</x:v>
      </x:c>
      <x:c r="B352" t="str">
        <x:v>Fighting / Rares</x:v>
      </x:c>
      <x:c r="C352" t="str">
        <x:v>Terrakion</x:v>
      </x:c>
      <x:c r="D352" t="str">
        <x:v>63/98</x:v>
      </x:c>
      <x:c r="E352" t="str">
        <x:v>Emerging Powers</x:v>
      </x:c>
      <x:c r="F352" t="n">
        <x:v>2011</x:v>
      </x:c>
      <x:c r="G352" t="str">
        <x:v>Holofoil Rare</x:v>
      </x:c>
      <x:c r="H352" t="str">
        <x:v>3 of 4</x:v>
      </x:c>
      <x:c r="I352" t="n">
        <x:v>1.5</x:v>
      </x:c>
      <x:c r="J352" t="n">
        <x:v>2.25</x:v>
      </x:c>
      <x:c r="K352" t="n">
        <x:v>1.875</x:v>
      </x:c>
      <x:c r="L352" t="str">
        <x:v>$1–5</x:v>
      </x:c>
      <x:c r="M352" t="str">
        <x:v>Yes</x:v>
      </x:c>
      <x:c r="N352" t="str">
        <x:v>No</x:v>
      </x:c>
      <x:c r="O352" t="str">
        <x:v>Yes</x:v>
      </x:c>
      <x:c r="P352" t="str">
        <x:v>Clean/NM benchmark unless noted</x:v>
      </x:c>
      <x:c r="Q352" t="n">
        <x:v>1.5</x:v>
      </x:c>
      <x:c r="R352" t="n">
        <x:v>2.25</x:v>
      </x:c>
      <x:c r="S352" t="n">
        <x:v>1.875</x:v>
      </x:c>
      <x:c r="T352" t="str">
        <x:v>Emerging Powers Terrakion 63/98 standard holo rare. TCGplayer market about $1.75–1.80. Reverse holo is a separate printing with similar current raw value.</x:v>
      </x:c>
      <x:c r="U352" t="n">
        <x:v>942</x:v>
      </x:c>
      <x:c r="V352" t="str">
        <x:v>Current chat continuation / researched 2026-08-15</x:v>
      </x:c>
      <x:c r="W352" t="str">
        <x:v>https://www.tcgplayer.com/search/pokemon/product?q=Terrakion+Emerging+Powers+63</x:v>
      </x:c>
    </x:row>
    <x:row r="353">
      <x:c r="A353" t="n">
        <x:v>472</x:v>
      </x:c>
      <x:c r="B353" t="str">
        <x:v>Fighting / Rares</x:v>
      </x:c>
      <x:c r="C353" t="str">
        <x:v>Terrakion</x:v>
      </x:c>
      <x:c r="D353" t="str">
        <x:v>63/98</x:v>
      </x:c>
      <x:c r="E353" t="str">
        <x:v>Emerging Powers</x:v>
      </x:c>
      <x:c r="F353" t="n">
        <x:v>2011</x:v>
      </x:c>
      <x:c r="G353" t="str">
        <x:v>Holofoil Rare</x:v>
      </x:c>
      <x:c r="H353" t="str">
        <x:v>4 of 4</x:v>
      </x:c>
      <x:c r="I353" t="n">
        <x:v>1.5</x:v>
      </x:c>
      <x:c r="J353" t="n">
        <x:v>2.25</x:v>
      </x:c>
      <x:c r="K353" t="n">
        <x:v>1.875</x:v>
      </x:c>
      <x:c r="L353" t="str">
        <x:v>$1–5</x:v>
      </x:c>
      <x:c r="M353" t="str">
        <x:v>Yes</x:v>
      </x:c>
      <x:c r="N353" t="str">
        <x:v>No</x:v>
      </x:c>
      <x:c r="O353" t="str">
        <x:v>Yes</x:v>
      </x:c>
      <x:c r="P353" t="str">
        <x:v>Clean/NM benchmark unless noted</x:v>
      </x:c>
      <x:c r="Q353" t="n">
        <x:v>1.5</x:v>
      </x:c>
      <x:c r="R353" t="n">
        <x:v>2.25</x:v>
      </x:c>
      <x:c r="S353" t="n">
        <x:v>1.875</x:v>
      </x:c>
      <x:c r="T353" t="str">
        <x:v>Emerging Powers Terrakion 63/98 standard holo rare. TCGplayer market about $1.75–1.80. Reverse holo is a separate printing with similar current raw value.</x:v>
      </x:c>
      <x:c r="U353" t="n">
        <x:v>942</x:v>
      </x:c>
      <x:c r="V353" t="str">
        <x:v>Current chat continuation / researched 2026-08-15</x:v>
      </x:c>
      <x:c r="W353" t="str">
        <x:v>https://www.tcgplayer.com/search/pokemon/product?q=Terrakion+Emerging+Powers+63</x:v>
      </x:c>
    </x:row>
    <x:row r="354">
      <x:c r="A354" t="n">
        <x:v>473</x:v>
      </x:c>
      <x:c r="B354" t="str">
        <x:v>Fighting / Rares</x:v>
      </x:c>
      <x:c r="C354" t="str">
        <x:v>Krookodile</x:v>
      </x:c>
      <x:c r="D354" t="str">
        <x:v>65/114</x:v>
      </x:c>
      <x:c r="E354" t="str">
        <x:v>Black &amp; White</x:v>
      </x:c>
      <x:c r="F354" t="n">
        <x:v>2011</x:v>
      </x:c>
      <x:c r="G354" t="str">
        <x:v>Holofoil Rare</x:v>
      </x:c>
      <x:c r="H354" t="str">
        <x:v>1 of 1</x:v>
      </x:c>
      <x:c r="I354" t="n">
        <x:v>2.2</x:v>
      </x:c>
      <x:c r="J354" t="n">
        <x:v>3.2</x:v>
      </x:c>
      <x:c r="K354" t="n">
        <x:v>2.7</x:v>
      </x:c>
      <x:c r="L354" t="str">
        <x:v>$1–5</x:v>
      </x:c>
      <x:c r="M354" t="str">
        <x:v>Yes</x:v>
      </x:c>
      <x:c r="N354" t="str">
        <x:v>No</x:v>
      </x:c>
      <x:c r="O354" t="str">
        <x:v>Yes</x:v>
      </x:c>
      <x:c r="P354" t="str">
        <x:v>Clean/NM benchmark unless noted</x:v>
      </x:c>
      <x:c r="Q354" t="n">
        <x:v>2.2</x:v>
      </x:c>
      <x:c r="R354" t="n">
        <x:v>3.2</x:v>
      </x:c>
      <x:c r="S354" t="n">
        <x:v>2.7</x:v>
      </x:c>
      <x:c r="T354" t="str">
        <x:v>Black &amp; White Krookodile 65/114 standard holo rare. Current TCGplayer market about $2.64; reverse holo is a separate printing.</x:v>
      </x:c>
      <x:c r="U354" t="n">
        <x:v>943</x:v>
      </x:c>
      <x:c r="V354" t="str">
        <x:v>Current chat continuation / researched 2026-08-15</x:v>
      </x:c>
      <x:c r="W354" t="str">
        <x:v>https://www.tcgplayer.com/search/pokemon/product?page=1&amp;productLineName=pokemon&amp;productName=Krookodile&amp;view=grid</x:v>
      </x:c>
    </x:row>
    <x:row r="355">
      <x:c r="A355" t="n">
        <x:v>474</x:v>
      </x:c>
      <x:c r="B355" t="str">
        <x:v>Fighting / Rares</x:v>
      </x:c>
      <x:c r="C355" t="str">
        <x:v>Krookodile</x:v>
      </x:c>
      <x:c r="D355" t="str">
        <x:v>62/98</x:v>
      </x:c>
      <x:c r="E355" t="str">
        <x:v>Emerging Powers</x:v>
      </x:c>
      <x:c r="F355" t="n">
        <x:v>2011</x:v>
      </x:c>
      <x:c r="G355" t="str">
        <x:v>Reverse Holo</x:v>
      </x:c>
      <x:c r="H355" t="str">
        <x:v>1 of 1</x:v>
      </x:c>
      <x:c r="I355" t="n">
        <x:v>3</x:v>
      </x:c>
      <x:c r="J355" t="n">
        <x:v>6</x:v>
      </x:c>
      <x:c r="K355" t="n">
        <x:v>4.5</x:v>
      </x:c>
      <x:c r="L355" t="str">
        <x:v>$1–5</x:v>
      </x:c>
      <x:c r="M355" t="str">
        <x:v>Yes</x:v>
      </x:c>
      <x:c r="N355" t="str">
        <x:v>No</x:v>
      </x:c>
      <x:c r="O355" t="str">
        <x:v>Yes</x:v>
      </x:c>
      <x:c r="P355" t="str">
        <x:v>Clean/NM benchmark unless noted</x:v>
      </x:c>
      <x:c r="Q355" t="n">
        <x:v>3</x:v>
      </x:c>
      <x:c r="R355" t="n">
        <x:v>6</x:v>
      </x:c>
      <x:c r="S355" t="n">
        <x:v>4.5</x:v>
      </x:c>
      <x:c r="T355" t="str">
        <x:v>Emerging Powers Krookodile 62/98 reverse holo. PriceCharting current ungraded value about $4.26; recent 2026 NM sales commonly range roughly $3–6.</x:v>
      </x:c>
      <x:c r="U355" t="n">
        <x:v>943</x:v>
      </x:c>
      <x:c r="V355" t="str">
        <x:v>Current chat continuation / researched 2026-08-15</x:v>
      </x:c>
      <x:c r="W355" t="str">
        <x:v>https://www.pricecharting.com/game/pokemon-emerging-powers/krookodile-reverse-holo-62</x:v>
      </x:c>
    </x:row>
    <x:row r="356">
      <x:c r="A356" t="n">
        <x:v>475</x:v>
      </x:c>
      <x:c r="B356" t="str">
        <x:v>Fighting / Rares</x:v>
      </x:c>
      <x:c r="C356" t="str">
        <x:v>Machamp</x:v>
      </x:c>
      <x:c r="D356" t="str">
        <x:v>49/101</x:v>
      </x:c>
      <x:c r="E356" t="str">
        <x:v>Plasma Blast</x:v>
      </x:c>
      <x:c r="F356" t="n">
        <x:v>2013</x:v>
      </x:c>
      <x:c r="G356" t="str">
        <x:v>Holofoil Rare</x:v>
      </x:c>
      <x:c r="H356" t="str">
        <x:v>1 of 1</x:v>
      </x:c>
      <x:c r="I356" t="n">
        <x:v>3</x:v>
      </x:c>
      <x:c r="J356" t="n">
        <x:v>4.5</x:v>
      </x:c>
      <x:c r="K356" t="n">
        <x:v>3.75</x:v>
      </x:c>
      <x:c r="L356" t="str">
        <x:v>$1–5</x:v>
      </x:c>
      <x:c r="M356" t="str">
        <x:v>Yes</x:v>
      </x:c>
      <x:c r="N356" t="str">
        <x:v>No</x:v>
      </x:c>
      <x:c r="O356" t="str">
        <x:v>Yes</x:v>
      </x:c>
      <x:c r="P356" t="str">
        <x:v>Clean/NM benchmark unless noted</x:v>
      </x:c>
      <x:c r="Q356" t="n">
        <x:v>3</x:v>
      </x:c>
      <x:c r="R356" t="n">
        <x:v>4.5</x:v>
      </x:c>
      <x:c r="S356" t="n">
        <x:v>3.75</x:v>
      </x:c>
      <x:c r="T356" t="str">
        <x:v>Plasma Blast Machamp 49/101 standard holo rare. Current TCGplayer market about $3.66. Cosmos holo blister-exclusive is a separate printing worth more.</x:v>
      </x:c>
      <x:c r="U356" t="n">
        <x:v>944</x:v>
      </x:c>
      <x:c r="V356" t="str">
        <x:v>Current chat continuation / researched 2026-08-15</x:v>
      </x:c>
      <x:c r="W356" t="str">
        <x:v>https://www.tcgplayer.com/search/pokemon/product?q=Machamp+Plasma+Blast</x:v>
      </x:c>
    </x:row>
    <x:row r="357">
      <x:c r="A357" t="n">
        <x:v>476</x:v>
      </x:c>
      <x:c r="B357" t="str">
        <x:v>Fighting / Rares</x:v>
      </x:c>
      <x:c r="C357" t="str">
        <x:v>Lucario</x:v>
      </x:c>
      <x:c r="D357" t="str">
        <x:v>80/113</x:v>
      </x:c>
      <x:c r="E357" t="str">
        <x:v>Legendary Treasures</x:v>
      </x:c>
      <x:c r="F357" t="n">
        <x:v>2013</x:v>
      </x:c>
      <x:c r="G357" t="str">
        <x:v>Holofoil Rare</x:v>
      </x:c>
      <x:c r="H357" t="str">
        <x:v>1 of 1</x:v>
      </x:c>
      <x:c r="I357" t="n">
        <x:v>15</x:v>
      </x:c>
      <x:c r="J357" t="n">
        <x:v>22</x:v>
      </x:c>
      <x:c r="K357" t="n">
        <x:v>18.5</x:v>
      </x:c>
      <x:c r="L357" t="str">
        <x:v>$5–20</x:v>
      </x:c>
      <x:c r="M357" t="str">
        <x:v>Yes</x:v>
      </x:c>
      <x:c r="N357" t="str">
        <x:v>Yes</x:v>
      </x:c>
      <x:c r="O357" t="str">
        <x:v>Yes</x:v>
      </x:c>
      <x:c r="P357" t="str">
        <x:v>Clean/NM benchmark unless noted</x:v>
      </x:c>
      <x:c r="Q357" t="n">
        <x:v>15</x:v>
      </x:c>
      <x:c r="R357" t="n">
        <x:v>22</x:v>
      </x:c>
      <x:c r="S357" t="n">
        <x:v>18.5</x:v>
      </x:c>
      <x:c r="T357" t="str">
        <x:v>Legendary Treasures Lucario 80/113 standard holo rare. Current TCGplayer market about $18.13. Reverse holo and Cosmos holo promo are separate, more valuable variants.</x:v>
      </x:c>
      <x:c r="U357" t="n">
        <x:v>944</x:v>
      </x:c>
      <x:c r="V357" t="str">
        <x:v>Current chat continuation / researched 2026-08-15</x:v>
      </x:c>
      <x:c r="W357" t="str">
        <x:v>https://www.tcgplayer.com/search/pokemon/legendary-treasures?page=4&amp;productLineName=pokemon&amp;productTypeName=Cards&amp;setName=legendary-treasures&amp;view=grid</x:v>
      </x:c>
    </x:row>
    <x:row r="358">
      <x:c r="A358" t="n">
        <x:v>477</x:v>
      </x:c>
      <x:c r="B358" t="str">
        <x:v>Fighting / Rares</x:v>
      </x:c>
      <x:c r="C358" t="str">
        <x:v>Kabutops</x:v>
      </x:c>
      <x:c r="D358" t="str">
        <x:v>6/100</x:v>
      </x:c>
      <x:c r="E358" t="str">
        <x:v>Majestic Dawn</x:v>
      </x:c>
      <x:c r="F358" t="n">
        <x:v>2008</x:v>
      </x:c>
      <x:c r="G358" t="str">
        <x:v>Reverse Holo</x:v>
      </x:c>
      <x:c r="H358" t="str">
        <x:v>1 of 1</x:v>
      </x:c>
      <x:c r="I358" t="n">
        <x:v>13</x:v>
      </x:c>
      <x:c r="J358" t="n">
        <x:v>19</x:v>
      </x:c>
      <x:c r="K358" t="n">
        <x:v>16</x:v>
      </x:c>
      <x:c r="L358" t="str">
        <x:v>$5–20</x:v>
      </x:c>
      <x:c r="M358" t="str">
        <x:v>Yes</x:v>
      </x:c>
      <x:c r="N358" t="str">
        <x:v>Yes</x:v>
      </x:c>
      <x:c r="O358" t="str">
        <x:v>Yes</x:v>
      </x:c>
      <x:c r="P358" t="str">
        <x:v>Clean/NM benchmark unless noted</x:v>
      </x:c>
      <x:c r="Q358" t="n">
        <x:v>13</x:v>
      </x:c>
      <x:c r="R358" t="n">
        <x:v>19</x:v>
      </x:c>
      <x:c r="S358" t="n">
        <x:v>16</x:v>
      </x:c>
      <x:c r="T358" t="str">
        <x:v>Majestic Dawn Kabutops 6/100 reverse holo. TCGplayer NM reverse-holo price guide about $17.77; recent raw/NM sales commonly around $10–15+, so working clean/NM range $13–19.</x:v>
      </x:c>
      <x:c r="U358" t="n">
        <x:v>945</x:v>
      </x:c>
      <x:c r="V358" t="str">
        <x:v>Current chat continuation / researched 2026-08-15</x:v>
      </x:c>
      <x:c r="W358" t="str">
        <x:v>https://www.tcgplayer.com/categories/trading-and-collectible-card-games/pokemon/price-guides/majestic-dawn</x:v>
      </x:c>
    </x:row>
    <x:row r="359">
      <x:c r="A359" t="n">
        <x:v>478</x:v>
      </x:c>
      <x:c r="B359" t="str">
        <x:v>Fighting / Rares</x:v>
      </x:c>
      <x:c r="C359" t="str">
        <x:v>Dark Pupitar</x:v>
      </x:c>
      <x:c r="D359" t="str">
        <x:v>38/105</x:v>
      </x:c>
      <x:c r="E359" t="str">
        <x:v>Neo Destiny</x:v>
      </x:c>
      <x:c r="F359" t="n">
        <x:v>2002</x:v>
      </x:c>
      <x:c r="G359" t="str">
        <x:v>Regular (Unlimited assumed)</x:v>
      </x:c>
      <x:c r="H359" t="str">
        <x:v>1 of 1</x:v>
      </x:c>
      <x:c r="I359" t="n">
        <x:v>3</x:v>
      </x:c>
      <x:c r="J359" t="n">
        <x:v>6</x:v>
      </x:c>
      <x:c r="K359" t="n">
        <x:v>4.5</x:v>
      </x:c>
      <x:c r="L359" t="str">
        <x:v>$1–5</x:v>
      </x:c>
      <x:c r="M359" t="str">
        <x:v>Yes</x:v>
      </x:c>
      <x:c r="N359" t="str">
        <x:v>No</x:v>
      </x:c>
      <x:c r="O359" t="str">
        <x:v>Yes</x:v>
      </x:c>
      <x:c r="P359" t="str">
        <x:v>Clean/NM benchmark unless noted</x:v>
      </x:c>
      <x:c r="Q359" t="n">
        <x:v>3</x:v>
      </x:c>
      <x:c r="R359" t="n">
        <x:v>6</x:v>
      </x:c>
      <x:c r="S359" t="n">
        <x:v>4.5</x:v>
      </x:c>
      <x:c r="T359" t="str">
        <x:v>Neo Destiny Dark Pupitar 38/105, Fighting type, Unlimited assumed. PriceCharting ungraded about $4.00; recent NM TCGplayer sales commonly around $3–6. Reprice if 1st Edition.</x:v>
      </x:c>
      <x:c r="U359" t="n">
        <x:v>945</x:v>
      </x:c>
      <x:c r="V359" t="str">
        <x:v>Current chat continuation / researched 2026-08-15</x:v>
      </x:c>
      <x:c r="W359" t="str">
        <x:v>https://www.pricecharting.com/game/pokemon-neo-destiny/dark-pupitar-38</x:v>
      </x:c>
    </x:row>
    <x:row r="360">
      <x:c r="A360" t="n">
        <x:v>480</x:v>
      </x:c>
      <x:c r="B360" t="str">
        <x:v>Fighting / Rares</x:v>
      </x:c>
      <x:c r="C360" t="str">
        <x:v>Aerodactyl</x:v>
      </x:c>
      <x:c r="D360" t="str">
        <x:v>16/62</x:v>
      </x:c>
      <x:c r="E360" t="str">
        <x:v>Fossil</x:v>
      </x:c>
      <x:c r="F360" t="n">
        <x:v>1999</x:v>
      </x:c>
      <x:c r="G360" t="str">
        <x:v>Regular Rare (Unlimited assumed)</x:v>
      </x:c>
      <x:c r="H360" t="str">
        <x:v>1 of 1</x:v>
      </x:c>
      <x:c r="I360" t="n">
        <x:v>5</x:v>
      </x:c>
      <x:c r="J360" t="n">
        <x:v>8.5</x:v>
      </x:c>
      <x:c r="K360" t="n">
        <x:v>6.75</x:v>
      </x:c>
      <x:c r="L360" t="str">
        <x:v>$5–20</x:v>
      </x:c>
      <x:c r="M360" t="str">
        <x:v>Yes</x:v>
      </x:c>
      <x:c r="N360" t="str">
        <x:v>No</x:v>
      </x:c>
      <x:c r="O360" t="str">
        <x:v>Yes</x:v>
      </x:c>
      <x:c r="P360" t="str">
        <x:v>Clean/NM benchmark unless noted</x:v>
      </x:c>
      <x:c r="Q360" t="n">
        <x:v>5</x:v>
      </x:c>
      <x:c r="R360" t="n">
        <x:v>8.5</x:v>
      </x:c>
      <x:c r="S360" t="n">
        <x:v>6.75</x:v>
      </x:c>
      <x:c r="T360" t="str">
        <x:v>Fossil Aerodactyl 16/62 non-holo rare, Unlimited assumed. TCGplayer Fossil NM guide about $6.55 and PriceCharting ungraded about $5.87; working clean/NM range $5–8.50. Reprice if 1st Edition.</x:v>
      </x:c>
      <x:c r="U360" t="n">
        <x:v>946</x:v>
      </x:c>
      <x:c r="V360" t="str">
        <x:v>Current chat continuation / researched 2026-08-15</x:v>
      </x:c>
      <x:c r="W360" t="str">
        <x:v>https://www.tcgplayer.com/categories/trading-and-collectible-card-games/pokemon/price-guides/fossil</x:v>
      </x:c>
    </x:row>
    <x:row r="361">
      <x:c r="A361" t="n">
        <x:v>481</x:v>
      </x:c>
      <x:c r="B361" t="str">
        <x:v>Fighting / Rares</x:v>
      </x:c>
      <x:c r="C361" t="str">
        <x:v>Dark Machamp</x:v>
      </x:c>
      <x:c r="D361" t="str">
        <x:v>27/82</x:v>
      </x:c>
      <x:c r="E361" t="str">
        <x:v>Team Rocket</x:v>
      </x:c>
      <x:c r="F361" t="n">
        <x:v>2000</x:v>
      </x:c>
      <x:c r="G361" t="str">
        <x:v>Regular Rare (Unlimited assumed)</x:v>
      </x:c>
      <x:c r="H361" t="str">
        <x:v>1 of 1</x:v>
      </x:c>
      <x:c r="I361" t="n">
        <x:v>5</x:v>
      </x:c>
      <x:c r="J361" t="n">
        <x:v>9</x:v>
      </x:c>
      <x:c r="K361" t="n">
        <x:v>7</x:v>
      </x:c>
      <x:c r="L361" t="str">
        <x:v>$5–20</x:v>
      </x:c>
      <x:c r="M361" t="str">
        <x:v>Yes</x:v>
      </x:c>
      <x:c r="N361" t="str">
        <x:v>No</x:v>
      </x:c>
      <x:c r="O361" t="str">
        <x:v>Yes</x:v>
      </x:c>
      <x:c r="P361" t="str">
        <x:v>Clean/NM benchmark unless noted</x:v>
      </x:c>
      <x:c r="Q361" t="n">
        <x:v>5</x:v>
      </x:c>
      <x:c r="R361" t="n">
        <x:v>9</x:v>
      </x:c>
      <x:c r="S361" t="n">
        <x:v>7</x:v>
      </x:c>
      <x:c r="T361" t="str">
        <x:v>Team Rocket Dark Machamp 27/82 non-holo rare, Unlimited assumed. TCGplayer marketplace headline market is currently much higher, but PriceCharting recent ungraded sales are around $5.50 and NM listings begin around $8.49; working range $5–9. Reprice if 1st Edition.</x:v>
      </x:c>
      <x:c r="U361" t="n">
        <x:v>946</x:v>
      </x:c>
      <x:c r="V361" t="str">
        <x:v>Current chat continuation / researched 2026-08-15</x:v>
      </x:c>
      <x:c r="W361" t="str">
        <x:v>https://www.pricecharting.com/game/pokemon-team-rocket/dark-machamp-27</x:v>
      </x:c>
    </x:row>
    <x:row r="362">
      <x:c r="A362" t="n">
        <x:v>482</x:v>
      </x:c>
      <x:c r="B362" t="str">
        <x:v>Fighting / Rares</x:v>
      </x:c>
      <x:c r="C362" t="str">
        <x:v>Cacturne δ</x:v>
      </x:c>
      <x:c r="D362" t="str">
        <x:v>15/100</x:v>
      </x:c>
      <x:c r="E362" t="str">
        <x:v>EX Crystal Guardians</x:v>
      </x:c>
      <x:c r="F362" t="n">
        <x:v>2006</x:v>
      </x:c>
      <x:c r="G362" t="str">
        <x:v>Stamped Reverse Holo (Delta Species — Fighting type)</x:v>
      </x:c>
      <x:c r="H362" t="str">
        <x:v>1 of 1</x:v>
      </x:c>
      <x:c r="I362" t="n">
        <x:v>20</x:v>
      </x:c>
      <x:c r="J362" t="n">
        <x:v>29</x:v>
      </x:c>
      <x:c r="K362" t="n">
        <x:v>24.5</x:v>
      </x:c>
      <x:c r="L362" t="str">
        <x:v>$20+</x:v>
      </x:c>
      <x:c r="M362" t="str">
        <x:v>Yes</x:v>
      </x:c>
      <x:c r="N362" t="str">
        <x:v>Yes</x:v>
      </x:c>
      <x:c r="O362" t="str">
        <x:v>Yes</x:v>
      </x:c>
      <x:c r="P362" t="str">
        <x:v>Clean/NM benchmark unless noted</x:v>
      </x:c>
      <x:c r="Q362" t="n">
        <x:v>20</x:v>
      </x:c>
      <x:c r="R362" t="n">
        <x:v>29</x:v>
      </x:c>
      <x:c r="S362" t="n">
        <x:v>24.5</x:v>
      </x:c>
      <x:c r="T362" t="str">
        <x:v>EX Crystal Guardians Cacturne δ 15/100 stamped reverse holo; Fighting-type Delta Species. User identified the Crystal Guardians logo stamp. TCGplayer NM reverse-holo market about $24.43.</x:v>
      </x:c>
      <x:c r="U362" t="n">
        <x:v>946</x:v>
      </x:c>
      <x:c r="V362" t="str">
        <x:v>Current chat continuation / researched 2026-08-15</x:v>
      </x:c>
      <x:c r="W362" t="str">
        <x:v>https://www.tcgplayer.com/categories/trading-and-collectible-card-games/pokemon/price-guides/crystal-guardians</x:v>
      </x:c>
    </x:row>
    <x:row r="363">
      <x:c r="A363" t="n">
        <x:v>483</x:v>
      </x:c>
      <x:c r="B363" t="str">
        <x:v>Fighting / Rares</x:v>
      </x:c>
      <x:c r="C363" t="str">
        <x:v>Crustle</x:v>
      </x:c>
      <x:c r="D363" t="str">
        <x:v>85/149</x:v>
      </x:c>
      <x:c r="E363" t="str">
        <x:v>Boundaries Crossed</x:v>
      </x:c>
      <x:c r="F363" t="n">
        <x:v>2012</x:v>
      </x:c>
      <x:c r="G363" t="str">
        <x:v>Holofoil Rare</x:v>
      </x:c>
      <x:c r="H363" t="str">
        <x:v>1 of 1</x:v>
      </x:c>
      <x:c r="I363" t="n">
        <x:v>2.5</x:v>
      </x:c>
      <x:c r="J363" t="n">
        <x:v>4.5</x:v>
      </x:c>
      <x:c r="K363" t="n">
        <x:v>3.5</x:v>
      </x:c>
      <x:c r="L363" t="str">
        <x:v>$1–5</x:v>
      </x:c>
      <x:c r="M363" t="str">
        <x:v>Yes</x:v>
      </x:c>
      <x:c r="N363" t="str">
        <x:v>No</x:v>
      </x:c>
      <x:c r="O363" t="str">
        <x:v>Yes</x:v>
      </x:c>
      <x:c r="P363" t="str">
        <x:v>Clean/NM benchmark unless noted</x:v>
      </x:c>
      <x:c r="Q363" t="n">
        <x:v>2.5</x:v>
      </x:c>
      <x:c r="R363" t="n">
        <x:v>4.5</x:v>
      </x:c>
      <x:c r="S363" t="n">
        <x:v>3.5</x:v>
      </x:c>
      <x:c r="T363" t="str">
        <x:v>Boundaries Crossed Crustle 85/149 standard holo rare. Current TCGplayer market about $3.64; recent sold comps commonly around $2.75–3.80.</x:v>
      </x:c>
      <x:c r="U363" t="n">
        <x:v>947</x:v>
      </x:c>
      <x:c r="V363" t="str">
        <x:v>Current chat continuation / researched 2026-08-15</x:v>
      </x:c>
      <x:c r="W363" t="str">
        <x:v>https://www.tcgplayer.com/search/pokemon/product?productLineName=pokemon&amp;q=Crustle&amp;view=grid</x:v>
      </x:c>
    </x:row>
    <x:row r="364">
      <x:c r="A364" t="n">
        <x:v>484</x:v>
      </x:c>
      <x:c r="B364" t="str">
        <x:v>Fighting / Rares</x:v>
      </x:c>
      <x:c r="C364" t="str">
        <x:v>Crustle</x:v>
      </x:c>
      <x:c r="D364" t="str">
        <x:v>85/149</x:v>
      </x:c>
      <x:c r="E364" t="str">
        <x:v>Boundaries Crossed</x:v>
      </x:c>
      <x:c r="F364" t="n">
        <x:v>2012</x:v>
      </x:c>
      <x:c r="G364" t="str">
        <x:v>Reverse Holo</x:v>
      </x:c>
      <x:c r="H364" t="str">
        <x:v>1 of 1</x:v>
      </x:c>
      <x:c r="I364" t="n">
        <x:v>3.5</x:v>
      </x:c>
      <x:c r="J364" t="n">
        <x:v>5.5</x:v>
      </x:c>
      <x:c r="K364" t="n">
        <x:v>4.5</x:v>
      </x:c>
      <x:c r="L364" t="str">
        <x:v>$1–5</x:v>
      </x:c>
      <x:c r="M364" t="str">
        <x:v>Yes</x:v>
      </x:c>
      <x:c r="N364" t="str">
        <x:v>No</x:v>
      </x:c>
      <x:c r="O364" t="str">
        <x:v>Yes</x:v>
      </x:c>
      <x:c r="P364" t="str">
        <x:v>Clean/NM benchmark unless noted</x:v>
      </x:c>
      <x:c r="Q364" t="n">
        <x:v>3.5</x:v>
      </x:c>
      <x:c r="R364" t="n">
        <x:v>5.5</x:v>
      </x:c>
      <x:c r="S364" t="n">
        <x:v>4.5</x:v>
      </x:c>
      <x:c r="T364" t="str">
        <x:v>Boundaries Crossed Crustle 85/149 reverse holo. PriceCharting ungraded about $5.00; recent 2026 NM TCGplayer sales around $4.74–5.37.</x:v>
      </x:c>
      <x:c r="U364" t="n">
        <x:v>947</x:v>
      </x:c>
      <x:c r="V364" t="str">
        <x:v>Current chat continuation / researched 2026-08-15</x:v>
      </x:c>
      <x:c r="W364" t="str">
        <x:v>https://www.pricecharting.com/game/pokemon-boundaries-crossed/crustle-reverse-holo-85</x:v>
      </x:c>
    </x:row>
    <x:row r="365">
      <x:c r="A365" t="n">
        <x:v>485</x:v>
      </x:c>
      <x:c r="B365" t="str">
        <x:v>Fighting / Rares</x:v>
      </x:c>
      <x:c r="C365" t="str">
        <x:v>Marowak</x:v>
      </x:c>
      <x:c r="D365" t="str">
        <x:v>61/124</x:v>
      </x:c>
      <x:c r="E365" t="str">
        <x:v>Dragons Exalted</x:v>
      </x:c>
      <x:c r="F365" t="n">
        <x:v>2012</x:v>
      </x:c>
      <x:c r="G365" t="str">
        <x:v>Reverse Holo</x:v>
      </x:c>
      <x:c r="H365" t="str">
        <x:v>1 of 1</x:v>
      </x:c>
      <x:c r="I365" t="n">
        <x:v>1.5</x:v>
      </x:c>
      <x:c r="J365" t="n">
        <x:v>4</x:v>
      </x:c>
      <x:c r="K365" t="n">
        <x:v>2.75</x:v>
      </x:c>
      <x:c r="L365" t="str">
        <x:v>$1–5</x:v>
      </x:c>
      <x:c r="M365" t="str">
        <x:v>Yes</x:v>
      </x:c>
      <x:c r="N365" t="str">
        <x:v>No</x:v>
      </x:c>
      <x:c r="O365" t="str">
        <x:v>Yes</x:v>
      </x:c>
      <x:c r="P365" t="str">
        <x:v>Clean/NM benchmark unless noted</x:v>
      </x:c>
      <x:c r="Q365" t="n">
        <x:v>1.5</x:v>
      </x:c>
      <x:c r="R365" t="n">
        <x:v>4</x:v>
      </x:c>
      <x:c r="S365" t="n">
        <x:v>2.75</x:v>
      </x:c>
      <x:c r="T365" t="str">
        <x:v>Dragons Exalted Marowak 61/124 reverse holo. TCGplayer comparison about $2.13 and PriceCharting ungraded about $2.65; recent sales vary.</x:v>
      </x:c>
      <x:c r="U365" t="n">
        <x:v>947</x:v>
      </x:c>
      <x:c r="V365" t="str">
        <x:v>Current chat continuation / researched 2026-08-15</x:v>
      </x:c>
      <x:c r="W365" t="str">
        <x:v>https://www.pricecharting.com/game/pokemon-dragons-exalted/marowak-reverse-holo-61</x:v>
      </x:c>
    </x:row>
    <x:row r="366">
      <x:c r="A366" t="n">
        <x:v>486</x:v>
      </x:c>
      <x:c r="B366" t="str">
        <x:v>Fighting / Rares</x:v>
      </x:c>
      <x:c r="C366" t="str">
        <x:v>Claydol</x:v>
      </x:c>
      <x:c r="D366" t="str">
        <x:v>64/124</x:v>
      </x:c>
      <x:c r="E366" t="str">
        <x:v>Dragons Exalted</x:v>
      </x:c>
      <x:c r="F366" t="n">
        <x:v>2012</x:v>
      </x:c>
      <x:c r="G366" t="str">
        <x:v>Reverse Holo</x:v>
      </x:c>
      <x:c r="H366" t="str">
        <x:v>1 of 1</x:v>
      </x:c>
      <x:c r="I366" t="n">
        <x:v>0.7</x:v>
      </x:c>
      <x:c r="J366" t="n">
        <x:v>1.5</x:v>
      </x:c>
      <x:c r="K366" t="n">
        <x:v>1.1</x:v>
      </x:c>
      <x:c r="L366" t="str">
        <x:v>$1–5</x:v>
      </x:c>
      <x:c r="M366" t="str">
        <x:v>Yes</x:v>
      </x:c>
      <x:c r="N366" t="str">
        <x:v>No</x:v>
      </x:c>
      <x:c r="O366" t="str">
        <x:v>Yes</x:v>
      </x:c>
      <x:c r="P366" t="str">
        <x:v>Clean/NM benchmark unless noted</x:v>
      </x:c>
      <x:c r="Q366" t="n">
        <x:v>0.7</x:v>
      </x:c>
      <x:c r="R366" t="n">
        <x:v>1.5</x:v>
      </x:c>
      <x:c r="S366" t="n">
        <x:v>1.1</x:v>
      </x:c>
      <x:c r="T366" t="str">
        <x:v>Dragons Exalted Claydol 64/124 reverse holo. TCGplayer NM guide about $0.85; broader ungraded tracking about $1.14, so kept on the about-$1 separator.</x:v>
      </x:c>
      <x:c r="U366" t="n">
        <x:v>947</x:v>
      </x:c>
      <x:c r="V366" t="str">
        <x:v>Current chat continuation / researched 2026-08-15</x:v>
      </x:c>
      <x:c r="W366" t="str">
        <x:v>https://www.pricecharting.com/game/pokemon-dragons-exalted/claydol-reverse-holo-64</x:v>
      </x:c>
    </x:row>
    <x:row r="367">
      <x:c r="A367" t="n">
        <x:v>487</x:v>
      </x:c>
      <x:c r="B367" t="str">
        <x:v>Fighting / Rares</x:v>
      </x:c>
      <x:c r="C367" t="str">
        <x:v>Gliscor LV.X</x:v>
      </x:c>
      <x:c r="D367" t="str">
        <x:v>141/146</x:v>
      </x:c>
      <x:c r="E367" t="str">
        <x:v>Legends Awakened</x:v>
      </x:c>
      <x:c r="F367" t="n">
        <x:v>2008</x:v>
      </x:c>
      <x:c r="G367" t="str">
        <x:v>Holofoil Ultra Rare (LV.X)</x:v>
      </x:c>
      <x:c r="H367" t="str">
        <x:v>1 of 4</x:v>
      </x:c>
      <x:c r="I367" t="n">
        <x:v>80</x:v>
      </x:c>
      <x:c r="J367" t="n">
        <x:v>100</x:v>
      </x:c>
      <x:c r="K367" t="n">
        <x:v>90</x:v>
      </x:c>
      <x:c r="L367" t="str">
        <x:v>$20+</x:v>
      </x:c>
      <x:c r="M367" t="str">
        <x:v>Yes</x:v>
      </x:c>
      <x:c r="N367" t="str">
        <x:v>Yes</x:v>
      </x:c>
      <x:c r="O367" t="str">
        <x:v>Yes</x:v>
      </x:c>
      <x:c r="P367" t="str">
        <x:v>Played / likely MP; exact condition TBD</x:v>
      </x:c>
      <x:c r="Q367" t="n">
        <x:v>25</x:v>
      </x:c>
      <x:c r="R367" t="n">
        <x:v>40</x:v>
      </x:c>
      <x:c r="S367" t="n">
        <x:v>32.5</x:v>
      </x:c>
      <x:c r="T367"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367" t="n">
        <x:v>948</x:v>
      </x:c>
      <x:c r="V367" t="str">
        <x:v>Current chat continuation / researched 2026-08-15</x:v>
      </x:c>
      <x:c r="W367" t="str">
        <x:v>https://www.pricecharting.com/game/pokemon-legends-awakened/gliscor-lv-x-141</x:v>
      </x:c>
    </x:row>
    <x:row r="368">
      <x:c r="A368" t="n">
        <x:v>488</x:v>
      </x:c>
      <x:c r="B368" t="str">
        <x:v>Fighting / Rares</x:v>
      </x:c>
      <x:c r="C368" t="str">
        <x:v>Gliscor LV.X</x:v>
      </x:c>
      <x:c r="D368" t="str">
        <x:v>141/146</x:v>
      </x:c>
      <x:c r="E368" t="str">
        <x:v>Legends Awakened</x:v>
      </x:c>
      <x:c r="F368" t="n">
        <x:v>2008</x:v>
      </x:c>
      <x:c r="G368" t="str">
        <x:v>Holofoil Ultra Rare (LV.X)</x:v>
      </x:c>
      <x:c r="H368" t="str">
        <x:v>2 of 4</x:v>
      </x:c>
      <x:c r="I368" t="n">
        <x:v>80</x:v>
      </x:c>
      <x:c r="J368" t="n">
        <x:v>100</x:v>
      </x:c>
      <x:c r="K368" t="n">
        <x:v>90</x:v>
      </x:c>
      <x:c r="L368" t="str">
        <x:v>$20+</x:v>
      </x:c>
      <x:c r="M368" t="str">
        <x:v>Yes</x:v>
      </x:c>
      <x:c r="N368" t="str">
        <x:v>Yes</x:v>
      </x:c>
      <x:c r="O368" t="str">
        <x:v>Yes</x:v>
      </x:c>
      <x:c r="P368" t="str">
        <x:v>Played / likely MP; exact condition TBD</x:v>
      </x:c>
      <x:c r="Q368" t="n">
        <x:v>25</x:v>
      </x:c>
      <x:c r="R368" t="n">
        <x:v>40</x:v>
      </x:c>
      <x:c r="S368" t="n">
        <x:v>32.5</x:v>
      </x:c>
      <x:c r="T368"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368" t="n">
        <x:v>948</x:v>
      </x:c>
      <x:c r="V368" t="str">
        <x:v>Current chat continuation / researched 2026-08-15</x:v>
      </x:c>
      <x:c r="W368" t="str">
        <x:v>https://www.pricecharting.com/game/pokemon-legends-awakened/gliscor-lv-x-141</x:v>
      </x:c>
    </x:row>
    <x:row r="369">
      <x:c r="A369" t="n">
        <x:v>489</x:v>
      </x:c>
      <x:c r="B369" t="str">
        <x:v>Fighting / Rares</x:v>
      </x:c>
      <x:c r="C369" t="str">
        <x:v>Gliscor</x:v>
      </x:c>
      <x:c r="D369" t="str">
        <x:v>5/146</x:v>
      </x:c>
      <x:c r="E369" t="str">
        <x:v>Legends Awakened</x:v>
      </x:c>
      <x:c r="F369" t="n">
        <x:v>2008</x:v>
      </x:c>
      <x:c r="G369" t="str">
        <x:v>Holofoil Rare (LV.42)</x:v>
      </x:c>
      <x:c r="H369" t="str">
        <x:v>1 of 1</x:v>
      </x:c>
      <x:c r="I369" t="n">
        <x:v>10</x:v>
      </x:c>
      <x:c r="J369" t="n">
        <x:v>22</x:v>
      </x:c>
      <x:c r="K369" t="n">
        <x:v>16</x:v>
      </x:c>
      <x:c r="L369" t="str">
        <x:v>$5–20</x:v>
      </x:c>
      <x:c r="M369" t="str">
        <x:v>Yes</x:v>
      </x:c>
      <x:c r="N369" t="str">
        <x:v>Yes</x:v>
      </x:c>
      <x:c r="O369" t="str">
        <x:v>Yes</x:v>
      </x:c>
      <x:c r="P369" t="str">
        <x:v>Clean/NM benchmark unless noted</x:v>
      </x:c>
      <x:c r="Q369" t="n">
        <x:v>10</x:v>
      </x:c>
      <x:c r="R369" t="n">
        <x:v>22</x:v>
      </x:c>
      <x:c r="S369" t="n">
        <x:v>16</x:v>
      </x:c>
      <x:c r="T369" t="str">
        <x:v>Legends Awakened Gliscor LV.42 5/146 standard holo rare. TCGplayer current market about $23.42; recent 2026 NM sales range from roughly $9 to $25.48, with recent NM eBay sales around $9.24–14.99. Working clean/NM range $10–22.</x:v>
      </x:c>
      <x:c r="U369" t="n">
        <x:v>948</x:v>
      </x:c>
      <x:c r="V369" t="str">
        <x:v>Current chat continuation / researched 2026-08-15</x:v>
      </x:c>
      <x:c r="W369" t="str">
        <x:v>https://www.pricecharting.com/game/pokemon-legends-awakened/gliscor-holo-5</x:v>
      </x:c>
    </x:row>
    <x:row r="370">
      <x:c r="A370" t="n">
        <x:v>490</x:v>
      </x:c>
      <x:c r="B370" t="str">
        <x:v>Fighting / Rares</x:v>
      </x:c>
      <x:c r="C370" t="str">
        <x:v>Excadrill</x:v>
      </x:c>
      <x:c r="D370" t="str">
        <x:v>57/?</x:v>
      </x:c>
      <x:c r="E370" t="str">
        <x:v>Set unresolved</x:v>
      </x:c>
      <x:c r="F370"/>
      <x:c r="G370" t="str">
        <x:v>Reverse Holo</x:v>
      </x:c>
      <x:c r="H370" t="str">
        <x:v>1 of 2</x:v>
      </x:c>
      <x:c r="I370"/>
      <x:c r="J370"/>
      <x:c r="K370"/>
      <x:c r="L370" t="str">
        <x:v>Needs ID</x:v>
      </x:c>
      <x:c r="M370" t="str">
        <x:v>Yes</x:v>
      </x:c>
      <x:c r="N370" t="str">
        <x:v>No</x:v>
      </x:c>
      <x:c r="O370" t="str">
        <x:v>Yes</x:v>
      </x:c>
      <x:c r="P370" t="str">
        <x:v>Needs denominator/set confirmation</x:v>
      </x:c>
      <x:c r="Q370"/>
      <x:c r="R370"/>
      <x:c r="S370"/>
      <x:c r="T370" t="str">
        <x:v>Excadrill #57 reverse holo is ambiguous: 57/98 = Emerging Powers or 57/108 = Dark Explorers. Both reverse printings are currently around the $1–2 range; denominator needed before assigning exact set/value.</x:v>
      </x:c>
      <x:c r="U370" t="n">
        <x:v>949</x:v>
      </x:c>
      <x:c r="V370" t="str">
        <x:v>Current chat continuation / unresolved 2026-08-15</x:v>
      </x:c>
      <x:c r="W370" t="str">
        <x:v>https://www.tcgplayer.com/search/pokemon/product?Language=English&amp;page=1&amp;productLineName=pokemon&amp;productName=Excadrill+%2857%29&amp;view=grid</x:v>
      </x:c>
    </x:row>
    <x:row r="371">
      <x:c r="A371" t="n">
        <x:v>491</x:v>
      </x:c>
      <x:c r="B371" t="str">
        <x:v>Fighting / Rares</x:v>
      </x:c>
      <x:c r="C371" t="str">
        <x:v>Excadrill</x:v>
      </x:c>
      <x:c r="D371" t="str">
        <x:v>57/?</x:v>
      </x:c>
      <x:c r="E371" t="str">
        <x:v>Set unresolved</x:v>
      </x:c>
      <x:c r="F371"/>
      <x:c r="G371" t="str">
        <x:v>Reverse Holo</x:v>
      </x:c>
      <x:c r="H371" t="str">
        <x:v>2 of 2</x:v>
      </x:c>
      <x:c r="I371"/>
      <x:c r="J371"/>
      <x:c r="K371"/>
      <x:c r="L371" t="str">
        <x:v>Needs ID</x:v>
      </x:c>
      <x:c r="M371" t="str">
        <x:v>Yes</x:v>
      </x:c>
      <x:c r="N371" t="str">
        <x:v>No</x:v>
      </x:c>
      <x:c r="O371" t="str">
        <x:v>Yes</x:v>
      </x:c>
      <x:c r="P371" t="str">
        <x:v>Needs denominator/set confirmation</x:v>
      </x:c>
      <x:c r="Q371"/>
      <x:c r="R371"/>
      <x:c r="S371"/>
      <x:c r="T371" t="str">
        <x:v>Excadrill #57 reverse holo is ambiguous: 57/98 = Emerging Powers or 57/108 = Dark Explorers. Both reverse printings are currently around the $1–2 range; denominator needed before assigning exact set/value.</x:v>
      </x:c>
      <x:c r="U371" t="n">
        <x:v>949</x:v>
      </x:c>
      <x:c r="V371" t="str">
        <x:v>Current chat continuation / unresolved 2026-08-15</x:v>
      </x:c>
      <x:c r="W371" t="str">
        <x:v>https://www.tcgplayer.com/search/pokemon/product?Language=English&amp;page=1&amp;productLineName=pokemon&amp;productName=Excadrill+%2857%29&amp;view=grid</x:v>
      </x:c>
    </x:row>
    <x:row r="372">
      <x:c r="A372" t="n">
        <x:v>492</x:v>
      </x:c>
      <x:c r="B372" t="str">
        <x:v>Fighting / Rares</x:v>
      </x:c>
      <x:c r="C372" t="str">
        <x:v>Excadrill</x:v>
      </x:c>
      <x:c r="D372" t="str">
        <x:v>56/98</x:v>
      </x:c>
      <x:c r="E372" t="str">
        <x:v>Emerging Powers</x:v>
      </x:c>
      <x:c r="F372" t="n">
        <x:v>2011</x:v>
      </x:c>
      <x:c r="G372" t="str">
        <x:v>Reverse Holo</x:v>
      </x:c>
      <x:c r="H372" t="str">
        <x:v>1 of 1</x:v>
      </x:c>
      <x:c r="I372" t="n">
        <x:v>1.5</x:v>
      </x:c>
      <x:c r="J372" t="n">
        <x:v>3.25</x:v>
      </x:c>
      <x:c r="K372" t="n">
        <x:v>2.375</x:v>
      </x:c>
      <x:c r="L372" t="str">
        <x:v>$1–5</x:v>
      </x:c>
      <x:c r="M372" t="str">
        <x:v>Yes</x:v>
      </x:c>
      <x:c r="N372" t="str">
        <x:v>No</x:v>
      </x:c>
      <x:c r="O372" t="str">
        <x:v>Yes</x:v>
      </x:c>
      <x:c r="P372" t="str">
        <x:v>Clean/NM benchmark unless noted</x:v>
      </x:c>
      <x:c r="Q372" t="n">
        <x:v>1.5</x:v>
      </x:c>
      <x:c r="R372" t="n">
        <x:v>3.25</x:v>
      </x:c>
      <x:c r="S372" t="n">
        <x:v>2.375</x:v>
      </x:c>
      <x:c r="T372" t="str">
        <x:v>Emerging Powers Excadrill 56/98 reverse holo. PriceCharting ungraded about $2.48; recent NM sales include about $1.85 and $2.93. Working clean/NM range $1.50–3.25.</x:v>
      </x:c>
      <x:c r="U372" t="n">
        <x:v>949</x:v>
      </x:c>
      <x:c r="V372" t="str">
        <x:v>Current chat continuation / researched 2026-08-15</x:v>
      </x:c>
      <x:c r="W372" t="str">
        <x:v>https://www.pricecharting.com/game/pokemon-emerging-powers/excadrill-reverse-holo-56</x:v>
      </x:c>
    </x:row>
    <x:row r="373">
      <x:c r="A373" t="n">
        <x:v>493</x:v>
      </x:c>
      <x:c r="B373" t="str">
        <x:v>Fighting / Rares</x:v>
      </x:c>
      <x:c r="C373" t="str">
        <x:v>Excadrill</x:v>
      </x:c>
      <x:c r="D373" t="str">
        <x:v>56/98</x:v>
      </x:c>
      <x:c r="E373" t="str">
        <x:v>Emerging Powers</x:v>
      </x:c>
      <x:c r="F373" t="n">
        <x:v>2011</x:v>
      </x:c>
      <x:c r="G373" t="str">
        <x:v>Holofoil Rare</x:v>
      </x:c>
      <x:c r="H373" t="str">
        <x:v>1 of 1</x:v>
      </x:c>
      <x:c r="I373" t="n">
        <x:v>1.5</x:v>
      </x:c>
      <x:c r="J373" t="n">
        <x:v>3</x:v>
      </x:c>
      <x:c r="K373" t="n">
        <x:v>2.25</x:v>
      </x:c>
      <x:c r="L373" t="str">
        <x:v>$1–5</x:v>
      </x:c>
      <x:c r="M373" t="str">
        <x:v>Yes</x:v>
      </x:c>
      <x:c r="N373" t="str">
        <x:v>No</x:v>
      </x:c>
      <x:c r="O373" t="str">
        <x:v>Yes</x:v>
      </x:c>
      <x:c r="P373" t="str">
        <x:v>Clean/NM benchmark unless noted</x:v>
      </x:c>
      <x:c r="Q373" t="n">
        <x:v>1.5</x:v>
      </x:c>
      <x:c r="R373" t="n">
        <x:v>3</x:v>
      </x:c>
      <x:c r="S373" t="n">
        <x:v>2.25</x:v>
      </x:c>
      <x:c r="T373" t="str">
        <x:v>Emerging Powers Excadrill 56/98 standard holo rare. Recent NM sale about $2.65; working clean/NM range $1.50–3.00. Separate Cosmos Holo promo exists and is materially higher (~$7 current signal); reclassify if foil pattern is Cosmos/starry.</x:v>
      </x:c>
      <x:c r="U373" t="n">
        <x:v>949</x:v>
      </x:c>
      <x:c r="V373" t="str">
        <x:v>Current chat continuation / researched 2026-08-15</x:v>
      </x:c>
      <x:c r="W373" t="str">
        <x:v>https://www.sportscardinvestor.com/cards/excadrill-pokemon/2011-black-white-emerging-powers-holo-56-98</x:v>
      </x:c>
    </x:row>
    <x:row r="374">
      <x:c r="A374" t="n">
        <x:v>494</x:v>
      </x:c>
      <x:c r="B374" t="str">
        <x:v>Electric / Commons</x:v>
      </x:c>
      <x:c r="C374" t="str">
        <x:v>Charmander δ</x:v>
      </x:c>
      <x:c r="D374" t="str">
        <x:v>49/100</x:v>
      </x:c>
      <x:c r="E374" t="str">
        <x:v>EX Crystal Guardians</x:v>
      </x:c>
      <x:c r="F374" t="n">
        <x:v>2006</x:v>
      </x:c>
      <x:c r="G374" t="str">
        <x:v>Regular (Delta Species — Lightning type)</x:v>
      </x:c>
      <x:c r="H374" t="str">
        <x:v>1 of 1</x:v>
      </x:c>
      <x:c r="I374" t="n">
        <x:v>4.5</x:v>
      </x:c>
      <x:c r="J374" t="n">
        <x:v>7</x:v>
      </x:c>
      <x:c r="K374" t="n">
        <x:v>5.75</x:v>
      </x:c>
      <x:c r="L374" t="str">
        <x:v>$5–20</x:v>
      </x:c>
      <x:c r="M374" t="str">
        <x:v>Yes</x:v>
      </x:c>
      <x:c r="N374" t="str">
        <x:v>No</x:v>
      </x:c>
      <x:c r="O374" t="str">
        <x:v>Yes</x:v>
      </x:c>
      <x:c r="P374" t="str">
        <x:v>Clean/NM benchmark unless noted</x:v>
      </x:c>
      <x:c r="Q374" t="n">
        <x:v>4.5</x:v>
      </x:c>
      <x:c r="R374" t="n">
        <x:v>7</x:v>
      </x:c>
      <x:c r="S374" t="n">
        <x:v>5.75</x:v>
      </x:c>
      <x:c r="T374" t="str">
        <x:v>EX Crystal Guardians Charmander δ 49/100 regular non-stamped printing; Lightning-type Delta Species. PriceCharting ungraded $4.50, TCGplayer current comparison about $6.21, with recent NM TCGplayer sales around $5.00–6.99. If the card has the Crystal Guardians set-logo stamp, reclassify as stamped reverse holo; that variant is dramatically more valuable.</x:v>
      </x:c>
      <x:c r="U374" t="n">
        <x:v>950</x:v>
      </x:c>
      <x:c r="V374" t="str">
        <x:v>Current chat continuation / researched 2026-08-15</x:v>
      </x:c>
      <x:c r="W374" t="str">
        <x:v>https://www.pricecharting.com/game/pokemon-crystal-guardians/charmander-49</x:v>
      </x:c>
    </x:row>
    <x:row r="375">
      <x:c r="A375" t="n">
        <x:v>495</x:v>
      </x:c>
      <x:c r="B375" t="str">
        <x:v>Electric / Uncommons</x:v>
      </x:c>
      <x:c r="C375" t="str">
        <x:v>Raichu</x:v>
      </x:c>
      <x:c r="D375" t="str">
        <x:v>77/147</x:v>
      </x:c>
      <x:c r="E375" t="str">
        <x:v>Supreme Victors</x:v>
      </x:c>
      <x:c r="F375" t="n">
        <x:v>2009</x:v>
      </x:c>
      <x:c r="G375" t="str">
        <x:v>Reverse Holo (LV.35)</x:v>
      </x:c>
      <x:c r="H375" t="str">
        <x:v>1 of 1</x:v>
      </x:c>
      <x:c r="I375" t="n">
        <x:v>10</x:v>
      </x:c>
      <x:c r="J375" t="n">
        <x:v>18</x:v>
      </x:c>
      <x:c r="K375" t="n">
        <x:v>14</x:v>
      </x:c>
      <x:c r="L375" t="str">
        <x:v>$5–20</x:v>
      </x:c>
      <x:c r="M375" t="str">
        <x:v>Yes</x:v>
      </x:c>
      <x:c r="N375" t="str">
        <x:v>Yes</x:v>
      </x:c>
      <x:c r="O375" t="str">
        <x:v>Yes</x:v>
      </x:c>
      <x:c r="P375" t="str">
        <x:v>Damaged / altered — marker on card</x:v>
      </x:c>
      <x:c r="Q375" t="n">
        <x:v>1.5</x:v>
      </x:c>
      <x:c r="R375" t="n">
        <x:v>3.5</x:v>
      </x:c>
      <x:c r="S375" t="n">
        <x:v>2.5</x:v>
      </x:c>
      <x:c r="T375" t="str">
        <x:v>Supreme Victors Raichu LV.35 77/147 reverse holo. Clean/NM benchmark roughly $10–18, with TCGplayer around $13.64 and PriceCharting ungraded around $16.40. User reports marker drawn on the card; treated as Damaged/Altered. Damaged reverse-holo comps are roughly $1.68–3.00, so working as-is range is $1.50–3.50.</x:v>
      </x:c>
      <x:c r="U375" t="n">
        <x:v>951</x:v>
      </x:c>
      <x:c r="V375" t="str">
        <x:v>Current chat continuation / researched 2026-08-15</x:v>
      </x:c>
      <x:c r="W375" t="str">
        <x:v>https://www.pricecharting.com/game/pokemon-supreme-victors/raichu-reverse-holo-77</x:v>
      </x:c>
    </x:row>
    <x:row r="376">
      <x:c r="A376" t="n">
        <x:v>496</x:v>
      </x:c>
      <x:c r="B376" t="str">
        <x:v>Electric / Uncommons</x:v>
      </x:c>
      <x:c r="C376" t="str">
        <x:v>Jolteon</x:v>
      </x:c>
      <x:c r="D376" t="str">
        <x:v>45/95</x:v>
      </x:c>
      <x:c r="E376" t="str">
        <x:v>Call of Legends</x:v>
      </x:c>
      <x:c r="F376" t="n">
        <x:v>2011</x:v>
      </x:c>
      <x:c r="G376" t="str">
        <x:v>Regular Uncommon</x:v>
      </x:c>
      <x:c r="H376" t="str">
        <x:v>1 of 1</x:v>
      </x:c>
      <x:c r="I376" t="n">
        <x:v>3</x:v>
      </x:c>
      <x:c r="J376" t="n">
        <x:v>4.5</x:v>
      </x:c>
      <x:c r="K376" t="n">
        <x:v>3.75</x:v>
      </x:c>
      <x:c r="L376" t="str">
        <x:v>$1–5</x:v>
      </x:c>
      <x:c r="M376" t="str">
        <x:v>Yes</x:v>
      </x:c>
      <x:c r="N376" t="str">
        <x:v>No</x:v>
      </x:c>
      <x:c r="O376" t="str">
        <x:v>Yes</x:v>
      </x:c>
      <x:c r="P376" t="str">
        <x:v>Clean/NM benchmark unless noted</x:v>
      </x:c>
      <x:c r="Q376" t="n">
        <x:v>3</x:v>
      </x:c>
      <x:c r="R376" t="n">
        <x:v>4.5</x:v>
      </x:c>
      <x:c r="S376" t="n">
        <x:v>3.75</x:v>
      </x:c>
      <x:c r="T376" t="str">
        <x:v>Call of Legends Jolteon 45/95 regular uncommon. Current TCGplayer market about $3.64–3.86. Reverse holo is a separate printing worth roughly $14–15 raw; reclassify if foil across the card.</x:v>
      </x:c>
      <x:c r="U376" t="n">
        <x:v>952</x:v>
      </x:c>
      <x:c r="V376" t="str">
        <x:v>Current chat continuation / researched 2026-08-15</x:v>
      </x:c>
      <x:c r="W376" t="str">
        <x:v>https://www.tcgplayer.com/search/pokemon/product?productLineName=pokemon&amp;productName=Jolteon</x:v>
      </x:c>
    </x:row>
    <x:row r="377">
      <x:c r="A377" t="n">
        <x:v>497</x:v>
      </x:c>
      <x:c r="B377" t="str">
        <x:v>Electric / Commons</x:v>
      </x:c>
      <x:c r="C377" t="str">
        <x:v>Pikachu</x:v>
      </x:c>
      <x:c r="D377" t="str">
        <x:v>50/149</x:v>
      </x:c>
      <x:c r="E377" t="str">
        <x:v>Boundaries Crossed</x:v>
      </x:c>
      <x:c r="F377" t="n">
        <x:v>2012</x:v>
      </x:c>
      <x:c r="G377" t="str">
        <x:v>Reverse Holo</x:v>
      </x:c>
      <x:c r="H377" t="str">
        <x:v>1 of 1</x:v>
      </x:c>
      <x:c r="I377" t="n">
        <x:v>24</x:v>
      </x:c>
      <x:c r="J377" t="n">
        <x:v>34</x:v>
      </x:c>
      <x:c r="K377" t="n">
        <x:v>29</x:v>
      </x:c>
      <x:c r="L377" t="str">
        <x:v>$20+</x:v>
      </x:c>
      <x:c r="M377" t="str">
        <x:v>Yes</x:v>
      </x:c>
      <x:c r="N377" t="str">
        <x:v>Yes</x:v>
      </x:c>
      <x:c r="O377" t="str">
        <x:v>Yes</x:v>
      </x:c>
      <x:c r="P377" t="str">
        <x:v>Clean/NM benchmark unless noted</x:v>
      </x:c>
      <x:c r="Q377" t="n">
        <x:v>24</x:v>
      </x:c>
      <x:c r="R377" t="n">
        <x:v>34</x:v>
      </x:c>
      <x:c r="S377" t="n">
        <x:v>29</x:v>
      </x:c>
      <x:c r="T377" t="str">
        <x:v>Boundaries Crossed Pikachu 50/149 reverse holo. TCGplayer NM guide currently about $31.68; PriceCharting recent NM TCGplayer sale $26.08 and recent raw/NM sales broadly support a mid/high-$20s working value.</x:v>
      </x:c>
      <x:c r="U377" t="n">
        <x:v>953</x:v>
      </x:c>
      <x:c r="V377" t="str">
        <x:v>Current chat continuation / researched 2026-08-15</x:v>
      </x:c>
      <x:c r="W377" t="str">
        <x:v>https://www.tcgplayer.com/categories/trading-and-collectible-card-games/pokemon/price-guides/boundaries-crossed</x:v>
      </x:c>
    </x:row>
    <x:row r="378">
      <x:c r="A378" t="n">
        <x:v>498</x:v>
      </x:c>
      <x:c r="B378" t="str">
        <x:v>Electric / Commons</x:v>
      </x:c>
      <x:c r="C378" t="str">
        <x:v>Pikachu</x:v>
      </x:c>
      <x:c r="D378" t="str">
        <x:v>50/149</x:v>
      </x:c>
      <x:c r="E378" t="str">
        <x:v>Boundaries Crossed</x:v>
      </x:c>
      <x:c r="F378" t="n">
        <x:v>2012</x:v>
      </x:c>
      <x:c r="G378" t="str">
        <x:v>Regular Common</x:v>
      </x:c>
      <x:c r="H378" t="str">
        <x:v>1 of 15</x:v>
      </x:c>
      <x:c r="I378" t="n">
        <x:v>2.25</x:v>
      </x:c>
      <x:c r="J378" t="n">
        <x:v>4</x:v>
      </x:c>
      <x:c r="K378" t="n">
        <x:v>3.125</x:v>
      </x:c>
      <x:c r="L378" t="str">
        <x:v>$1–5</x:v>
      </x:c>
      <x:c r="M378" t="str">
        <x:v>Yes</x:v>
      </x:c>
      <x:c r="N378" t="str">
        <x:v>No</x:v>
      </x:c>
      <x:c r="O378" t="str">
        <x:v>Yes</x:v>
      </x:c>
      <x:c r="P378" t="str">
        <x:v>Clean/NM benchmark unless noted</x:v>
      </x:c>
      <x:c r="Q378" t="n">
        <x:v>2.25</x:v>
      </x:c>
      <x:c r="R378" t="n">
        <x:v>4</x:v>
      </x:c>
      <x:c r="S378" t="n">
        <x:v>3.125</x:v>
      </x:c>
      <x:c r="T378" t="str">
        <x:v>Boundaries Crossed Pikachu 50/149 regular common. TCGplayer market currently about $2.99–3.04; working clean/NM range $2.25–4.00.</x:v>
      </x:c>
      <x:c r="U378" t="n">
        <x:v>953</x:v>
      </x:c>
      <x:c r="V378" t="str">
        <x:v>Current chat continuation / researched 2026-08-15</x:v>
      </x:c>
      <x:c r="W378" t="str">
        <x:v>https://www.tcgplayer.com/categories/trading-and-collectible-card-games/pokemon/price-guides/boundaries-crossed</x:v>
      </x:c>
    </x:row>
    <x:row r="379">
      <x:c r="A379" t="n">
        <x:v>499</x:v>
      </x:c>
      <x:c r="B379" t="str">
        <x:v>Electric / Commons</x:v>
      </x:c>
      <x:c r="C379" t="str">
        <x:v>Pikachu</x:v>
      </x:c>
      <x:c r="D379" t="str">
        <x:v>50/149</x:v>
      </x:c>
      <x:c r="E379" t="str">
        <x:v>Boundaries Crossed</x:v>
      </x:c>
      <x:c r="F379" t="n">
        <x:v>2012</x:v>
      </x:c>
      <x:c r="G379" t="str">
        <x:v>Regular Common</x:v>
      </x:c>
      <x:c r="H379" t="str">
        <x:v>2 of 15</x:v>
      </x:c>
      <x:c r="I379" t="n">
        <x:v>2.25</x:v>
      </x:c>
      <x:c r="J379" t="n">
        <x:v>4</x:v>
      </x:c>
      <x:c r="K379" t="n">
        <x:v>3.125</x:v>
      </x:c>
      <x:c r="L379" t="str">
        <x:v>$1–5</x:v>
      </x:c>
      <x:c r="M379" t="str">
        <x:v>Yes</x:v>
      </x:c>
      <x:c r="N379" t="str">
        <x:v>No</x:v>
      </x:c>
      <x:c r="O379" t="str">
        <x:v>Yes</x:v>
      </x:c>
      <x:c r="P379" t="str">
        <x:v>Clean/NM benchmark unless noted</x:v>
      </x:c>
      <x:c r="Q379" t="n">
        <x:v>2.25</x:v>
      </x:c>
      <x:c r="R379" t="n">
        <x:v>4</x:v>
      </x:c>
      <x:c r="S379" t="n">
        <x:v>3.125</x:v>
      </x:c>
      <x:c r="T379" t="str">
        <x:v>Boundaries Crossed Pikachu 50/149 regular common. TCGplayer market currently about $2.99–3.04; working clean/NM range $2.25–4.00.</x:v>
      </x:c>
      <x:c r="U379" t="n">
        <x:v>953</x:v>
      </x:c>
      <x:c r="V379" t="str">
        <x:v>Current chat continuation / researched 2026-08-15</x:v>
      </x:c>
      <x:c r="W379" t="str">
        <x:v>https://www.tcgplayer.com/categories/trading-and-collectible-card-games/pokemon/price-guides/boundaries-crossed</x:v>
      </x:c>
    </x:row>
    <x:row r="380">
      <x:c r="A380" t="n">
        <x:v>500</x:v>
      </x:c>
      <x:c r="B380" t="str">
        <x:v>Electric / Commons</x:v>
      </x:c>
      <x:c r="C380" t="str">
        <x:v>Pikachu</x:v>
      </x:c>
      <x:c r="D380" t="str">
        <x:v>50/149</x:v>
      </x:c>
      <x:c r="E380" t="str">
        <x:v>Boundaries Crossed</x:v>
      </x:c>
      <x:c r="F380" t="n">
        <x:v>2012</x:v>
      </x:c>
      <x:c r="G380" t="str">
        <x:v>Regular Common</x:v>
      </x:c>
      <x:c r="H380" t="str">
        <x:v>3 of 15</x:v>
      </x:c>
      <x:c r="I380" t="n">
        <x:v>2.25</x:v>
      </x:c>
      <x:c r="J380" t="n">
        <x:v>4</x:v>
      </x:c>
      <x:c r="K380" t="n">
        <x:v>3.125</x:v>
      </x:c>
      <x:c r="L380" t="str">
        <x:v>$1–5</x:v>
      </x:c>
      <x:c r="M380" t="str">
        <x:v>Yes</x:v>
      </x:c>
      <x:c r="N380" t="str">
        <x:v>No</x:v>
      </x:c>
      <x:c r="O380" t="str">
        <x:v>Yes</x:v>
      </x:c>
      <x:c r="P380" t="str">
        <x:v>Clean/NM benchmark unless noted</x:v>
      </x:c>
      <x:c r="Q380" t="n">
        <x:v>2.25</x:v>
      </x:c>
      <x:c r="R380" t="n">
        <x:v>4</x:v>
      </x:c>
      <x:c r="S380" t="n">
        <x:v>3.125</x:v>
      </x:c>
      <x:c r="T380" t="str">
        <x:v>Boundaries Crossed Pikachu 50/149 regular common. TCGplayer market currently about $2.99–3.04; working clean/NM range $2.25–4.00.</x:v>
      </x:c>
      <x:c r="U380" t="n">
        <x:v>953</x:v>
      </x:c>
      <x:c r="V380" t="str">
        <x:v>Current chat continuation / researched 2026-08-15</x:v>
      </x:c>
      <x:c r="W380" t="str">
        <x:v>https://www.tcgplayer.com/categories/trading-and-collectible-card-games/pokemon/price-guides/boundaries-crossed</x:v>
      </x:c>
    </x:row>
    <x:row r="381">
      <x:c r="A381" t="n">
        <x:v>501</x:v>
      </x:c>
      <x:c r="B381" t="str">
        <x:v>Electric / Commons</x:v>
      </x:c>
      <x:c r="C381" t="str">
        <x:v>Pikachu</x:v>
      </x:c>
      <x:c r="D381" t="str">
        <x:v>50/149</x:v>
      </x:c>
      <x:c r="E381" t="str">
        <x:v>Boundaries Crossed</x:v>
      </x:c>
      <x:c r="F381" t="n">
        <x:v>2012</x:v>
      </x:c>
      <x:c r="G381" t="str">
        <x:v>Regular Common</x:v>
      </x:c>
      <x:c r="H381" t="str">
        <x:v>4 of 15</x:v>
      </x:c>
      <x:c r="I381" t="n">
        <x:v>2.25</x:v>
      </x:c>
      <x:c r="J381" t="n">
        <x:v>4</x:v>
      </x:c>
      <x:c r="K381" t="n">
        <x:v>3.125</x:v>
      </x:c>
      <x:c r="L381" t="str">
        <x:v>$1–5</x:v>
      </x:c>
      <x:c r="M381" t="str">
        <x:v>Yes</x:v>
      </x:c>
      <x:c r="N381" t="str">
        <x:v>No</x:v>
      </x:c>
      <x:c r="O381" t="str">
        <x:v>Yes</x:v>
      </x:c>
      <x:c r="P381" t="str">
        <x:v>Clean/NM benchmark unless noted</x:v>
      </x:c>
      <x:c r="Q381" t="n">
        <x:v>2.25</x:v>
      </x:c>
      <x:c r="R381" t="n">
        <x:v>4</x:v>
      </x:c>
      <x:c r="S381" t="n">
        <x:v>3.125</x:v>
      </x:c>
      <x:c r="T381" t="str">
        <x:v>Boundaries Crossed Pikachu 50/149 regular common. TCGplayer market currently about $2.99–3.04; working clean/NM range $2.25–4.00.</x:v>
      </x:c>
      <x:c r="U381" t="n">
        <x:v>953</x:v>
      </x:c>
      <x:c r="V381" t="str">
        <x:v>Current chat continuation / researched 2026-08-15</x:v>
      </x:c>
      <x:c r="W381" t="str">
        <x:v>https://www.tcgplayer.com/categories/trading-and-collectible-card-games/pokemon/price-guides/boundaries-crossed</x:v>
      </x:c>
    </x:row>
    <x:row r="382">
      <x:c r="A382" t="n">
        <x:v>502</x:v>
      </x:c>
      <x:c r="B382" t="str">
        <x:v>Electric / Commons</x:v>
      </x:c>
      <x:c r="C382" t="str">
        <x:v>Pikachu</x:v>
      </x:c>
      <x:c r="D382" t="str">
        <x:v>50/149</x:v>
      </x:c>
      <x:c r="E382" t="str">
        <x:v>Boundaries Crossed</x:v>
      </x:c>
      <x:c r="F382" t="n">
        <x:v>2012</x:v>
      </x:c>
      <x:c r="G382" t="str">
        <x:v>Regular Common</x:v>
      </x:c>
      <x:c r="H382" t="str">
        <x:v>5 of 15</x:v>
      </x:c>
      <x:c r="I382" t="n">
        <x:v>2.25</x:v>
      </x:c>
      <x:c r="J382" t="n">
        <x:v>4</x:v>
      </x:c>
      <x:c r="K382" t="n">
        <x:v>3.125</x:v>
      </x:c>
      <x:c r="L382" t="str">
        <x:v>$1–5</x:v>
      </x:c>
      <x:c r="M382" t="str">
        <x:v>Yes</x:v>
      </x:c>
      <x:c r="N382" t="str">
        <x:v>No</x:v>
      </x:c>
      <x:c r="O382" t="str">
        <x:v>Yes</x:v>
      </x:c>
      <x:c r="P382" t="str">
        <x:v>Clean/NM benchmark unless noted</x:v>
      </x:c>
      <x:c r="Q382" t="n">
        <x:v>2.25</x:v>
      </x:c>
      <x:c r="R382" t="n">
        <x:v>4</x:v>
      </x:c>
      <x:c r="S382" t="n">
        <x:v>3.125</x:v>
      </x:c>
      <x:c r="T382" t="str">
        <x:v>Boundaries Crossed Pikachu 50/149 regular common. TCGplayer market currently about $2.99–3.04; working clean/NM range $2.25–4.00.</x:v>
      </x:c>
      <x:c r="U382" t="n">
        <x:v>953</x:v>
      </x:c>
      <x:c r="V382" t="str">
        <x:v>Current chat continuation / researched 2026-08-15</x:v>
      </x:c>
      <x:c r="W382" t="str">
        <x:v>https://www.tcgplayer.com/categories/trading-and-collectible-card-games/pokemon/price-guides/boundaries-crossed</x:v>
      </x:c>
    </x:row>
    <x:row r="383">
      <x:c r="A383" t="n">
        <x:v>503</x:v>
      </x:c>
      <x:c r="B383" t="str">
        <x:v>Electric / Commons</x:v>
      </x:c>
      <x:c r="C383" t="str">
        <x:v>Pikachu</x:v>
      </x:c>
      <x:c r="D383" t="str">
        <x:v>50/149</x:v>
      </x:c>
      <x:c r="E383" t="str">
        <x:v>Boundaries Crossed</x:v>
      </x:c>
      <x:c r="F383" t="n">
        <x:v>2012</x:v>
      </x:c>
      <x:c r="G383" t="str">
        <x:v>Regular Common</x:v>
      </x:c>
      <x:c r="H383" t="str">
        <x:v>6 of 15</x:v>
      </x:c>
      <x:c r="I383" t="n">
        <x:v>2.25</x:v>
      </x:c>
      <x:c r="J383" t="n">
        <x:v>4</x:v>
      </x:c>
      <x:c r="K383" t="n">
        <x:v>3.125</x:v>
      </x:c>
      <x:c r="L383" t="str">
        <x:v>$1–5</x:v>
      </x:c>
      <x:c r="M383" t="str">
        <x:v>Yes</x:v>
      </x:c>
      <x:c r="N383" t="str">
        <x:v>No</x:v>
      </x:c>
      <x:c r="O383" t="str">
        <x:v>Yes</x:v>
      </x:c>
      <x:c r="P383" t="str">
        <x:v>Clean/NM benchmark unless noted</x:v>
      </x:c>
      <x:c r="Q383" t="n">
        <x:v>2.25</x:v>
      </x:c>
      <x:c r="R383" t="n">
        <x:v>4</x:v>
      </x:c>
      <x:c r="S383" t="n">
        <x:v>3.125</x:v>
      </x:c>
      <x:c r="T383" t="str">
        <x:v>Boundaries Crossed Pikachu 50/149 regular common. TCGplayer market currently about $2.99–3.04; working clean/NM range $2.25–4.00.</x:v>
      </x:c>
      <x:c r="U383" t="n">
        <x:v>953</x:v>
      </x:c>
      <x:c r="V383" t="str">
        <x:v>Current chat continuation / researched 2026-08-15</x:v>
      </x:c>
      <x:c r="W383" t="str">
        <x:v>https://www.tcgplayer.com/categories/trading-and-collectible-card-games/pokemon/price-guides/boundaries-crossed</x:v>
      </x:c>
    </x:row>
    <x:row r="384">
      <x:c r="A384" t="n">
        <x:v>504</x:v>
      </x:c>
      <x:c r="B384" t="str">
        <x:v>Electric / Commons</x:v>
      </x:c>
      <x:c r="C384" t="str">
        <x:v>Pikachu</x:v>
      </x:c>
      <x:c r="D384" t="str">
        <x:v>50/149</x:v>
      </x:c>
      <x:c r="E384" t="str">
        <x:v>Boundaries Crossed</x:v>
      </x:c>
      <x:c r="F384" t="n">
        <x:v>2012</x:v>
      </x:c>
      <x:c r="G384" t="str">
        <x:v>Regular Common</x:v>
      </x:c>
      <x:c r="H384" t="str">
        <x:v>7 of 15</x:v>
      </x:c>
      <x:c r="I384" t="n">
        <x:v>2.25</x:v>
      </x:c>
      <x:c r="J384" t="n">
        <x:v>4</x:v>
      </x:c>
      <x:c r="K384" t="n">
        <x:v>3.125</x:v>
      </x:c>
      <x:c r="L384" t="str">
        <x:v>$1–5</x:v>
      </x:c>
      <x:c r="M384" t="str">
        <x:v>Yes</x:v>
      </x:c>
      <x:c r="N384" t="str">
        <x:v>No</x:v>
      </x:c>
      <x:c r="O384" t="str">
        <x:v>Yes</x:v>
      </x:c>
      <x:c r="P384" t="str">
        <x:v>Clean/NM benchmark unless noted</x:v>
      </x:c>
      <x:c r="Q384" t="n">
        <x:v>2.25</x:v>
      </x:c>
      <x:c r="R384" t="n">
        <x:v>4</x:v>
      </x:c>
      <x:c r="S384" t="n">
        <x:v>3.125</x:v>
      </x:c>
      <x:c r="T384" t="str">
        <x:v>Boundaries Crossed Pikachu 50/149 regular common. TCGplayer market currently about $2.99–3.04; working clean/NM range $2.25–4.00.</x:v>
      </x:c>
      <x:c r="U384" t="n">
        <x:v>953</x:v>
      </x:c>
      <x:c r="V384" t="str">
        <x:v>Current chat continuation / researched 2026-08-15</x:v>
      </x:c>
      <x:c r="W384" t="str">
        <x:v>https://www.tcgplayer.com/categories/trading-and-collectible-card-games/pokemon/price-guides/boundaries-crossed</x:v>
      </x:c>
    </x:row>
    <x:row r="385">
      <x:c r="A385" t="n">
        <x:v>505</x:v>
      </x:c>
      <x:c r="B385" t="str">
        <x:v>Electric / Commons</x:v>
      </x:c>
      <x:c r="C385" t="str">
        <x:v>Pikachu</x:v>
      </x:c>
      <x:c r="D385" t="str">
        <x:v>50/149</x:v>
      </x:c>
      <x:c r="E385" t="str">
        <x:v>Boundaries Crossed</x:v>
      </x:c>
      <x:c r="F385" t="n">
        <x:v>2012</x:v>
      </x:c>
      <x:c r="G385" t="str">
        <x:v>Regular Common</x:v>
      </x:c>
      <x:c r="H385" t="str">
        <x:v>8 of 15</x:v>
      </x:c>
      <x:c r="I385" t="n">
        <x:v>2.25</x:v>
      </x:c>
      <x:c r="J385" t="n">
        <x:v>4</x:v>
      </x:c>
      <x:c r="K385" t="n">
        <x:v>3.125</x:v>
      </x:c>
      <x:c r="L385" t="str">
        <x:v>$1–5</x:v>
      </x:c>
      <x:c r="M385" t="str">
        <x:v>Yes</x:v>
      </x:c>
      <x:c r="N385" t="str">
        <x:v>No</x:v>
      </x:c>
      <x:c r="O385" t="str">
        <x:v>Yes</x:v>
      </x:c>
      <x:c r="P385" t="str">
        <x:v>Clean/NM benchmark unless noted</x:v>
      </x:c>
      <x:c r="Q385" t="n">
        <x:v>2.25</x:v>
      </x:c>
      <x:c r="R385" t="n">
        <x:v>4</x:v>
      </x:c>
      <x:c r="S385" t="n">
        <x:v>3.125</x:v>
      </x:c>
      <x:c r="T385" t="str">
        <x:v>Boundaries Crossed Pikachu 50/149 regular common. TCGplayer market currently about $2.99–3.04; working clean/NM range $2.25–4.00.</x:v>
      </x:c>
      <x:c r="U385" t="n">
        <x:v>953</x:v>
      </x:c>
      <x:c r="V385" t="str">
        <x:v>Current chat continuation / researched 2026-08-15</x:v>
      </x:c>
      <x:c r="W385" t="str">
        <x:v>https://www.tcgplayer.com/categories/trading-and-collectible-card-games/pokemon/price-guides/boundaries-crossed</x:v>
      </x:c>
    </x:row>
    <x:row r="386">
      <x:c r="A386" t="n">
        <x:v>506</x:v>
      </x:c>
      <x:c r="B386" t="str">
        <x:v>Electric / Commons</x:v>
      </x:c>
      <x:c r="C386" t="str">
        <x:v>Pikachu</x:v>
      </x:c>
      <x:c r="D386" t="str">
        <x:v>50/149</x:v>
      </x:c>
      <x:c r="E386" t="str">
        <x:v>Boundaries Crossed</x:v>
      </x:c>
      <x:c r="F386" t="n">
        <x:v>2012</x:v>
      </x:c>
      <x:c r="G386" t="str">
        <x:v>Regular Common</x:v>
      </x:c>
      <x:c r="H386" t="str">
        <x:v>9 of 15</x:v>
      </x:c>
      <x:c r="I386" t="n">
        <x:v>2.25</x:v>
      </x:c>
      <x:c r="J386" t="n">
        <x:v>4</x:v>
      </x:c>
      <x:c r="K386" t="n">
        <x:v>3.125</x:v>
      </x:c>
      <x:c r="L386" t="str">
        <x:v>$1–5</x:v>
      </x:c>
      <x:c r="M386" t="str">
        <x:v>Yes</x:v>
      </x:c>
      <x:c r="N386" t="str">
        <x:v>No</x:v>
      </x:c>
      <x:c r="O386" t="str">
        <x:v>Yes</x:v>
      </x:c>
      <x:c r="P386" t="str">
        <x:v>Clean/NM benchmark unless noted</x:v>
      </x:c>
      <x:c r="Q386" t="n">
        <x:v>2.25</x:v>
      </x:c>
      <x:c r="R386" t="n">
        <x:v>4</x:v>
      </x:c>
      <x:c r="S386" t="n">
        <x:v>3.125</x:v>
      </x:c>
      <x:c r="T386" t="str">
        <x:v>Boundaries Crossed Pikachu 50/149 regular common. TCGplayer market currently about $2.99–3.04; working clean/NM range $2.25–4.00.</x:v>
      </x:c>
      <x:c r="U386" t="n">
        <x:v>953</x:v>
      </x:c>
      <x:c r="V386" t="str">
        <x:v>Current chat continuation / researched 2026-08-15</x:v>
      </x:c>
      <x:c r="W386" t="str">
        <x:v>https://www.tcgplayer.com/categories/trading-and-collectible-card-games/pokemon/price-guides/boundaries-crossed</x:v>
      </x:c>
    </x:row>
    <x:row r="387">
      <x:c r="A387" t="n">
        <x:v>507</x:v>
      </x:c>
      <x:c r="B387" t="str">
        <x:v>Electric / Commons</x:v>
      </x:c>
      <x:c r="C387" t="str">
        <x:v>Pikachu</x:v>
      </x:c>
      <x:c r="D387" t="str">
        <x:v>50/149</x:v>
      </x:c>
      <x:c r="E387" t="str">
        <x:v>Boundaries Crossed</x:v>
      </x:c>
      <x:c r="F387" t="n">
        <x:v>2012</x:v>
      </x:c>
      <x:c r="G387" t="str">
        <x:v>Regular Common</x:v>
      </x:c>
      <x:c r="H387" t="str">
        <x:v>10 of 15</x:v>
      </x:c>
      <x:c r="I387" t="n">
        <x:v>2.25</x:v>
      </x:c>
      <x:c r="J387" t="n">
        <x:v>4</x:v>
      </x:c>
      <x:c r="K387" t="n">
        <x:v>3.125</x:v>
      </x:c>
      <x:c r="L387" t="str">
        <x:v>$1–5</x:v>
      </x:c>
      <x:c r="M387" t="str">
        <x:v>Yes</x:v>
      </x:c>
      <x:c r="N387" t="str">
        <x:v>No</x:v>
      </x:c>
      <x:c r="O387" t="str">
        <x:v>Yes</x:v>
      </x:c>
      <x:c r="P387" t="str">
        <x:v>Clean/NM benchmark unless noted</x:v>
      </x:c>
      <x:c r="Q387" t="n">
        <x:v>2.25</x:v>
      </x:c>
      <x:c r="R387" t="n">
        <x:v>4</x:v>
      </x:c>
      <x:c r="S387" t="n">
        <x:v>3.125</x:v>
      </x:c>
      <x:c r="T387" t="str">
        <x:v>Boundaries Crossed Pikachu 50/149 regular common. TCGplayer market currently about $2.99–3.04; working clean/NM range $2.25–4.00.</x:v>
      </x:c>
      <x:c r="U387" t="n">
        <x:v>953</x:v>
      </x:c>
      <x:c r="V387" t="str">
        <x:v>Current chat continuation / researched 2026-08-15</x:v>
      </x:c>
      <x:c r="W387" t="str">
        <x:v>https://www.tcgplayer.com/categories/trading-and-collectible-card-games/pokemon/price-guides/boundaries-crossed</x:v>
      </x:c>
    </x:row>
    <x:row r="388">
      <x:c r="A388" t="n">
        <x:v>508</x:v>
      </x:c>
      <x:c r="B388" t="str">
        <x:v>Electric / Commons</x:v>
      </x:c>
      <x:c r="C388" t="str">
        <x:v>Pikachu</x:v>
      </x:c>
      <x:c r="D388" t="str">
        <x:v>50/149</x:v>
      </x:c>
      <x:c r="E388" t="str">
        <x:v>Boundaries Crossed</x:v>
      </x:c>
      <x:c r="F388" t="n">
        <x:v>2012</x:v>
      </x:c>
      <x:c r="G388" t="str">
        <x:v>Regular Common</x:v>
      </x:c>
      <x:c r="H388" t="str">
        <x:v>11 of 15</x:v>
      </x:c>
      <x:c r="I388" t="n">
        <x:v>2.25</x:v>
      </x:c>
      <x:c r="J388" t="n">
        <x:v>4</x:v>
      </x:c>
      <x:c r="K388" t="n">
        <x:v>3.125</x:v>
      </x:c>
      <x:c r="L388" t="str">
        <x:v>$1–5</x:v>
      </x:c>
      <x:c r="M388" t="str">
        <x:v>Yes</x:v>
      </x:c>
      <x:c r="N388" t="str">
        <x:v>No</x:v>
      </x:c>
      <x:c r="O388" t="str">
        <x:v>Yes</x:v>
      </x:c>
      <x:c r="P388" t="str">
        <x:v>Clean/NM benchmark unless noted</x:v>
      </x:c>
      <x:c r="Q388" t="n">
        <x:v>2.25</x:v>
      </x:c>
      <x:c r="R388" t="n">
        <x:v>4</x:v>
      </x:c>
      <x:c r="S388" t="n">
        <x:v>3.125</x:v>
      </x:c>
      <x:c r="T388" t="str">
        <x:v>Boundaries Crossed Pikachu 50/149 regular common. TCGplayer market currently about $2.99–3.04; working clean/NM range $2.25–4.00.</x:v>
      </x:c>
      <x:c r="U388" t="n">
        <x:v>953</x:v>
      </x:c>
      <x:c r="V388" t="str">
        <x:v>Current chat continuation / researched 2026-08-15</x:v>
      </x:c>
      <x:c r="W388" t="str">
        <x:v>https://www.tcgplayer.com/categories/trading-and-collectible-card-games/pokemon/price-guides/boundaries-crossed</x:v>
      </x:c>
    </x:row>
    <x:row r="389">
      <x:c r="A389" t="n">
        <x:v>509</x:v>
      </x:c>
      <x:c r="B389" t="str">
        <x:v>Electric / Commons</x:v>
      </x:c>
      <x:c r="C389" t="str">
        <x:v>Pikachu</x:v>
      </x:c>
      <x:c r="D389" t="str">
        <x:v>50/149</x:v>
      </x:c>
      <x:c r="E389" t="str">
        <x:v>Boundaries Crossed</x:v>
      </x:c>
      <x:c r="F389" t="n">
        <x:v>2012</x:v>
      </x:c>
      <x:c r="G389" t="str">
        <x:v>Regular Common</x:v>
      </x:c>
      <x:c r="H389" t="str">
        <x:v>12 of 15</x:v>
      </x:c>
      <x:c r="I389" t="n">
        <x:v>2.25</x:v>
      </x:c>
      <x:c r="J389" t="n">
        <x:v>4</x:v>
      </x:c>
      <x:c r="K389" t="n">
        <x:v>3.125</x:v>
      </x:c>
      <x:c r="L389" t="str">
        <x:v>$1–5</x:v>
      </x:c>
      <x:c r="M389" t="str">
        <x:v>Yes</x:v>
      </x:c>
      <x:c r="N389" t="str">
        <x:v>No</x:v>
      </x:c>
      <x:c r="O389" t="str">
        <x:v>Yes</x:v>
      </x:c>
      <x:c r="P389" t="str">
        <x:v>Clean/NM benchmark unless noted</x:v>
      </x:c>
      <x:c r="Q389" t="n">
        <x:v>2.25</x:v>
      </x:c>
      <x:c r="R389" t="n">
        <x:v>4</x:v>
      </x:c>
      <x:c r="S389" t="n">
        <x:v>3.125</x:v>
      </x:c>
      <x:c r="T389" t="str">
        <x:v>Boundaries Crossed Pikachu 50/149 regular common. TCGplayer market currently about $2.99–3.04; working clean/NM range $2.25–4.00.</x:v>
      </x:c>
      <x:c r="U389" t="n">
        <x:v>953</x:v>
      </x:c>
      <x:c r="V389" t="str">
        <x:v>Current chat continuation / researched 2026-08-15</x:v>
      </x:c>
      <x:c r="W389" t="str">
        <x:v>https://www.tcgplayer.com/categories/trading-and-collectible-card-games/pokemon/price-guides/boundaries-crossed</x:v>
      </x:c>
    </x:row>
    <x:row r="390">
      <x:c r="A390" t="n">
        <x:v>510</x:v>
      </x:c>
      <x:c r="B390" t="str">
        <x:v>Electric / Commons</x:v>
      </x:c>
      <x:c r="C390" t="str">
        <x:v>Pikachu</x:v>
      </x:c>
      <x:c r="D390" t="str">
        <x:v>50/149</x:v>
      </x:c>
      <x:c r="E390" t="str">
        <x:v>Boundaries Crossed</x:v>
      </x:c>
      <x:c r="F390" t="n">
        <x:v>2012</x:v>
      </x:c>
      <x:c r="G390" t="str">
        <x:v>Regular Common</x:v>
      </x:c>
      <x:c r="H390" t="str">
        <x:v>13 of 15</x:v>
      </x:c>
      <x:c r="I390" t="n">
        <x:v>2.25</x:v>
      </x:c>
      <x:c r="J390" t="n">
        <x:v>4</x:v>
      </x:c>
      <x:c r="K390" t="n">
        <x:v>3.125</x:v>
      </x:c>
      <x:c r="L390" t="str">
        <x:v>$1–5</x:v>
      </x:c>
      <x:c r="M390" t="str">
        <x:v>Yes</x:v>
      </x:c>
      <x:c r="N390" t="str">
        <x:v>No</x:v>
      </x:c>
      <x:c r="O390" t="str">
        <x:v>Yes</x:v>
      </x:c>
      <x:c r="P390" t="str">
        <x:v>Clean/NM benchmark unless noted</x:v>
      </x:c>
      <x:c r="Q390" t="n">
        <x:v>2.25</x:v>
      </x:c>
      <x:c r="R390" t="n">
        <x:v>4</x:v>
      </x:c>
      <x:c r="S390" t="n">
        <x:v>3.125</x:v>
      </x:c>
      <x:c r="T390" t="str">
        <x:v>Boundaries Crossed Pikachu 50/149 regular common. TCGplayer market currently about $2.99–3.04; working clean/NM range $2.25–4.00.</x:v>
      </x:c>
      <x:c r="U390" t="n">
        <x:v>953</x:v>
      </x:c>
      <x:c r="V390" t="str">
        <x:v>Current chat continuation / researched 2026-08-15</x:v>
      </x:c>
      <x:c r="W390" t="str">
        <x:v>https://www.tcgplayer.com/categories/trading-and-collectible-card-games/pokemon/price-guides/boundaries-crossed</x:v>
      </x:c>
    </x:row>
    <x:row r="391">
      <x:c r="A391" t="n">
        <x:v>511</x:v>
      </x:c>
      <x:c r="B391" t="str">
        <x:v>Electric / Commons</x:v>
      </x:c>
      <x:c r="C391" t="str">
        <x:v>Pikachu</x:v>
      </x:c>
      <x:c r="D391" t="str">
        <x:v>50/149</x:v>
      </x:c>
      <x:c r="E391" t="str">
        <x:v>Boundaries Crossed</x:v>
      </x:c>
      <x:c r="F391" t="n">
        <x:v>2012</x:v>
      </x:c>
      <x:c r="G391" t="str">
        <x:v>Regular Common</x:v>
      </x:c>
      <x:c r="H391" t="str">
        <x:v>14 of 15</x:v>
      </x:c>
      <x:c r="I391" t="n">
        <x:v>2.25</x:v>
      </x:c>
      <x:c r="J391" t="n">
        <x:v>4</x:v>
      </x:c>
      <x:c r="K391" t="n">
        <x:v>3.125</x:v>
      </x:c>
      <x:c r="L391" t="str">
        <x:v>$1–5</x:v>
      </x:c>
      <x:c r="M391" t="str">
        <x:v>Yes</x:v>
      </x:c>
      <x:c r="N391" t="str">
        <x:v>No</x:v>
      </x:c>
      <x:c r="O391" t="str">
        <x:v>Yes</x:v>
      </x:c>
      <x:c r="P391" t="str">
        <x:v>Clean/NM benchmark unless noted</x:v>
      </x:c>
      <x:c r="Q391" t="n">
        <x:v>2.25</x:v>
      </x:c>
      <x:c r="R391" t="n">
        <x:v>4</x:v>
      </x:c>
      <x:c r="S391" t="n">
        <x:v>3.125</x:v>
      </x:c>
      <x:c r="T391" t="str">
        <x:v>Boundaries Crossed Pikachu 50/149 regular common. TCGplayer market currently about $2.99–3.04; working clean/NM range $2.25–4.00.</x:v>
      </x:c>
      <x:c r="U391" t="n">
        <x:v>953</x:v>
      </x:c>
      <x:c r="V391" t="str">
        <x:v>Current chat continuation / researched 2026-08-15</x:v>
      </x:c>
      <x:c r="W391" t="str">
        <x:v>https://www.tcgplayer.com/categories/trading-and-collectible-card-games/pokemon/price-guides/boundaries-crossed</x:v>
      </x:c>
    </x:row>
    <x:row r="392">
      <x:c r="A392" t="n">
        <x:v>512</x:v>
      </x:c>
      <x:c r="B392" t="str">
        <x:v>Electric / Commons</x:v>
      </x:c>
      <x:c r="C392" t="str">
        <x:v>Pikachu</x:v>
      </x:c>
      <x:c r="D392" t="str">
        <x:v>50/149</x:v>
      </x:c>
      <x:c r="E392" t="str">
        <x:v>Boundaries Crossed</x:v>
      </x:c>
      <x:c r="F392" t="n">
        <x:v>2012</x:v>
      </x:c>
      <x:c r="G392" t="str">
        <x:v>Regular Common</x:v>
      </x:c>
      <x:c r="H392" t="str">
        <x:v>15 of 15</x:v>
      </x:c>
      <x:c r="I392" t="n">
        <x:v>2.25</x:v>
      </x:c>
      <x:c r="J392" t="n">
        <x:v>4</x:v>
      </x:c>
      <x:c r="K392" t="n">
        <x:v>3.125</x:v>
      </x:c>
      <x:c r="L392" t="str">
        <x:v>$1–5</x:v>
      </x:c>
      <x:c r="M392" t="str">
        <x:v>Yes</x:v>
      </x:c>
      <x:c r="N392" t="str">
        <x:v>No</x:v>
      </x:c>
      <x:c r="O392" t="str">
        <x:v>Yes</x:v>
      </x:c>
      <x:c r="P392" t="str">
        <x:v>Clean/NM benchmark unless noted</x:v>
      </x:c>
      <x:c r="Q392" t="n">
        <x:v>2.25</x:v>
      </x:c>
      <x:c r="R392" t="n">
        <x:v>4</x:v>
      </x:c>
      <x:c r="S392" t="n">
        <x:v>3.125</x:v>
      </x:c>
      <x:c r="T392" t="str">
        <x:v>Boundaries Crossed Pikachu 50/149 regular common. TCGplayer market currently about $2.99–3.04; working clean/NM range $2.25–4.00.</x:v>
      </x:c>
      <x:c r="U392" t="n">
        <x:v>953</x:v>
      </x:c>
      <x:c r="V392" t="str">
        <x:v>Current chat continuation / researched 2026-08-15</x:v>
      </x:c>
      <x:c r="W392" t="str">
        <x:v>https://www.tcgplayer.com/categories/trading-and-collectible-card-games/pokemon/price-guides/boundaries-crossed</x:v>
      </x:c>
    </x:row>
    <x:row r="393">
      <x:c r="A393" t="n">
        <x:v>513</x:v>
      </x:c>
      <x:c r="B393" t="str">
        <x:v>Electric / Commons</x:v>
      </x:c>
      <x:c r="C393" t="str">
        <x:v>Pikachu</x:v>
      </x:c>
      <x:c r="D393" t="str">
        <x:v>39/99</x:v>
      </x:c>
      <x:c r="E393" t="str">
        <x:v>Next Destinies</x:v>
      </x:c>
      <x:c r="F393" t="n">
        <x:v>2012</x:v>
      </x:c>
      <x:c r="G393" t="str">
        <x:v>Reverse Holo</x:v>
      </x:c>
      <x:c r="H393" t="str">
        <x:v>1 of 2</x:v>
      </x:c>
      <x:c r="I393" t="n">
        <x:v>20</x:v>
      </x:c>
      <x:c r="J393" t="n">
        <x:v>30</x:v>
      </x:c>
      <x:c r="K393" t="n">
        <x:v>25</x:v>
      </x:c>
      <x:c r="L393" t="str">
        <x:v>$20+</x:v>
      </x:c>
      <x:c r="M393" t="str">
        <x:v>Yes</x:v>
      </x:c>
      <x:c r="N393" t="str">
        <x:v>Yes</x:v>
      </x:c>
      <x:c r="O393" t="str">
        <x:v>Yes</x:v>
      </x:c>
      <x:c r="P393" t="str">
        <x:v>Clean/NM benchmark unless noted</x:v>
      </x:c>
      <x:c r="Q393" t="n">
        <x:v>20</x:v>
      </x:c>
      <x:c r="R393" t="n">
        <x:v>30</x:v>
      </x:c>
      <x:c r="S393" t="n">
        <x:v>25</x:v>
      </x:c>
      <x:c r="T393" t="str">
        <x:v>Next Destinies Pikachu 39/99 reverse holo. TCGplayer NM reverse-holo guide about $24.35; recent NM sale around $25.93 and recent raw/NM comps extend into the upper $20s/30s. Working clean/NM range $20–30.</x:v>
      </x:c>
      <x:c r="U393" t="n">
        <x:v>954</x:v>
      </x:c>
      <x:c r="V393" t="str">
        <x:v>Current chat continuation / researched 2026-08-15</x:v>
      </x:c>
      <x:c r="W393" t="str">
        <x:v>https://www.tcgplayer.com/categories/trading-collectible-card-games/pokemon/price-guides/next-destinies</x:v>
      </x:c>
    </x:row>
    <x:row r="394">
      <x:c r="A394" t="n">
        <x:v>514</x:v>
      </x:c>
      <x:c r="B394" t="str">
        <x:v>Electric / Commons</x:v>
      </x:c>
      <x:c r="C394" t="str">
        <x:v>Pikachu</x:v>
      </x:c>
      <x:c r="D394" t="str">
        <x:v>39/99</x:v>
      </x:c>
      <x:c r="E394" t="str">
        <x:v>Next Destinies</x:v>
      </x:c>
      <x:c r="F394" t="n">
        <x:v>2012</x:v>
      </x:c>
      <x:c r="G394" t="str">
        <x:v>Reverse Holo</x:v>
      </x:c>
      <x:c r="H394" t="str">
        <x:v>2 of 2</x:v>
      </x:c>
      <x:c r="I394" t="n">
        <x:v>20</x:v>
      </x:c>
      <x:c r="J394" t="n">
        <x:v>30</x:v>
      </x:c>
      <x:c r="K394" t="n">
        <x:v>25</x:v>
      </x:c>
      <x:c r="L394" t="str">
        <x:v>$20+</x:v>
      </x:c>
      <x:c r="M394" t="str">
        <x:v>Yes</x:v>
      </x:c>
      <x:c r="N394" t="str">
        <x:v>Yes</x:v>
      </x:c>
      <x:c r="O394" t="str">
        <x:v>Yes</x:v>
      </x:c>
      <x:c r="P394" t="str">
        <x:v>Clean/NM benchmark unless noted</x:v>
      </x:c>
      <x:c r="Q394" t="n">
        <x:v>20</x:v>
      </x:c>
      <x:c r="R394" t="n">
        <x:v>30</x:v>
      </x:c>
      <x:c r="S394" t="n">
        <x:v>25</x:v>
      </x:c>
      <x:c r="T394" t="str">
        <x:v>Next Destinies Pikachu 39/99 reverse holo. TCGplayer NM reverse-holo guide about $24.35; recent NM sale around $25.93 and recent raw/NM comps extend into the upper $20s/30s. Working clean/NM range $20–30.</x:v>
      </x:c>
      <x:c r="U394" t="n">
        <x:v>954</x:v>
      </x:c>
      <x:c r="V394" t="str">
        <x:v>Current chat continuation / researched 2026-08-15</x:v>
      </x:c>
      <x:c r="W394" t="str">
        <x:v>https://www.tcgplayer.com/categories/trading-collectible-card-games/pokemon/price-guides/next-destinies</x:v>
      </x:c>
    </x:row>
    <x:row r="395">
      <x:c r="A395" t="n">
        <x:v>515</x:v>
      </x:c>
      <x:c r="B395" t="str">
        <x:v>Electric / Commons</x:v>
      </x:c>
      <x:c r="C395" t="str">
        <x:v>Pikachu</x:v>
      </x:c>
      <x:c r="D395" t="str">
        <x:v>39/99</x:v>
      </x:c>
      <x:c r="E395" t="str">
        <x:v>Next Destinies</x:v>
      </x:c>
      <x:c r="F395" t="n">
        <x:v>2012</x:v>
      </x:c>
      <x:c r="G395" t="str">
        <x:v>Regular Common</x:v>
      </x:c>
      <x:c r="H395" t="str">
        <x:v>1 of 6</x:v>
      </x:c>
      <x:c r="I395" t="n">
        <x:v>4</x:v>
      </x:c>
      <x:c r="J395" t="n">
        <x:v>6</x:v>
      </x:c>
      <x:c r="K395" t="n">
        <x:v>5</x:v>
      </x:c>
      <x:c r="L395" t="str">
        <x:v>$5–20</x:v>
      </x:c>
      <x:c r="M395" t="str">
        <x:v>Yes</x:v>
      </x:c>
      <x:c r="N395" t="str">
        <x:v>No</x:v>
      </x:c>
      <x:c r="O395" t="str">
        <x:v>Yes</x:v>
      </x:c>
      <x:c r="P395" t="str">
        <x:v>Clean/NM benchmark unless noted</x:v>
      </x:c>
      <x:c r="Q395" t="n">
        <x:v>4</x:v>
      </x:c>
      <x:c r="R395" t="n">
        <x:v>6</x:v>
      </x:c>
      <x:c r="S395" t="n">
        <x:v>5</x:v>
      </x:c>
      <x:c r="T395" t="str">
        <x:v>Next Destinies Pikachu 39/99 regular common. TCGplayer market currently about $5.02–5.08. Working clean/NM range $4–6.</x:v>
      </x:c>
      <x:c r="U395" t="n">
        <x:v>954</x:v>
      </x:c>
      <x:c r="V395" t="str">
        <x:v>Current chat continuation / researched 2026-08-15</x:v>
      </x:c>
      <x:c r="W395" t="str">
        <x:v>https://www.tcgplayer.com/categories/trading-collectible-card-games/pokemon/price-guides/next-destinies</x:v>
      </x:c>
    </x:row>
    <x:row r="396">
      <x:c r="A396" t="n">
        <x:v>516</x:v>
      </x:c>
      <x:c r="B396" t="str">
        <x:v>Electric / Commons</x:v>
      </x:c>
      <x:c r="C396" t="str">
        <x:v>Pikachu</x:v>
      </x:c>
      <x:c r="D396" t="str">
        <x:v>39/99</x:v>
      </x:c>
      <x:c r="E396" t="str">
        <x:v>Next Destinies</x:v>
      </x:c>
      <x:c r="F396" t="n">
        <x:v>2012</x:v>
      </x:c>
      <x:c r="G396" t="str">
        <x:v>Regular Common</x:v>
      </x:c>
      <x:c r="H396" t="str">
        <x:v>2 of 6</x:v>
      </x:c>
      <x:c r="I396" t="n">
        <x:v>4</x:v>
      </x:c>
      <x:c r="J396" t="n">
        <x:v>6</x:v>
      </x:c>
      <x:c r="K396" t="n">
        <x:v>5</x:v>
      </x:c>
      <x:c r="L396" t="str">
        <x:v>$5–20</x:v>
      </x:c>
      <x:c r="M396" t="str">
        <x:v>Yes</x:v>
      </x:c>
      <x:c r="N396" t="str">
        <x:v>No</x:v>
      </x:c>
      <x:c r="O396" t="str">
        <x:v>Yes</x:v>
      </x:c>
      <x:c r="P396" t="str">
        <x:v>Clean/NM benchmark unless noted</x:v>
      </x:c>
      <x:c r="Q396" t="n">
        <x:v>4</x:v>
      </x:c>
      <x:c r="R396" t="n">
        <x:v>6</x:v>
      </x:c>
      <x:c r="S396" t="n">
        <x:v>5</x:v>
      </x:c>
      <x:c r="T396" t="str">
        <x:v>Next Destinies Pikachu 39/99 regular common. TCGplayer market currently about $5.02–5.08. Working clean/NM range $4–6.</x:v>
      </x:c>
      <x:c r="U396" t="n">
        <x:v>954</x:v>
      </x:c>
      <x:c r="V396" t="str">
        <x:v>Current chat continuation / researched 2026-08-15</x:v>
      </x:c>
      <x:c r="W396" t="str">
        <x:v>https://www.tcgplayer.com/categories/trading-collectible-card-games/pokemon/price-guides/next-destinies</x:v>
      </x:c>
    </x:row>
    <x:row r="397">
      <x:c r="A397" t="n">
        <x:v>517</x:v>
      </x:c>
      <x:c r="B397" t="str">
        <x:v>Electric / Commons</x:v>
      </x:c>
      <x:c r="C397" t="str">
        <x:v>Pikachu</x:v>
      </x:c>
      <x:c r="D397" t="str">
        <x:v>39/99</x:v>
      </x:c>
      <x:c r="E397" t="str">
        <x:v>Next Destinies</x:v>
      </x:c>
      <x:c r="F397" t="n">
        <x:v>2012</x:v>
      </x:c>
      <x:c r="G397" t="str">
        <x:v>Regular Common</x:v>
      </x:c>
      <x:c r="H397" t="str">
        <x:v>3 of 6</x:v>
      </x:c>
      <x:c r="I397" t="n">
        <x:v>4</x:v>
      </x:c>
      <x:c r="J397" t="n">
        <x:v>6</x:v>
      </x:c>
      <x:c r="K397" t="n">
        <x:v>5</x:v>
      </x:c>
      <x:c r="L397" t="str">
        <x:v>$5–20</x:v>
      </x:c>
      <x:c r="M397" t="str">
        <x:v>Yes</x:v>
      </x:c>
      <x:c r="N397" t="str">
        <x:v>No</x:v>
      </x:c>
      <x:c r="O397" t="str">
        <x:v>Yes</x:v>
      </x:c>
      <x:c r="P397" t="str">
        <x:v>Clean/NM benchmark unless noted</x:v>
      </x:c>
      <x:c r="Q397" t="n">
        <x:v>4</x:v>
      </x:c>
      <x:c r="R397" t="n">
        <x:v>6</x:v>
      </x:c>
      <x:c r="S397" t="n">
        <x:v>5</x:v>
      </x:c>
      <x:c r="T397" t="str">
        <x:v>Next Destinies Pikachu 39/99 regular common. TCGplayer market currently about $5.02–5.08. Working clean/NM range $4–6.</x:v>
      </x:c>
      <x:c r="U397" t="n">
        <x:v>954</x:v>
      </x:c>
      <x:c r="V397" t="str">
        <x:v>Current chat continuation / researched 2026-08-15</x:v>
      </x:c>
      <x:c r="W397" t="str">
        <x:v>https://www.tcgplayer.com/categories/trading-collectible-card-games/pokemon/price-guides/next-destinies</x:v>
      </x:c>
    </x:row>
    <x:row r="398">
      <x:c r="A398" t="n">
        <x:v>518</x:v>
      </x:c>
      <x:c r="B398" t="str">
        <x:v>Electric / Commons</x:v>
      </x:c>
      <x:c r="C398" t="str">
        <x:v>Pikachu</x:v>
      </x:c>
      <x:c r="D398" t="str">
        <x:v>39/99</x:v>
      </x:c>
      <x:c r="E398" t="str">
        <x:v>Next Destinies</x:v>
      </x:c>
      <x:c r="F398" t="n">
        <x:v>2012</x:v>
      </x:c>
      <x:c r="G398" t="str">
        <x:v>Regular Common</x:v>
      </x:c>
      <x:c r="H398" t="str">
        <x:v>4 of 6</x:v>
      </x:c>
      <x:c r="I398" t="n">
        <x:v>4</x:v>
      </x:c>
      <x:c r="J398" t="n">
        <x:v>6</x:v>
      </x:c>
      <x:c r="K398" t="n">
        <x:v>5</x:v>
      </x:c>
      <x:c r="L398" t="str">
        <x:v>$5–20</x:v>
      </x:c>
      <x:c r="M398" t="str">
        <x:v>Yes</x:v>
      </x:c>
      <x:c r="N398" t="str">
        <x:v>No</x:v>
      </x:c>
      <x:c r="O398" t="str">
        <x:v>Yes</x:v>
      </x:c>
      <x:c r="P398" t="str">
        <x:v>Clean/NM benchmark unless noted</x:v>
      </x:c>
      <x:c r="Q398" t="n">
        <x:v>4</x:v>
      </x:c>
      <x:c r="R398" t="n">
        <x:v>6</x:v>
      </x:c>
      <x:c r="S398" t="n">
        <x:v>5</x:v>
      </x:c>
      <x:c r="T398" t="str">
        <x:v>Next Destinies Pikachu 39/99 regular common. TCGplayer market currently about $5.02–5.08. Working clean/NM range $4–6.</x:v>
      </x:c>
      <x:c r="U398" t="n">
        <x:v>954</x:v>
      </x:c>
      <x:c r="V398" t="str">
        <x:v>Current chat continuation / researched 2026-08-15</x:v>
      </x:c>
      <x:c r="W398" t="str">
        <x:v>https://www.tcgplayer.com/categories/trading-collectible-card-games/pokemon/price-guides/next-destinies</x:v>
      </x:c>
    </x:row>
    <x:row r="399">
      <x:c r="A399" t="n">
        <x:v>519</x:v>
      </x:c>
      <x:c r="B399" t="str">
        <x:v>Electric / Commons</x:v>
      </x:c>
      <x:c r="C399" t="str">
        <x:v>Pikachu</x:v>
      </x:c>
      <x:c r="D399" t="str">
        <x:v>39/99</x:v>
      </x:c>
      <x:c r="E399" t="str">
        <x:v>Next Destinies</x:v>
      </x:c>
      <x:c r="F399" t="n">
        <x:v>2012</x:v>
      </x:c>
      <x:c r="G399" t="str">
        <x:v>Regular Common</x:v>
      </x:c>
      <x:c r="H399" t="str">
        <x:v>5 of 6</x:v>
      </x:c>
      <x:c r="I399" t="n">
        <x:v>4</x:v>
      </x:c>
      <x:c r="J399" t="n">
        <x:v>6</x:v>
      </x:c>
      <x:c r="K399" t="n">
        <x:v>5</x:v>
      </x:c>
      <x:c r="L399" t="str">
        <x:v>$5–20</x:v>
      </x:c>
      <x:c r="M399" t="str">
        <x:v>Yes</x:v>
      </x:c>
      <x:c r="N399" t="str">
        <x:v>No</x:v>
      </x:c>
      <x:c r="O399" t="str">
        <x:v>Yes</x:v>
      </x:c>
      <x:c r="P399" t="str">
        <x:v>Clean/NM benchmark unless noted</x:v>
      </x:c>
      <x:c r="Q399" t="n">
        <x:v>4</x:v>
      </x:c>
      <x:c r="R399" t="n">
        <x:v>6</x:v>
      </x:c>
      <x:c r="S399" t="n">
        <x:v>5</x:v>
      </x:c>
      <x:c r="T399" t="str">
        <x:v>Next Destinies Pikachu 39/99 regular common. TCGplayer market currently about $5.02–5.08. Working clean/NM range $4–6.</x:v>
      </x:c>
      <x:c r="U399" t="n">
        <x:v>954</x:v>
      </x:c>
      <x:c r="V399" t="str">
        <x:v>Current chat continuation / researched 2026-08-15</x:v>
      </x:c>
      <x:c r="W399" t="str">
        <x:v>https://www.tcgplayer.com/categories/trading-collectible-card-games/pokemon/price-guides/next-destinies</x:v>
      </x:c>
    </x:row>
    <x:row r="400">
      <x:c r="A400" t="n">
        <x:v>520</x:v>
      </x:c>
      <x:c r="B400" t="str">
        <x:v>Electric / Commons</x:v>
      </x:c>
      <x:c r="C400" t="str">
        <x:v>Pikachu</x:v>
      </x:c>
      <x:c r="D400" t="str">
        <x:v>39/99</x:v>
      </x:c>
      <x:c r="E400" t="str">
        <x:v>Next Destinies</x:v>
      </x:c>
      <x:c r="F400" t="n">
        <x:v>2012</x:v>
      </x:c>
      <x:c r="G400" t="str">
        <x:v>Regular Common</x:v>
      </x:c>
      <x:c r="H400" t="str">
        <x:v>6 of 6</x:v>
      </x:c>
      <x:c r="I400" t="n">
        <x:v>4</x:v>
      </x:c>
      <x:c r="J400" t="n">
        <x:v>6</x:v>
      </x:c>
      <x:c r="K400" t="n">
        <x:v>5</x:v>
      </x:c>
      <x:c r="L400" t="str">
        <x:v>$5–20</x:v>
      </x:c>
      <x:c r="M400" t="str">
        <x:v>Yes</x:v>
      </x:c>
      <x:c r="N400" t="str">
        <x:v>No</x:v>
      </x:c>
      <x:c r="O400" t="str">
        <x:v>Yes</x:v>
      </x:c>
      <x:c r="P400" t="str">
        <x:v>Clean/NM benchmark unless noted</x:v>
      </x:c>
      <x:c r="Q400" t="n">
        <x:v>4</x:v>
      </x:c>
      <x:c r="R400" t="n">
        <x:v>6</x:v>
      </x:c>
      <x:c r="S400" t="n">
        <x:v>5</x:v>
      </x:c>
      <x:c r="T400" t="str">
        <x:v>Next Destinies Pikachu 39/99 regular common. TCGplayer market currently about $5.02–5.08. Working clean/NM range $4–6.</x:v>
      </x:c>
      <x:c r="U400" t="n">
        <x:v>954</x:v>
      </x:c>
      <x:c r="V400" t="str">
        <x:v>Current chat continuation / researched 2026-08-15</x:v>
      </x:c>
      <x:c r="W400" t="str">
        <x:v>https://www.tcgplayer.com/categories/trading-collectible-card-games/pokemon/price-guides/next-destinies</x:v>
      </x:c>
    </x:row>
    <x:row r="401">
      <x:c r="A401" t="n">
        <x:v>521</x:v>
      </x:c>
      <x:c r="B401" t="str">
        <x:v>Electric / Commons</x:v>
      </x:c>
      <x:c r="C401" t="str">
        <x:v>Pikachu</x:v>
      </x:c>
      <x:c r="D401" t="str">
        <x:v>94/123</x:v>
      </x:c>
      <x:c r="E401" t="str">
        <x:v>Mysterious Treasures</x:v>
      </x:c>
      <x:c r="F401" t="n">
        <x:v>2007</x:v>
      </x:c>
      <x:c r="G401" t="str">
        <x:v>Regular Common (LV.15)</x:v>
      </x:c>
      <x:c r="H401" t="str">
        <x:v>1 of 1</x:v>
      </x:c>
      <x:c r="I401" t="n">
        <x:v>13</x:v>
      </x:c>
      <x:c r="J401" t="n">
        <x:v>22</x:v>
      </x:c>
      <x:c r="K401" t="n">
        <x:v>17.5</x:v>
      </x:c>
      <x:c r="L401" t="str">
        <x:v>$5–20</x:v>
      </x:c>
      <x:c r="M401" t="str">
        <x:v>Yes</x:v>
      </x:c>
      <x:c r="N401" t="str">
        <x:v>Yes</x:v>
      </x:c>
      <x:c r="O401" t="str">
        <x:v>Yes</x:v>
      </x:c>
      <x:c r="P401" t="str">
        <x:v>Played / likely MP; notable back wear</x:v>
      </x:c>
      <x:c r="Q401" t="n">
        <x:v>6</x:v>
      </x:c>
      <x:c r="R401" t="n">
        <x:v>12</x:v>
      </x:c>
      <x:c r="S401" t="n">
        <x:v>9</x:v>
      </x:c>
      <x:c r="T401" t="str">
        <x:v>Mysterious Treasures Pikachu LV.15 94/123 regular. Clean/NM recent TCGplayer sales are commonly about $17–22; PriceCharting ungraded about $13.61. User reports the back is not in great shape, so as-is value is temporarily $6–12 pending photos. Reverse holo is a separate, much higher-value printing.</x:v>
      </x:c>
      <x:c r="U401" t="n">
        <x:v>955</x:v>
      </x:c>
      <x:c r="V401" t="str">
        <x:v>Current chat continuation / researched 2026-08-15</x:v>
      </x:c>
      <x:c r="W401" t="str">
        <x:v>https://www.pricecharting.com/game/pokemon-mysterious-treasures/pikachu-94</x:v>
      </x:c>
    </x:row>
    <x:row r="402">
      <x:c r="A402" t="n">
        <x:v>522</x:v>
      </x:c>
      <x:c r="B402" t="str">
        <x:v>Electric / Commons</x:v>
      </x:c>
      <x:c r="C402" t="str">
        <x:v>Pikachu</x:v>
      </x:c>
      <x:c r="D402" t="str">
        <x:v>71/99</x:v>
      </x:c>
      <x:c r="E402" t="str">
        <x:v>Arceus</x:v>
      </x:c>
      <x:c r="F402" t="n">
        <x:v>2009</x:v>
      </x:c>
      <x:c r="G402" t="str">
        <x:v>Regular Common (LV.17)</x:v>
      </x:c>
      <x:c r="H402" t="str">
        <x:v>1 of 1</x:v>
      </x:c>
      <x:c r="I402" t="n">
        <x:v>5</x:v>
      </x:c>
      <x:c r="J402" t="n">
        <x:v>7.5</x:v>
      </x:c>
      <x:c r="K402" t="n">
        <x:v>6.25</x:v>
      </x:c>
      <x:c r="L402" t="str">
        <x:v>$5–20</x:v>
      </x:c>
      <x:c r="M402" t="str">
        <x:v>Yes</x:v>
      </x:c>
      <x:c r="N402" t="str">
        <x:v>No</x:v>
      </x:c>
      <x:c r="O402" t="str">
        <x:v>Yes</x:v>
      </x:c>
      <x:c r="P402" t="str">
        <x:v>Clean/NM benchmark unless noted</x:v>
      </x:c>
      <x:c r="Q402" t="n">
        <x:v>5</x:v>
      </x:c>
      <x:c r="R402" t="n">
        <x:v>7.5</x:v>
      </x:c>
      <x:c r="S402" t="n">
        <x:v>6.25</x:v>
      </x:c>
      <x:c r="T402" t="str">
        <x:v>Arceus Pikachu LV.17 71/99 regular common. TCGplayer market currently about $6.55; PriceCharting ungraded about $5.99. Reverse holo is a separate, significantly more valuable printing.</x:v>
      </x:c>
      <x:c r="U402" t="n">
        <x:v>955</x:v>
      </x:c>
      <x:c r="V402" t="str">
        <x:v>Current chat continuation / researched 2026-08-15</x:v>
      </x:c>
      <x:c r="W402" t="str">
        <x:v>https://www.pricecharting.com/game/pokemon-arceus/pikachu-71</x:v>
      </x:c>
    </x:row>
    <x:row r="403">
      <x:c r="A403" t="n">
        <x:v>523</x:v>
      </x:c>
      <x:c r="B403" t="str">
        <x:v>Electric / Commons</x:v>
      </x:c>
      <x:c r="C403" t="str">
        <x:v>Pikachu</x:v>
      </x:c>
      <x:c r="D403" t="str">
        <x:v>87/130</x:v>
      </x:c>
      <x:c r="E403" t="str">
        <x:v>Base Set 2</x:v>
      </x:c>
      <x:c r="F403" t="n">
        <x:v>2000</x:v>
      </x:c>
      <x:c r="G403" t="str">
        <x:v>Regular Common</x:v>
      </x:c>
      <x:c r="H403" t="str">
        <x:v>1 of 1</x:v>
      </x:c>
      <x:c r="I403" t="n">
        <x:v>2</x:v>
      </x:c>
      <x:c r="J403" t="n">
        <x:v>3.5</x:v>
      </x:c>
      <x:c r="K403" t="n">
        <x:v>2.75</x:v>
      </x:c>
      <x:c r="L403" t="str">
        <x:v>$1–5</x:v>
      </x:c>
      <x:c r="M403" t="str">
        <x:v>Yes</x:v>
      </x:c>
      <x:c r="N403" t="str">
        <x:v>No</x:v>
      </x:c>
      <x:c r="O403" t="str">
        <x:v>Yes</x:v>
      </x:c>
      <x:c r="P403" t="str">
        <x:v>Clean/NM benchmark unless noted</x:v>
      </x:c>
      <x:c r="Q403" t="n">
        <x:v>2</x:v>
      </x:c>
      <x:c r="R403" t="n">
        <x:v>3.5</x:v>
      </x:c>
      <x:c r="S403" t="n">
        <x:v>2.75</x:v>
      </x:c>
      <x:c r="T403" t="str">
        <x:v>Base Set 2 Pikachu 87/130 regular common. TCGplayer market currently about $2.75–2.85; PriceCharting ungraded about $2.59.</x:v>
      </x:c>
      <x:c r="U403" t="n">
        <x:v>955</x:v>
      </x:c>
      <x:c r="V403" t="str">
        <x:v>Current chat continuation / researched 2026-08-15</x:v>
      </x:c>
      <x:c r="W403" t="str">
        <x:v>https://www.pricecharting.com/game/pokemon-base-set-2/pikachu-87</x:v>
      </x:c>
    </x:row>
    <x:row r="404">
      <x:c r="A404" t="n">
        <x:v>524</x:v>
      </x:c>
      <x:c r="B404" t="str">
        <x:v>Electric / Commons</x:v>
      </x:c>
      <x:c r="C404" t="str">
        <x:v>Lt. Surge's Pikachu</x:v>
      </x:c>
      <x:c r="D404" t="str">
        <x:v>81/132</x:v>
      </x:c>
      <x:c r="E404" t="str">
        <x:v>Gym Heroes</x:v>
      </x:c>
      <x:c r="F404" t="n">
        <x:v>2000</x:v>
      </x:c>
      <x:c r="G404" t="str">
        <x:v>Regular Common (Unlimited assumed)</x:v>
      </x:c>
      <x:c r="H404" t="str">
        <x:v>1 of 1</x:v>
      </x:c>
      <x:c r="I404" t="n">
        <x:v>4</x:v>
      </x:c>
      <x:c r="J404" t="n">
        <x:v>8.5</x:v>
      </x:c>
      <x:c r="K404" t="n">
        <x:v>6.25</x:v>
      </x:c>
      <x:c r="L404" t="str">
        <x:v>$5–20</x:v>
      </x:c>
      <x:c r="M404" t="str">
        <x:v>Yes</x:v>
      </x:c>
      <x:c r="N404" t="str">
        <x:v>No</x:v>
      </x:c>
      <x:c r="O404" t="str">
        <x:v>Yes</x:v>
      </x:c>
      <x:c r="P404" t="str">
        <x:v>Played / HP-DMG; wrinkles/creases</x:v>
      </x:c>
      <x:c r="Q404" t="n">
        <x:v>2.5</x:v>
      </x:c>
      <x:c r="R404" t="n">
        <x:v>5.5</x:v>
      </x:c>
      <x:c r="S404" t="n">
        <x:v>4</x:v>
      </x:c>
      <x:c r="T404" t="str">
        <x:v>Gym Heroes Lt. Surge's Pikachu 81/132, Unlimited assumed. Recent 2026 NM TCGplayer sales commonly fall around $4–8.50. User reports a few wrinkles/creases, so treated as heavily played/damaged with a temporary $2.50–5.50 as-is range. Reprice materially higher if 1st Edition.</x:v>
      </x:c>
      <x:c r="U404" t="n">
        <x:v>955</x:v>
      </x:c>
      <x:c r="V404" t="str">
        <x:v>Current chat continuation / researched 2026-08-15</x:v>
      </x:c>
      <x:c r="W404" t="str">
        <x:v>https://www.pricecharting.com/game/pokemon-gym-heroes/lt-surge%27s-pikachu-81</x:v>
      </x:c>
    </x:row>
    <x:row r="405">
      <x:c r="A405" t="n">
        <x:v>525</x:v>
      </x:c>
      <x:c r="B405" t="str">
        <x:v>Electric / Commons</x:v>
      </x:c>
      <x:c r="C405" t="str">
        <x:v>Blitzle</x:v>
      </x:c>
      <x:c r="D405" t="str">
        <x:v>47/99</x:v>
      </x:c>
      <x:c r="E405" t="str">
        <x:v>Next Destinies</x:v>
      </x:c>
      <x:c r="F405" t="n">
        <x:v>2012</x:v>
      </x:c>
      <x:c r="G405" t="str">
        <x:v>Reverse Holo</x:v>
      </x:c>
      <x:c r="H405" t="str">
        <x:v>1 of 2</x:v>
      </x:c>
      <x:c r="I405" t="n">
        <x:v>0.7</x:v>
      </x:c>
      <x:c r="J405" t="n">
        <x:v>1.1</x:v>
      </x:c>
      <x:c r="K405" t="n">
        <x:v>0.9</x:v>
      </x:c>
      <x:c r="L405" t="str">
        <x:v>$1–5</x:v>
      </x:c>
      <x:c r="M405" t="str">
        <x:v>Yes</x:v>
      </x:c>
      <x:c r="N405" t="str">
        <x:v>No</x:v>
      </x:c>
      <x:c r="O405" t="str">
        <x:v>Yes</x:v>
      </x:c>
      <x:c r="P405" t="str">
        <x:v>Clean/NM benchmark unless noted</x:v>
      </x:c>
      <x:c r="Q405" t="n">
        <x:v>0.7</x:v>
      </x:c>
      <x:c r="R405" t="n">
        <x:v>1.1</x:v>
      </x:c>
      <x:c r="S405" t="n">
        <x:v>0.9</x:v>
      </x:c>
      <x:c r="T405" t="str">
        <x:v>Next Destinies Blitzle 47/99 reverse holo. PriceCharting currently places ungraded around $0.90; TCGplayer reverse/holofoil pricing is roughly $0.70. Borderline, but included under the user's 'about $1+' logging rule.</x:v>
      </x:c>
      <x:c r="U405" t="n">
        <x:v>956</x:v>
      </x:c>
      <x:c r="V405" t="str">
        <x:v>Current chat continuation / researched 2026-08-15</x:v>
      </x:c>
      <x:c r="W405" t="str">
        <x:v>https://www.pricecharting.com/game/pokemon-next-destinies/blitzle-reverse-holo-47</x:v>
      </x:c>
    </x:row>
    <x:row r="406">
      <x:c r="A406" t="n">
        <x:v>526</x:v>
      </x:c>
      <x:c r="B406" t="str">
        <x:v>Electric / Commons</x:v>
      </x:c>
      <x:c r="C406" t="str">
        <x:v>Mareep</x:v>
      </x:c>
      <x:c r="D406" t="str">
        <x:v>38/124</x:v>
      </x:c>
      <x:c r="E406" t="str">
        <x:v>Dragons Exalted</x:v>
      </x:c>
      <x:c r="F406" t="n">
        <x:v>2012</x:v>
      </x:c>
      <x:c r="G406" t="str">
        <x:v>Reverse Holo</x:v>
      </x:c>
      <x:c r="H406" t="str">
        <x:v>1 of 1</x:v>
      </x:c>
      <x:c r="I406" t="n">
        <x:v>1.1</x:v>
      </x:c>
      <x:c r="J406" t="n">
        <x:v>2.2</x:v>
      </x:c>
      <x:c r="K406" t="n">
        <x:v>1.65</x:v>
      </x:c>
      <x:c r="L406" t="str">
        <x:v>$1–5</x:v>
      </x:c>
      <x:c r="M406" t="str">
        <x:v>Yes</x:v>
      </x:c>
      <x:c r="N406" t="str">
        <x:v>No</x:v>
      </x:c>
      <x:c r="O406" t="str">
        <x:v>Yes</x:v>
      </x:c>
      <x:c r="P406" t="str">
        <x:v>Clean/NM benchmark unless noted</x:v>
      </x:c>
      <x:c r="Q406" t="n">
        <x:v>1.1</x:v>
      </x:c>
      <x:c r="R406" t="n">
        <x:v>2.2</x:v>
      </x:c>
      <x:c r="S406" t="n">
        <x:v>1.65</x:v>
      </x:c>
      <x:c r="T406" t="str">
        <x:v>Dragons Exalted Mareep 38/124 reverse holo. Recent NM TCGplayer sales are about $1.10–1.40, while PriceCharting ungraded is about $2.18; working clean/NM range $1.10–2.20.</x:v>
      </x:c>
      <x:c r="U406" t="n">
        <x:v>956</x:v>
      </x:c>
      <x:c r="V406" t="str">
        <x:v>Current chat continuation / researched 2026-08-15</x:v>
      </x:c>
      <x:c r="W406" t="str">
        <x:v>https://www.pricecharting.com/game/pokemon-dragons-exalted/mareep-reverse-holo-38</x:v>
      </x:c>
    </x:row>
    <x:row r="407">
      <x:c r="A407" t="n">
        <x:v>527</x:v>
      </x:c>
      <x:c r="B407" t="str">
        <x:v>Electric / Commons</x:v>
      </x:c>
      <x:c r="C407" t="str">
        <x:v>Manectric</x:v>
      </x:c>
      <x:c r="D407" t="str">
        <x:v>38/107</x:v>
      </x:c>
      <x:c r="E407" t="str">
        <x:v>EX Deoxys</x:v>
      </x:c>
      <x:c r="F407" t="n">
        <x:v>2005</x:v>
      </x:c>
      <x:c r="G407" t="str">
        <x:v>Regular</x:v>
      </x:c>
      <x:c r="H407" t="str">
        <x:v>1 of 1</x:v>
      </x:c>
      <x:c r="I407" t="n">
        <x:v>0.85</x:v>
      </x:c>
      <x:c r="J407" t="n">
        <x:v>2</x:v>
      </x:c>
      <x:c r="K407" t="n">
        <x:v>1.425</x:v>
      </x:c>
      <x:c r="L407" t="str">
        <x:v>$1–5</x:v>
      </x:c>
      <x:c r="M407" t="str">
        <x:v>Yes</x:v>
      </x:c>
      <x:c r="N407" t="str">
        <x:v>No</x:v>
      </x:c>
      <x:c r="O407" t="str">
        <x:v>Yes</x:v>
      </x:c>
      <x:c r="P407" t="str">
        <x:v>Clean/NM benchmark unless noted</x:v>
      </x:c>
      <x:c r="Q407" t="n">
        <x:v>0.85</x:v>
      </x:c>
      <x:c r="R407" t="n">
        <x:v>2</x:v>
      </x:c>
      <x:c r="S407" t="n">
        <x:v>1.425</x:v>
      </x:c>
      <x:c r="T407" t="str">
        <x:v>CORRECTED: EX Deoxys Manectric 38/107 regular printing. User did not identify this copy as reverse holo. TCGplayer normal market is about $1.19; recent NM sales are roughly $0.86–$1.99. Working clean/NM range $0.85–2.00.</x:v>
      </x:c>
      <x:c r="U407" t="n">
        <x:v>957</x:v>
      </x:c>
      <x:c r="V407" t="str">
        <x:v>Current chat continuation / corrected 2026-08-15</x:v>
      </x:c>
      <x:c r="W407" t="str">
        <x:v>https://www.tcgplayer.com/product/87155/pokemon-deoxys-manectric</x:v>
      </x:c>
    </x:row>
    <x:row r="408">
      <x:c r="A408" t="n">
        <x:v>528</x:v>
      </x:c>
      <x:c r="B408" t="str">
        <x:v>Electric / Commons</x:v>
      </x:c>
      <x:c r="C408" t="str">
        <x:v>Manectric G</x:v>
      </x:c>
      <x:c r="D408" t="str">
        <x:v>66/147</x:v>
      </x:c>
      <x:c r="E408" t="str">
        <x:v>Supreme Victors</x:v>
      </x:c>
      <x:c r="F408" t="n">
        <x:v>2009</x:v>
      </x:c>
      <x:c r="G408" t="str">
        <x:v>Regular (LV.58)</x:v>
      </x:c>
      <x:c r="H408" t="str">
        <x:v>1 of 1</x:v>
      </x:c>
      <x:c r="I408" t="n">
        <x:v>0.75</x:v>
      </x:c>
      <x:c r="J408" t="n">
        <x:v>1.5</x:v>
      </x:c>
      <x:c r="K408" t="n">
        <x:v>1.125</x:v>
      </x:c>
      <x:c r="L408" t="str">
        <x:v>$1–5</x:v>
      </x:c>
      <x:c r="M408" t="str">
        <x:v>Yes</x:v>
      </x:c>
      <x:c r="N408" t="str">
        <x:v>No</x:v>
      </x:c>
      <x:c r="O408" t="str">
        <x:v>Yes</x:v>
      </x:c>
      <x:c r="P408" t="str">
        <x:v>Clean/NM benchmark unless noted</x:v>
      </x:c>
      <x:c r="Q408" t="n">
        <x:v>0.75</x:v>
      </x:c>
      <x:c r="R408" t="n">
        <x:v>1.5</x:v>
      </x:c>
      <x:c r="S408" t="n">
        <x:v>1.125</x:v>
      </x:c>
      <x:c r="T408" t="str">
        <x:v>CORRECTED: Supreme Victors Manectric G LV.58 66/147 regular printing. User did not identify this copy as reverse holo. TCGplayer normal market is about $0.98; PriceCharting ungraded is about $1.50. Working clean/NM range $0.75–1.50; borderline but included under the user's 'about $1+' rule.</x:v>
      </x:c>
      <x:c r="U408" t="n">
        <x:v>957</x:v>
      </x:c>
      <x:c r="V408" t="str">
        <x:v>Current chat continuation / corrected 2026-08-15</x:v>
      </x:c>
      <x:c r="W408" t="str">
        <x:v>https://www.tcgplayer.com/product/87168/pokemon-supreme-victors-manectric-g</x:v>
      </x:c>
    </x:row>
    <x:row r="409">
      <x:c r="A409" t="n">
        <x:v>529</x:v>
      </x:c>
      <x:c r="B409" t="str">
        <x:v>Electric / Commons</x:v>
      </x:c>
      <x:c r="C409" t="str">
        <x:v>Blitzle</x:v>
      </x:c>
      <x:c r="D409" t="str">
        <x:v>47/99</x:v>
      </x:c>
      <x:c r="E409" t="str">
        <x:v>Next Destinies</x:v>
      </x:c>
      <x:c r="F409" t="n">
        <x:v>2012</x:v>
      </x:c>
      <x:c r="G409" t="str">
        <x:v>Reverse Holo</x:v>
      </x:c>
      <x:c r="H409" t="str">
        <x:v>2 of 2</x:v>
      </x:c>
      <x:c r="I409" t="n">
        <x:v>0.7</x:v>
      </x:c>
      <x:c r="J409" t="n">
        <x:v>1.1</x:v>
      </x:c>
      <x:c r="K409" t="n">
        <x:v>0.9</x:v>
      </x:c>
      <x:c r="L409" t="str">
        <x:v>$1–5</x:v>
      </x:c>
      <x:c r="M409" t="str">
        <x:v>Yes</x:v>
      </x:c>
      <x:c r="N409" t="str">
        <x:v>No</x:v>
      </x:c>
      <x:c r="O409" t="str">
        <x:v>Yes</x:v>
      </x:c>
      <x:c r="P409" t="str">
        <x:v>Clean/NM benchmark unless noted</x:v>
      </x:c>
      <x:c r="Q409" t="n">
        <x:v>0.7</x:v>
      </x:c>
      <x:c r="R409" t="n">
        <x:v>1.1</x:v>
      </x:c>
      <x:c r="S409" t="n">
        <x:v>0.9</x:v>
      </x:c>
      <x:c r="T409" t="str">
        <x:v>Second physical copy. Next Destinies Blitzle 47/99 reverse holo. TCGplayer reverse-holo pricing is about $0.71; recent NM sales are commonly about $0.56–0.69. Kept in the $1+ collection under the user's 'about $1+' borderline rule.</x:v>
      </x:c>
      <x:c r="U409" t="n">
        <x:v>958</x:v>
      </x:c>
      <x:c r="V409" t="str">
        <x:v>Current chat continuation / researched 2026-08-15</x:v>
      </x:c>
      <x:c r="W409" t="str">
        <x:v>https://www.tcgplayer.com/product/83931/pokemon-next-destinies-blitzle</x:v>
      </x:c>
    </x:row>
    <x:row r="410">
      <x:c r="A410" t="n">
        <x:v>530</x:v>
      </x:c>
      <x:c r="B410" t="str">
        <x:v>Electric / Commons</x:v>
      </x:c>
      <x:c r="C410" t="str">
        <x:v>Blitzle</x:v>
      </x:c>
      <x:c r="D410" t="str">
        <x:v>56/149</x:v>
      </x:c>
      <x:c r="E410" t="str">
        <x:v>Boundaries Crossed</x:v>
      </x:c>
      <x:c r="F410" t="n">
        <x:v>2012</x:v>
      </x:c>
      <x:c r="G410" t="str">
        <x:v>Reverse Holo</x:v>
      </x:c>
      <x:c r="H410" t="str">
        <x:v>1 of 1</x:v>
      </x:c>
      <x:c r="I410" t="n">
        <x:v>0.8</x:v>
      </x:c>
      <x:c r="J410" t="n">
        <x:v>1.8</x:v>
      </x:c>
      <x:c r="K410" t="n">
        <x:v>1.3</x:v>
      </x:c>
      <x:c r="L410" t="str">
        <x:v>$1–5</x:v>
      </x:c>
      <x:c r="M410" t="str">
        <x:v>Yes</x:v>
      </x:c>
      <x:c r="N410" t="str">
        <x:v>No</x:v>
      </x:c>
      <x:c r="O410" t="str">
        <x:v>Yes</x:v>
      </x:c>
      <x:c r="P410" t="str">
        <x:v>Clean/NM benchmark unless noted</x:v>
      </x:c>
      <x:c r="Q410" t="n">
        <x:v>0.8</x:v>
      </x:c>
      <x:c r="R410" t="n">
        <x:v>1.8</x:v>
      </x:c>
      <x:c r="S410" t="n">
        <x:v>1.3</x:v>
      </x:c>
      <x:c r="T410" t="str">
        <x:v>Boundaries Crossed Blitzle 56/149 reverse holo. Recent NM TCGplayer sales are roughly $0.81–0.99; PriceCharting guide/listings are around $1.60–1.74. Working clean/NM range $0.80–1.80.</x:v>
      </x:c>
      <x:c r="U410" t="n">
        <x:v>958</x:v>
      </x:c>
      <x:c r="V410" t="str">
        <x:v>Current chat continuation / researched 2026-08-15</x:v>
      </x:c>
      <x:c r="W410" t="str">
        <x:v>https://www.pricecharting.com/game/pokemon-boundaries-crossed/blitzle-reverse-holo-56</x:v>
      </x:c>
    </x:row>
    <x:row r="411">
      <x:c r="A411" t="n">
        <x:v>531</x:v>
      </x:c>
      <x:c r="B411" t="str">
        <x:v>Electric / Commons</x:v>
      </x:c>
      <x:c r="C411" t="str">
        <x:v>Mareep</x:v>
      </x:c>
      <x:c r="D411" t="str">
        <x:v>67/109</x:v>
      </x:c>
      <x:c r="E411" t="str">
        <x:v>EX Team Rocket Returns</x:v>
      </x:c>
      <x:c r="F411" t="n">
        <x:v>2004</x:v>
      </x:c>
      <x:c r="G411" t="str">
        <x:v>Stamped Reverse Holo</x:v>
      </x:c>
      <x:c r="H411" t="str">
        <x:v>1 of 2</x:v>
      </x:c>
      <x:c r="I411" t="n">
        <x:v>26</x:v>
      </x:c>
      <x:c r="J411" t="n">
        <x:v>50.5</x:v>
      </x:c>
      <x:c r="K411" t="n">
        <x:v>38.25</x:v>
      </x:c>
      <x:c r="L411" t="str">
        <x:v>$20+</x:v>
      </x:c>
      <x:c r="M411" t="str">
        <x:v>Yes</x:v>
      </x:c>
      <x:c r="N411" t="str">
        <x:v>Yes</x:v>
      </x:c>
      <x:c r="O411" t="str">
        <x:v>Yes</x:v>
      </x:c>
      <x:c r="P411" t="str">
        <x:v>Clean/NM benchmark unless noted</x:v>
      </x:c>
      <x:c r="Q411" t="n">
        <x:v>26</x:v>
      </x:c>
      <x:c r="R411" t="n">
        <x:v>50.5</x:v>
      </x:c>
      <x:c r="S411" t="n">
        <x:v>38.25</x:v>
      </x:c>
      <x:c r="T411" t="str">
        <x:v>EX Team Rocket Returns Mareep 67/109 stamped reverse holo. Recent raw sales include roughly $26.48 LP, $29.00, $33.00 LP, $34.99, and $38.98; TCGplayer reverse-holo price is currently about $50.50. Working clean/NM benchmark $26–50.50 pending condition.</x:v>
      </x:c>
      <x:c r="U411" t="n">
        <x:v>958</x:v>
      </x:c>
      <x:c r="V411" t="str">
        <x:v>Current chat continuation / researched 2026-08-15</x:v>
      </x:c>
      <x:c r="W411" t="str">
        <x:v>https://www.pricecharting.com/game/pokemon-team-rocket-returns/mareep-reverse-holo-67</x:v>
      </x:c>
    </x:row>
    <x:row r="412">
      <x:c r="A412" t="n">
        <x:v>532</x:v>
      </x:c>
      <x:c r="B412" t="str">
        <x:v>Electric / Commons</x:v>
      </x:c>
      <x:c r="C412" t="str">
        <x:v>Emolga</x:v>
      </x:c>
      <x:c r="D412" t="str">
        <x:v>6/12</x:v>
      </x:c>
      <x:c r="E412" t="str">
        <x:v>McDonald's Promos 2012</x:v>
      </x:c>
      <x:c r="F412" t="n">
        <x:v>2012</x:v>
      </x:c>
      <x:c r="G412" t="str">
        <x:v>Holo Promo</x:v>
      </x:c>
      <x:c r="H412" t="str">
        <x:v>1 of 1</x:v>
      </x:c>
      <x:c r="I412" t="n">
        <x:v>7.5</x:v>
      </x:c>
      <x:c r="J412" t="n">
        <x:v>11</x:v>
      </x:c>
      <x:c r="K412" t="n">
        <x:v>9.25</x:v>
      </x:c>
      <x:c r="L412" t="str">
        <x:v>$5–20</x:v>
      </x:c>
      <x:c r="M412" t="str">
        <x:v>Yes</x:v>
      </x:c>
      <x:c r="N412" t="str">
        <x:v>No</x:v>
      </x:c>
      <x:c r="O412" t="str">
        <x:v>Yes</x:v>
      </x:c>
      <x:c r="P412" t="str">
        <x:v>Clean/NM benchmark unless noted</x:v>
      </x:c>
      <x:c r="Q412" t="n">
        <x:v>7.5</x:v>
      </x:c>
      <x:c r="R412" t="n">
        <x:v>11</x:v>
      </x:c>
      <x:c r="S412" t="n">
        <x:v>9.25</x:v>
      </x:c>
      <x:c r="T412" t="str">
        <x:v>2012 McDonald's promo Emolga 6/12 holo. Recent NM TCGplayer sales are about $7.77–10.32, with TCGplayer market around $10.33. Working clean/NM range $7.50–11.</x:v>
      </x:c>
      <x:c r="U412" t="n">
        <x:v>958</x:v>
      </x:c>
      <x:c r="V412" t="str">
        <x:v>Current chat continuation / researched 2026-08-15</x:v>
      </x:c>
      <x:c r="W412" t="str">
        <x:v>https://www.pricecharting.com/game/pokemon-mcdonalds-2012/emolga-6</x:v>
      </x:c>
    </x:row>
    <x:row r="413">
      <x:c r="A413" t="n">
        <x:v>533</x:v>
      </x:c>
      <x:c r="B413" t="str">
        <x:v>Electric / Commons</x:v>
      </x:c>
      <x:c r="C413" t="str">
        <x:v>Electabuzz</x:v>
      </x:c>
      <x:c r="D413" t="str">
        <x:v>53/149</x:v>
      </x:c>
      <x:c r="E413" t="str">
        <x:v>Boundaries Crossed</x:v>
      </x:c>
      <x:c r="F413" t="n">
        <x:v>2012</x:v>
      </x:c>
      <x:c r="G413" t="str">
        <x:v>Reverse Holo</x:v>
      </x:c>
      <x:c r="H413" t="str">
        <x:v>1 of 1</x:v>
      </x:c>
      <x:c r="I413" t="n">
        <x:v>1.25</x:v>
      </x:c>
      <x:c r="J413" t="n">
        <x:v>2</x:v>
      </x:c>
      <x:c r="K413" t="n">
        <x:v>1.625</x:v>
      </x:c>
      <x:c r="L413" t="str">
        <x:v>$1–5</x:v>
      </x:c>
      <x:c r="M413" t="str">
        <x:v>Yes</x:v>
      </x:c>
      <x:c r="N413" t="str">
        <x:v>No</x:v>
      </x:c>
      <x:c r="O413" t="str">
        <x:v>Yes</x:v>
      </x:c>
      <x:c r="P413" t="str">
        <x:v>Clean/NM benchmark unless noted</x:v>
      </x:c>
      <x:c r="Q413" t="n">
        <x:v>1.25</x:v>
      </x:c>
      <x:c r="R413" t="n">
        <x:v>2</x:v>
      </x:c>
      <x:c r="S413" t="n">
        <x:v>1.625</x:v>
      </x:c>
      <x:c r="T413" t="str">
        <x:v>Boundaries Crossed Electabuzz 53/149 reverse holo. TCGplayer reverse-holo market is about $1.35–1.68; recent NM TCGplayer sales around $1.35, with LP/NM eBay sales higher. Working clean/NM range $1.25–2.00.</x:v>
      </x:c>
      <x:c r="U413" t="n">
        <x:v>959</x:v>
      </x:c>
      <x:c r="V413" t="str">
        <x:v>Current chat continuation / researched 2026-08-15</x:v>
      </x:c>
      <x:c r="W413" t="str">
        <x:v>https://www.tcgplayer.com/product/85118/pokemon-boundaries-crossed-electabuzz</x:v>
      </x:c>
    </x:row>
    <x:row r="414">
      <x:c r="A414" t="n">
        <x:v>534</x:v>
      </x:c>
      <x:c r="B414" t="str">
        <x:v>Electric / Commons</x:v>
      </x:c>
      <x:c r="C414" t="str">
        <x:v>Voltorb</x:v>
      </x:c>
      <x:c r="D414" t="str">
        <x:v>51/149</x:v>
      </x:c>
      <x:c r="E414" t="str">
        <x:v>Boundaries Crossed</x:v>
      </x:c>
      <x:c r="F414" t="n">
        <x:v>2012</x:v>
      </x:c>
      <x:c r="G414" t="str">
        <x:v>Reverse Holo</x:v>
      </x:c>
      <x:c r="H414" t="str">
        <x:v>1 of 1</x:v>
      </x:c>
      <x:c r="I414" t="n">
        <x:v>1.5</x:v>
      </x:c>
      <x:c r="J414" t="n">
        <x:v>2</x:v>
      </x:c>
      <x:c r="K414" t="n">
        <x:v>1.75</x:v>
      </x:c>
      <x:c r="L414" t="str">
        <x:v>$1–5</x:v>
      </x:c>
      <x:c r="M414" t="str">
        <x:v>Yes</x:v>
      </x:c>
      <x:c r="N414" t="str">
        <x:v>No</x:v>
      </x:c>
      <x:c r="O414" t="str">
        <x:v>Yes</x:v>
      </x:c>
      <x:c r="P414" t="str">
        <x:v>Clean/NM benchmark unless noted</x:v>
      </x:c>
      <x:c r="Q414" t="n">
        <x:v>1.5</x:v>
      </x:c>
      <x:c r="R414" t="n">
        <x:v>2</x:v>
      </x:c>
      <x:c r="S414" t="n">
        <x:v>1.75</x:v>
      </x:c>
      <x:c r="T414" t="str">
        <x:v>Boundaries Crossed Voltorb 51/149 reverse holo. TCGplayer reverse-holo market about $1.50; PriceCharting ungraded about $1.99. Working clean/NM range $1.50–2.00.</x:v>
      </x:c>
      <x:c r="U414" t="n">
        <x:v>959</x:v>
      </x:c>
      <x:c r="V414" t="str">
        <x:v>Current chat continuation / researched 2026-08-15</x:v>
      </x:c>
      <x:c r="W414" t="str">
        <x:v>https://www.pricecharting.com/game/pokemon-boundaries-crossed/voltorb-reverse-holo-51</x:v>
      </x:c>
    </x:row>
    <x:row r="415">
      <x:c r="A415" t="n">
        <x:v>535</x:v>
      </x:c>
      <x:c r="B415" t="str">
        <x:v>Electric / Commons</x:v>
      </x:c>
      <x:c r="C415" t="str">
        <x:v>Shinx</x:v>
      </x:c>
      <x:c r="D415" t="str">
        <x:v>43/99</x:v>
      </x:c>
      <x:c r="E415" t="str">
        <x:v>Next Destinies</x:v>
      </x:c>
      <x:c r="F415" t="n">
        <x:v>2012</x:v>
      </x:c>
      <x:c r="G415" t="str">
        <x:v>Reverse Holo</x:v>
      </x:c>
      <x:c r="H415" t="str">
        <x:v>1 of 1</x:v>
      </x:c>
      <x:c r="I415" t="n">
        <x:v>3.4</x:v>
      </x:c>
      <x:c r="J415" t="n">
        <x:v>4.25</x:v>
      </x:c>
      <x:c r="K415" t="n">
        <x:v>3.825</x:v>
      </x:c>
      <x:c r="L415" t="str">
        <x:v>$1–5</x:v>
      </x:c>
      <x:c r="M415" t="str">
        <x:v>Yes</x:v>
      </x:c>
      <x:c r="N415" t="str">
        <x:v>No</x:v>
      </x:c>
      <x:c r="O415" t="str">
        <x:v>Yes</x:v>
      </x:c>
      <x:c r="P415" t="str">
        <x:v>Clean/NM benchmark unless noted</x:v>
      </x:c>
      <x:c r="Q415" t="n">
        <x:v>3.4</x:v>
      </x:c>
      <x:c r="R415" t="n">
        <x:v>4.25</x:v>
      </x:c>
      <x:c r="S415" t="n">
        <x:v>3.825</x:v>
      </x:c>
      <x:c r="T415" t="str">
        <x:v>Next Destinies Shinx 43/99 reverse holo. Recent 2026 NM sales are commonly about $3.45–4.19; PriceCharting ungraded about $4.04. Working clean/NM range $3.40–4.25.</x:v>
      </x:c>
      <x:c r="U415" t="n">
        <x:v>959</x:v>
      </x:c>
      <x:c r="V415" t="str">
        <x:v>Current chat continuation / researched 2026-08-15</x:v>
      </x:c>
      <x:c r="W415" t="str">
        <x:v>https://www.pricecharting.com/game/pokemon-next-destinies/shinx-reverse-holo-43</x:v>
      </x:c>
    </x:row>
    <x:row r="416">
      <x:c r="A416" t="n">
        <x:v>538</x:v>
      </x:c>
      <x:c r="B416" t="str">
        <x:v>Electric / Commons</x:v>
      </x:c>
      <x:c r="C416" t="str">
        <x:v>Chinchou</x:v>
      </x:c>
      <x:c r="D416" t="str">
        <x:v>55/149</x:v>
      </x:c>
      <x:c r="E416" t="str">
        <x:v>Boundaries Crossed</x:v>
      </x:c>
      <x:c r="F416" t="n">
        <x:v>2012</x:v>
      </x:c>
      <x:c r="G416" t="str">
        <x:v>Reverse Holo</x:v>
      </x:c>
      <x:c r="H416" t="str">
        <x:v>1 of 1</x:v>
      </x:c>
      <x:c r="I416" t="n">
        <x:v>0.7</x:v>
      </x:c>
      <x:c r="J416" t="n">
        <x:v>1</x:v>
      </x:c>
      <x:c r="K416" t="n">
        <x:v>0.85</x:v>
      </x:c>
      <x:c r="L416" t="str">
        <x:v>$1–5</x:v>
      </x:c>
      <x:c r="M416" t="str">
        <x:v>Yes</x:v>
      </x:c>
      <x:c r="N416" t="str">
        <x:v>No</x:v>
      </x:c>
      <x:c r="O416" t="str">
        <x:v>Yes</x:v>
      </x:c>
      <x:c r="P416" t="str">
        <x:v>Clean/NM benchmark unless noted</x:v>
      </x:c>
      <x:c r="Q416" t="n">
        <x:v>0.7</x:v>
      </x:c>
      <x:c r="R416" t="n">
        <x:v>1</x:v>
      </x:c>
      <x:c r="S416" t="n">
        <x:v>0.85</x:v>
      </x:c>
      <x:c r="T416" t="str">
        <x:v>Boundaries Crossed Chinchou 55/149 reverse holo. Current TCGplayer pricing about $0.70 and PriceCharting ungraded about $1.00. Borderline, but included under the user's 'about $1+' rule.</x:v>
      </x:c>
      <x:c r="U416" t="n">
        <x:v>959</x:v>
      </x:c>
      <x:c r="V416" t="str">
        <x:v>Current chat continuation / researched 2026-08-15</x:v>
      </x:c>
      <x:c r="W416" t="str">
        <x:v>https://www.pricecharting.com/game/pokemon-boundaries-crossed/chinchou-reverse-holo-55</x:v>
      </x:c>
    </x:row>
    <x:row r="417">
      <x:c r="A417" t="n">
        <x:v>541</x:v>
      </x:c>
      <x:c r="B417" t="str">
        <x:v>Electric / Commons</x:v>
      </x:c>
      <x:c r="C417" t="str">
        <x:v>Joltik</x:v>
      </x:c>
      <x:c r="D417" t="str">
        <x:v>33/98</x:v>
      </x:c>
      <x:c r="E417" t="str">
        <x:v>Emerging Powers</x:v>
      </x:c>
      <x:c r="F417" t="n">
        <x:v>2011</x:v>
      </x:c>
      <x:c r="G417" t="str">
        <x:v>Reverse Holo</x:v>
      </x:c>
      <x:c r="H417" t="str">
        <x:v>1 of 1</x:v>
      </x:c>
      <x:c r="I417" t="n">
        <x:v>5.5</x:v>
      </x:c>
      <x:c r="J417" t="n">
        <x:v>8</x:v>
      </x:c>
      <x:c r="K417" t="n">
        <x:v>6.75</x:v>
      </x:c>
      <x:c r="L417" t="str">
        <x:v>$5–20</x:v>
      </x:c>
      <x:c r="M417" t="str">
        <x:v>Yes</x:v>
      </x:c>
      <x:c r="N417" t="str">
        <x:v>No</x:v>
      </x:c>
      <x:c r="O417" t="str">
        <x:v>Yes</x:v>
      </x:c>
      <x:c r="P417" t="str">
        <x:v>Clean/NM benchmark unless noted</x:v>
      </x:c>
      <x:c r="Q417" t="n">
        <x:v>5.5</x:v>
      </x:c>
      <x:c r="R417" t="n">
        <x:v>8</x:v>
      </x:c>
      <x:c r="S417" t="n">
        <x:v>6.75</x:v>
      </x:c>
      <x:c r="T417" t="str">
        <x:v>Emerging Powers Joltik 33/98 reverse holo. PriceCharting current ungraded value is about $7.20. Recent 2026 NM sales include roughly $5.91, $7.00, $7.11 and $7.99, with some higher outliers. Working clean/NM range $5.50–8.00.</x:v>
      </x:c>
      <x:c r="U417" t="n">
        <x:v>960</x:v>
      </x:c>
      <x:c r="V417" t="str">
        <x:v>Current chat continuation / researched 2026-08-15</x:v>
      </x:c>
      <x:c r="W417" t="str">
        <x:v>https://www.pricecharting.com/game/pokemon-emerging-powers/joltik-reverse-holo-33</x:v>
      </x:c>
    </x:row>
    <x:row r="418">
      <x:c r="A418" t="n">
        <x:v>542</x:v>
      </x:c>
      <x:c r="B418" t="str">
        <x:v>Electric / Commons</x:v>
      </x:c>
      <x:c r="C418" t="str">
        <x:v>Joltik</x:v>
      </x:c>
      <x:c r="D418" t="str">
        <x:v>45/114</x:v>
      </x:c>
      <x:c r="E418" t="str">
        <x:v>Black &amp; White</x:v>
      </x:c>
      <x:c r="F418" t="n">
        <x:v>2011</x:v>
      </x:c>
      <x:c r="G418" t="str">
        <x:v>Reverse Holo</x:v>
      </x:c>
      <x:c r="H418" t="str">
        <x:v>1 of 1</x:v>
      </x:c>
      <x:c r="I418" t="n">
        <x:v>2.25</x:v>
      </x:c>
      <x:c r="J418" t="n">
        <x:v>4.5</x:v>
      </x:c>
      <x:c r="K418" t="n">
        <x:v>3.375</x:v>
      </x:c>
      <x:c r="L418" t="str">
        <x:v>$1–5</x:v>
      </x:c>
      <x:c r="M418" t="str">
        <x:v>Yes</x:v>
      </x:c>
      <x:c r="N418" t="str">
        <x:v>No</x:v>
      </x:c>
      <x:c r="O418" t="str">
        <x:v>Yes</x:v>
      </x:c>
      <x:c r="P418" t="str">
        <x:v>Clean/NM benchmark unless noted</x:v>
      </x:c>
      <x:c r="Q418" t="n">
        <x:v>2.25</x:v>
      </x:c>
      <x:c r="R418" t="n">
        <x:v>4.5</x:v>
      </x:c>
      <x:c r="S418" t="n">
        <x:v>3.375</x:v>
      </x:c>
      <x:c r="T418" t="str">
        <x:v>Black &amp; White Joltik 45/114 reverse holo. PriceCharting current ungraded value is about $2.99. Recent 2026 NM sales commonly fall around $2.24–4.34, with occasional higher eBay sales. Working clean/NM range $2.25–4.50.</x:v>
      </x:c>
      <x:c r="U418" t="n">
        <x:v>960</x:v>
      </x:c>
      <x:c r="V418" t="str">
        <x:v>Current chat continuation / researched 2026-08-15</x:v>
      </x:c>
      <x:c r="W418" t="str">
        <x:v>https://www.pricecharting.com/game/pokemon-black-%26-white/joltik-reverse-holo-45</x:v>
      </x:c>
    </x:row>
    <x:row r="419">
      <x:c r="A419" t="n">
        <x:v>543</x:v>
      </x:c>
      <x:c r="B419" t="str">
        <x:v>Electric / Commons</x:v>
      </x:c>
      <x:c r="C419" t="str">
        <x:v>Joltik</x:v>
      </x:c>
      <x:c r="D419" t="str">
        <x:v>41/108</x:v>
      </x:c>
      <x:c r="E419" t="str">
        <x:v>Dark Explorers</x:v>
      </x:c>
      <x:c r="F419" t="n">
        <x:v>2012</x:v>
      </x:c>
      <x:c r="G419" t="str">
        <x:v>Reverse Holo</x:v>
      </x:c>
      <x:c r="H419" t="str">
        <x:v>1 of 1</x:v>
      </x:c>
      <x:c r="I419" t="n">
        <x:v>4</x:v>
      </x:c>
      <x:c r="J419" t="n">
        <x:v>5.5</x:v>
      </x:c>
      <x:c r="K419" t="n">
        <x:v>4.75</x:v>
      </x:c>
      <x:c r="L419" t="str">
        <x:v>$1–5</x:v>
      </x:c>
      <x:c r="M419" t="str">
        <x:v>Yes</x:v>
      </x:c>
      <x:c r="N419" t="str">
        <x:v>No</x:v>
      </x:c>
      <x:c r="O419" t="str">
        <x:v>Yes</x:v>
      </x:c>
      <x:c r="P419" t="str">
        <x:v>Clean/NM benchmark unless noted</x:v>
      </x:c>
      <x:c r="Q419" t="n">
        <x:v>4</x:v>
      </x:c>
      <x:c r="R419" t="n">
        <x:v>5.5</x:v>
      </x:c>
      <x:c r="S419" t="n">
        <x:v>4.75</x:v>
      </x:c>
      <x:c r="T419" t="str">
        <x:v>Dark Explorers Joltik 41/108 reverse holo. PriceCharting current ungraded value is about $3.25, TCGplayer about $4.62, and recent 2026 NM sales are around $4.09–5.49. Working clean/NM range $4.00–5.50.</x:v>
      </x:c>
      <x:c r="U419" t="n">
        <x:v>960</x:v>
      </x:c>
      <x:c r="V419" t="str">
        <x:v>Current chat continuation / researched 2026-08-15</x:v>
      </x:c>
      <x:c r="W419" t="str">
        <x:v>https://www.pricecharting.com/game/pokemon-dark-explorers/joltik-reverse-holo-41</x:v>
      </x:c>
    </x:row>
    <x:row r="420">
      <x:c r="A420" t="n">
        <x:v>544</x:v>
      </x:c>
      <x:c r="B420" t="str">
        <x:v>Electric / Commons</x:v>
      </x:c>
      <x:c r="C420" t="str">
        <x:v>Joltik</x:v>
      </x:c>
      <x:c r="D420" t="str">
        <x:v>44/114</x:v>
      </x:c>
      <x:c r="E420" t="str">
        <x:v>Black &amp; White</x:v>
      </x:c>
      <x:c r="F420" t="n">
        <x:v>2011</x:v>
      </x:c>
      <x:c r="G420" t="str">
        <x:v>Reverse Holo</x:v>
      </x:c>
      <x:c r="H420" t="str">
        <x:v>1 of 1</x:v>
      </x:c>
      <x:c r="I420" t="n">
        <x:v>3.5</x:v>
      </x:c>
      <x:c r="J420" t="n">
        <x:v>6</x:v>
      </x:c>
      <x:c r="K420" t="n">
        <x:v>4.75</x:v>
      </x:c>
      <x:c r="L420" t="str">
        <x:v>$1–5</x:v>
      </x:c>
      <x:c r="M420" t="str">
        <x:v>Yes</x:v>
      </x:c>
      <x:c r="N420" t="str">
        <x:v>No</x:v>
      </x:c>
      <x:c r="O420" t="str">
        <x:v>Yes</x:v>
      </x:c>
      <x:c r="P420" t="str">
        <x:v>Clean/NM benchmark unless noted</x:v>
      </x:c>
      <x:c r="Q420" t="n">
        <x:v>3.5</x:v>
      </x:c>
      <x:c r="R420" t="n">
        <x:v>6</x:v>
      </x:c>
      <x:c r="S420" t="n">
        <x:v>4.75</x:v>
      </x:c>
      <x:c r="T420" t="str">
        <x:v>Black &amp; White Joltik 44/114 reverse holo. PriceCharting current ungraded value is about $4.12. Recent sales include roughly $3.59 NM and $4.99–5.99 LP, with a latest raw sale at $2.75. Working clean/NM range $3.50–6.00.</x:v>
      </x:c>
      <x:c r="U420" t="n">
        <x:v>960</x:v>
      </x:c>
      <x:c r="V420" t="str">
        <x:v>Current chat continuation / researched 2026-08-15</x:v>
      </x:c>
      <x:c r="W420" t="str">
        <x:v>https://www.pricecharting.com/game/pokemon-black-%26-white/joltik-reverse-holo-44</x:v>
      </x:c>
    </x:row>
    <x:row r="421">
      <x:c r="A421" t="n">
        <x:v>545</x:v>
      </x:c>
      <x:c r="B421" t="str">
        <x:v>Electric / Rares</x:v>
      </x:c>
      <x:c r="C421" t="str">
        <x:v>Pikachu</x:v>
      </x:c>
      <x:c r="D421" t="str">
        <x:v>RC7/RC25</x:v>
      </x:c>
      <x:c r="E421" t="str">
        <x:v>Legendary Treasures</x:v>
      </x:c>
      <x:c r="F421" t="n">
        <x:v>2013</x:v>
      </x:c>
      <x:c r="G421" t="str">
        <x:v>Radiant Collection Holo (Uncommon)</x:v>
      </x:c>
      <x:c r="H421" t="str">
        <x:v>1 of 4</x:v>
      </x:c>
      <x:c r="I421" t="n">
        <x:v>50</x:v>
      </x:c>
      <x:c r="J421" t="n">
        <x:v>90</x:v>
      </x:c>
      <x:c r="K421" t="n">
        <x:v>70</x:v>
      </x:c>
      <x:c r="L421" t="str">
        <x:v>$20+</x:v>
      </x:c>
      <x:c r="M421" t="str">
        <x:v>Yes</x:v>
      </x:c>
      <x:c r="N421" t="str">
        <x:v>Yes</x:v>
      </x:c>
      <x:c r="O421" t="str">
        <x:v>Yes</x:v>
      </x:c>
      <x:c r="P421" t="str">
        <x:v>Clean/NM benchmark unless noted</x:v>
      </x:c>
      <x:c r="Q421" t="n">
        <x:v>50</x:v>
      </x:c>
      <x:c r="R421" t="n">
        <x:v>90</x:v>
      </x:c>
      <x:c r="S421" t="n">
        <x:v>70</x:v>
      </x:c>
      <x:c r="T421" t="str">
        <x:v>Legendary Treasures Radiant Collection Pikachu RC7/RC25 holo, first physical copy. This Radiant Collection printing is inherently holo (rarity: Uncommon). PriceCharting currently lists ungraded around $41.19; recent TCGplayer NM sales include about $87.99 and $90.00, while raw eBay sales vary widely with condition. Working clean/NM range $50–90.</x:v>
      </x:c>
      <x:c r="U421" t="n">
        <x:v>961</x:v>
      </x:c>
      <x:c r="V421" t="str">
        <x:v>Current chat continuation / researched 2026-08-15</x:v>
      </x:c>
      <x:c r="W421" t="str">
        <x:v>https://www.pricecharting.com/game/pokemon-legendary-treasures/pikachu-rc7</x:v>
      </x:c>
    </x:row>
    <x:row r="422">
      <x:c r="A422" t="n">
        <x:v>546</x:v>
      </x:c>
      <x:c r="B422" t="str">
        <x:v>Electric / Rares</x:v>
      </x:c>
      <x:c r="C422" t="str">
        <x:v>Pikachu</x:v>
      </x:c>
      <x:c r="D422" t="str">
        <x:v>RC7/RC25</x:v>
      </x:c>
      <x:c r="E422" t="str">
        <x:v>Legendary Treasures</x:v>
      </x:c>
      <x:c r="F422" t="n">
        <x:v>2013</x:v>
      </x:c>
      <x:c r="G422" t="str">
        <x:v>Radiant Collection Holo (Uncommon)</x:v>
      </x:c>
      <x:c r="H422" t="str">
        <x:v>2 of 4</x:v>
      </x:c>
      <x:c r="I422" t="n">
        <x:v>50</x:v>
      </x:c>
      <x:c r="J422" t="n">
        <x:v>90</x:v>
      </x:c>
      <x:c r="K422" t="n">
        <x:v>70</x:v>
      </x:c>
      <x:c r="L422" t="str">
        <x:v>$20+</x:v>
      </x:c>
      <x:c r="M422" t="str">
        <x:v>Yes</x:v>
      </x:c>
      <x:c r="N422" t="str">
        <x:v>Yes</x:v>
      </x:c>
      <x:c r="O422" t="str">
        <x:v>Yes</x:v>
      </x:c>
      <x:c r="P422" t="str">
        <x:v>Clean/NM benchmark unless noted</x:v>
      </x:c>
      <x:c r="Q422" t="n">
        <x:v>50</x:v>
      </x:c>
      <x:c r="R422" t="n">
        <x:v>90</x:v>
      </x:c>
      <x:c r="S422" t="n">
        <x:v>70</x:v>
      </x:c>
      <x:c r="T422" t="str">
        <x:v>Legendary Treasures Radiant Collection Pikachu RC7/RC25 holo, second physical copy. This Radiant Collection printing is inherently holo (rarity: Uncommon). PriceCharting currently lists ungraded around $41.19; recent TCGplayer NM sales include about $87.99 and $90.00, while raw eBay sales vary widely with condition. Working clean/NM range $50–90.</x:v>
      </x:c>
      <x:c r="U422" t="n">
        <x:v>961</x:v>
      </x:c>
      <x:c r="V422" t="str">
        <x:v>Current chat continuation / researched 2026-08-15</x:v>
      </x:c>
      <x:c r="W422" t="str">
        <x:v>https://www.pricecharting.com/game/pokemon-legendary-treasures/pikachu-rc7</x:v>
      </x:c>
    </x:row>
    <x:row r="423">
      <x:c r="A423" t="n">
        <x:v>547</x:v>
      </x:c>
      <x:c r="B423" t="str">
        <x:v>Electric / Rares</x:v>
      </x:c>
      <x:c r="C423" t="str">
        <x:v>Emolga</x:v>
      </x:c>
      <x:c r="D423" t="str">
        <x:v>49/??</x:v>
      </x:c>
      <x:c r="E423" t="str">
        <x:v>Pending — Next Destinies or Legendary Treasures</x:v>
      </x:c>
      <x:c r="F423"/>
      <x:c r="G423" t="str">
        <x:v>Reverse Holo</x:v>
      </x:c>
      <x:c r="H423" t="str">
        <x:v>1 of 3</x:v>
      </x:c>
      <x:c r="I423"/>
      <x:c r="J423"/>
      <x:c r="K423"/>
      <x:c r="L423" t="str">
        <x:v>Needs ID</x:v>
      </x:c>
      <x:c r="M423" t="str">
        <x:v>Yes</x:v>
      </x:c>
      <x:c r="N423" t="str">
        <x:v>No</x:v>
      </x:c>
      <x:c r="O423" t="str">
        <x:v>Yes</x:v>
      </x:c>
      <x:c r="P423" t="str">
        <x:v>Exact set pending denominator</x:v>
      </x:c>
      <x:c r="Q423"/>
      <x:c r="R423"/>
      <x:c r="S423"/>
      <x:c r="T423"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3" t="n">
        <x:v>962</x:v>
      </x:c>
      <x:c r="V423" t="str">
        <x:v>Current chat continuation / researched 2026-08-15</x:v>
      </x:c>
      <x:c r="W423" t="str">
        <x:v>https://www.pricecharting.com/search-products?q=Emolga+49+reverse+holo&amp;type=prices</x:v>
      </x:c>
    </x:row>
    <x:row r="424">
      <x:c r="A424" t="n">
        <x:v>548</x:v>
      </x:c>
      <x:c r="B424" t="str">
        <x:v>Electric / Rares</x:v>
      </x:c>
      <x:c r="C424" t="str">
        <x:v>Emolga</x:v>
      </x:c>
      <x:c r="D424" t="str">
        <x:v>49/??</x:v>
      </x:c>
      <x:c r="E424" t="str">
        <x:v>Pending — Next Destinies or Legendary Treasures</x:v>
      </x:c>
      <x:c r="F424"/>
      <x:c r="G424" t="str">
        <x:v>Reverse Holo</x:v>
      </x:c>
      <x:c r="H424" t="str">
        <x:v>2 of 3</x:v>
      </x:c>
      <x:c r="I424"/>
      <x:c r="J424"/>
      <x:c r="K424"/>
      <x:c r="L424" t="str">
        <x:v>Needs ID</x:v>
      </x:c>
      <x:c r="M424" t="str">
        <x:v>Yes</x:v>
      </x:c>
      <x:c r="N424" t="str">
        <x:v>No</x:v>
      </x:c>
      <x:c r="O424" t="str">
        <x:v>Yes</x:v>
      </x:c>
      <x:c r="P424" t="str">
        <x:v>Exact set pending denominator</x:v>
      </x:c>
      <x:c r="Q424"/>
      <x:c r="R424"/>
      <x:c r="S424"/>
      <x:c r="T424"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4" t="n">
        <x:v>962</x:v>
      </x:c>
      <x:c r="V424" t="str">
        <x:v>Current chat continuation / researched 2026-08-15</x:v>
      </x:c>
      <x:c r="W424" t="str">
        <x:v>https://www.pricecharting.com/search-products?q=Emolga+49+reverse+holo&amp;type=prices</x:v>
      </x:c>
    </x:row>
    <x:row r="425">
      <x:c r="A425" t="n">
        <x:v>549</x:v>
      </x:c>
      <x:c r="B425" t="str">
        <x:v>Electric / Rares</x:v>
      </x:c>
      <x:c r="C425" t="str">
        <x:v>Emolga</x:v>
      </x:c>
      <x:c r="D425" t="str">
        <x:v>49/??</x:v>
      </x:c>
      <x:c r="E425" t="str">
        <x:v>Pending — Next Destinies or Legendary Treasures</x:v>
      </x:c>
      <x:c r="F425"/>
      <x:c r="G425" t="str">
        <x:v>Reverse Holo</x:v>
      </x:c>
      <x:c r="H425" t="str">
        <x:v>3 of 3</x:v>
      </x:c>
      <x:c r="I425"/>
      <x:c r="J425"/>
      <x:c r="K425"/>
      <x:c r="L425" t="str">
        <x:v>Needs ID</x:v>
      </x:c>
      <x:c r="M425" t="str">
        <x:v>Yes</x:v>
      </x:c>
      <x:c r="N425" t="str">
        <x:v>No</x:v>
      </x:c>
      <x:c r="O425" t="str">
        <x:v>Yes</x:v>
      </x:c>
      <x:c r="P425" t="str">
        <x:v>Exact set pending denominator</x:v>
      </x:c>
      <x:c r="Q425"/>
      <x:c r="R425"/>
      <x:c r="S425"/>
      <x:c r="T425"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5" t="n">
        <x:v>962</x:v>
      </x:c>
      <x:c r="V425" t="str">
        <x:v>Current chat continuation / researched 2026-08-15</x:v>
      </x:c>
      <x:c r="W425" t="str">
        <x:v>https://www.pricecharting.com/search-products?q=Emolga+49+reverse+holo&amp;type=prices</x:v>
      </x:c>
    </x:row>
    <x:row r="426">
      <x:c r="A426" t="n">
        <x:v>550</x:v>
      </x:c>
      <x:c r="B426" t="str">
        <x:v>Electric / Rares</x:v>
      </x:c>
      <x:c r="C426" t="str">
        <x:v>Flaaffy</x:v>
      </x:c>
      <x:c r="D426" t="str">
        <x:v>39/124</x:v>
      </x:c>
      <x:c r="E426" t="str">
        <x:v>Dragons Exalted</x:v>
      </x:c>
      <x:c r="F426" t="n">
        <x:v>2012</x:v>
      </x:c>
      <x:c r="G426" t="str">
        <x:v>Reverse Holo</x:v>
      </x:c>
      <x:c r="H426" t="str">
        <x:v>1 of 1</x:v>
      </x:c>
      <x:c r="I426" t="n">
        <x:v>4.5</x:v>
      </x:c>
      <x:c r="J426" t="n">
        <x:v>6.5</x:v>
      </x:c>
      <x:c r="K426" t="n">
        <x:v>5.5</x:v>
      </x:c>
      <x:c r="L426" t="str">
        <x:v>$5–20</x:v>
      </x:c>
      <x:c r="M426" t="str">
        <x:v>Yes</x:v>
      </x:c>
      <x:c r="N426" t="str">
        <x:v>No</x:v>
      </x:c>
      <x:c r="O426" t="str">
        <x:v>Yes</x:v>
      </x:c>
      <x:c r="P426" t="str">
        <x:v>Clean/NM benchmark unless noted</x:v>
      </x:c>
      <x:c r="Q426" t="n">
        <x:v>4.5</x:v>
      </x:c>
      <x:c r="R426" t="n">
        <x:v>6.5</x:v>
      </x:c>
      <x:c r="S426" t="n">
        <x:v>5.5</x:v>
      </x:c>
      <x:c r="T426" t="str">
        <x:v>Dragons Exalted Flaaffy 39/124 reverse holo. PriceCharting ungraded is about $4.85; TCGplayer currently shows NM reverse-holo pricing around $6.35. Working clean/NM range $4.50–6.50.</x:v>
      </x:c>
      <x:c r="U426" t="n">
        <x:v>962</x:v>
      </x:c>
      <x:c r="V426" t="str">
        <x:v>Current chat continuation / researched 2026-08-15</x:v>
      </x:c>
      <x:c r="W426" t="str">
        <x:v>https://www.pricecharting.com/game/pokemon-dragons-exalted/flaaffy-reverse-holo-39</x:v>
      </x:c>
    </x:row>
    <x:row r="427">
      <x:c r="A427" t="n">
        <x:v>551</x:v>
      </x:c>
      <x:c r="B427" t="str">
        <x:v>Electric / Rares</x:v>
      </x:c>
      <x:c r="C427" t="str">
        <x:v>Zekrom</x:v>
      </x:c>
      <x:c r="D427" t="str">
        <x:v>47/114</x:v>
      </x:c>
      <x:c r="E427" t="str">
        <x:v>World Championships 2011</x:v>
      </x:c>
      <x:c r="F427" t="n">
        <x:v>2011</x:v>
      </x:c>
      <x:c r="G427" t="str">
        <x:v>World Championships — Ross Cawthon / The Truth</x:v>
      </x:c>
      <x:c r="H427" t="str">
        <x:v>1 of 2</x:v>
      </x:c>
      <x:c r="I427" t="n">
        <x:v>3</x:v>
      </x:c>
      <x:c r="J427" t="n">
        <x:v>6</x:v>
      </x:c>
      <x:c r="K427" t="n">
        <x:v>4.5</x:v>
      </x:c>
      <x:c r="L427" t="str">
        <x:v>$1–5</x:v>
      </x:c>
      <x:c r="M427" t="str">
        <x:v>Yes</x:v>
      </x:c>
      <x:c r="N427" t="str">
        <x:v>No</x:v>
      </x:c>
      <x:c r="O427" t="str">
        <x:v>Yes</x:v>
      </x:c>
      <x:c r="P427" t="str">
        <x:v>Clean/NM benchmark unless noted</x:v>
      </x:c>
      <x:c r="Q427" t="n">
        <x:v>3</x:v>
      </x:c>
      <x:c r="R427" t="n">
        <x:v>6</x:v>
      </x:c>
      <x:c r="S427" t="n">
        <x:v>4.5</x:v>
      </x:c>
      <x:c r="T427" t="str">
        <x:v>2011 World Championships Ross Cawthon ('The Truth') deck printing of Black &amp; White Zekrom 47/114. PriceCharting currently lists the 2011 Worlds version around $5.25 ungraded; TCGplayer market is about $2.74. Working clean/NM range $3–6.</x:v>
      </x:c>
      <x:c r="U427" t="n">
        <x:v>963</x:v>
      </x:c>
      <x:c r="V427" t="str">
        <x:v>Current chat continuation / researched 2026-08-16</x:v>
      </x:c>
      <x:c r="W427" t="str">
        <x:v>https://www.pricecharting.com/console/pokemon-world-championships-2011</x:v>
      </x:c>
    </x:row>
    <x:row r="428">
      <x:c r="A428" t="n">
        <x:v>552</x:v>
      </x:c>
      <x:c r="B428" t="str">
        <x:v>Electric / Rares</x:v>
      </x:c>
      <x:c r="C428" t="str">
        <x:v>Zekrom</x:v>
      </x:c>
      <x:c r="D428" t="str">
        <x:v>47/114</x:v>
      </x:c>
      <x:c r="E428" t="str">
        <x:v>World Championships 2011</x:v>
      </x:c>
      <x:c r="F428" t="n">
        <x:v>2011</x:v>
      </x:c>
      <x:c r="G428" t="str">
        <x:v>World Championships — Ross Cawthon / The Truth</x:v>
      </x:c>
      <x:c r="H428" t="str">
        <x:v>2 of 2</x:v>
      </x:c>
      <x:c r="I428" t="n">
        <x:v>3</x:v>
      </x:c>
      <x:c r="J428" t="n">
        <x:v>6</x:v>
      </x:c>
      <x:c r="K428" t="n">
        <x:v>4.5</x:v>
      </x:c>
      <x:c r="L428" t="str">
        <x:v>$1–5</x:v>
      </x:c>
      <x:c r="M428" t="str">
        <x:v>Yes</x:v>
      </x:c>
      <x:c r="N428" t="str">
        <x:v>No</x:v>
      </x:c>
      <x:c r="O428" t="str">
        <x:v>Yes</x:v>
      </x:c>
      <x:c r="P428" t="str">
        <x:v>Clean/NM benchmark unless noted</x:v>
      </x:c>
      <x:c r="Q428" t="n">
        <x:v>3</x:v>
      </x:c>
      <x:c r="R428" t="n">
        <x:v>6</x:v>
      </x:c>
      <x:c r="S428" t="n">
        <x:v>4.5</x:v>
      </x:c>
      <x:c r="T428" t="str">
        <x:v>Second physical copy. 2011 World Championships Ross Cawthon ('The Truth') deck printing of Black &amp; White Zekrom 47/114. PriceCharting currently lists the 2011 Worlds version around $5.25 ungraded; TCGplayer market is about $2.74. Working clean/NM range $3–6.</x:v>
      </x:c>
      <x:c r="U428" t="n">
        <x:v>963</x:v>
      </x:c>
      <x:c r="V428" t="str">
        <x:v>Current chat continuation / researched 2026-08-16</x:v>
      </x:c>
      <x:c r="W428" t="str">
        <x:v>https://www.pricecharting.com/console/pokemon-world-championships-2011</x:v>
      </x:c>
    </x:row>
    <x:row r="429">
      <x:c r="A429" t="n">
        <x:v>553</x:v>
      </x:c>
      <x:c r="B429" t="str">
        <x:v>Electric / Rares</x:v>
      </x:c>
      <x:c r="C429" t="str">
        <x:v>Pichu</x:v>
      </x:c>
      <x:c r="D429" t="str">
        <x:v>28/123</x:v>
      </x:c>
      <x:c r="E429" t="str">
        <x:v>World Championships 2011</x:v>
      </x:c>
      <x:c r="F429" t="n">
        <x:v>2011</x:v>
      </x:c>
      <x:c r="G429" t="str">
        <x:v>World Championships — Ross Cawthon / The Truth</x:v>
      </x:c>
      <x:c r="H429" t="str">
        <x:v>1 of 2</x:v>
      </x:c>
      <x:c r="I429" t="n">
        <x:v>5.5</x:v>
      </x:c>
      <x:c r="J429" t="n">
        <x:v>9</x:v>
      </x:c>
      <x:c r="K429" t="n">
        <x:v>7.25</x:v>
      </x:c>
      <x:c r="L429" t="str">
        <x:v>$5–20</x:v>
      </x:c>
      <x:c r="M429" t="str">
        <x:v>Yes</x:v>
      </x:c>
      <x:c r="N429" t="str">
        <x:v>No</x:v>
      </x:c>
      <x:c r="O429" t="str">
        <x:v>Yes</x:v>
      </x:c>
      <x:c r="P429" t="str">
        <x:v>Clean/NM benchmark unless noted</x:v>
      </x:c>
      <x:c r="Q429" t="n">
        <x:v>5.5</x:v>
      </x:c>
      <x:c r="R429" t="n">
        <x:v>9</x:v>
      </x:c>
      <x:c r="S429" t="n">
        <x:v>7.25</x:v>
      </x:c>
      <x:c r="T429" t="str">
        <x:v>2011 World Championships Ross Cawthon ('The Truth') deck printing of HeartGold &amp; SoulSilver Pichu 28/123. TCGplayer market is about $6.26; current eBay asking prices for clean copies are commonly around $6–9. Working clean/NM range $5.50–9.</x:v>
      </x:c>
      <x:c r="U429" t="n">
        <x:v>963</x:v>
      </x:c>
      <x:c r="V429" t="str">
        <x:v>Current chat continuation / researched 2026-08-16</x:v>
      </x:c>
      <x:c r="W429" t="str">
        <x:v>https://www.tcgplayer.com/product/480432/pokemon-world-championship-decks-pichu-2011-ross-cawthon</x:v>
      </x:c>
    </x:row>
    <x:row r="430">
      <x:c r="A430" t="n">
        <x:v>554</x:v>
      </x:c>
      <x:c r="B430" t="str">
        <x:v>Electric / Rares</x:v>
      </x:c>
      <x:c r="C430" t="str">
        <x:v>Pichu</x:v>
      </x:c>
      <x:c r="D430" t="str">
        <x:v>28/123</x:v>
      </x:c>
      <x:c r="E430" t="str">
        <x:v>World Championships 2011</x:v>
      </x:c>
      <x:c r="F430" t="n">
        <x:v>2011</x:v>
      </x:c>
      <x:c r="G430" t="str">
        <x:v>World Championships — Ross Cawthon / The Truth</x:v>
      </x:c>
      <x:c r="H430" t="str">
        <x:v>2 of 2</x:v>
      </x:c>
      <x:c r="I430" t="n">
        <x:v>5.5</x:v>
      </x:c>
      <x:c r="J430" t="n">
        <x:v>9</x:v>
      </x:c>
      <x:c r="K430" t="n">
        <x:v>7.25</x:v>
      </x:c>
      <x:c r="L430" t="str">
        <x:v>$5–20</x:v>
      </x:c>
      <x:c r="M430" t="str">
        <x:v>Yes</x:v>
      </x:c>
      <x:c r="N430" t="str">
        <x:v>No</x:v>
      </x:c>
      <x:c r="O430" t="str">
        <x:v>Yes</x:v>
      </x:c>
      <x:c r="P430" t="str">
        <x:v>Clean/NM benchmark unless noted</x:v>
      </x:c>
      <x:c r="Q430" t="n">
        <x:v>5.5</x:v>
      </x:c>
      <x:c r="R430" t="n">
        <x:v>9</x:v>
      </x:c>
      <x:c r="S430" t="n">
        <x:v>7.25</x:v>
      </x:c>
      <x:c r="T430" t="str">
        <x:v>Second physical copy. 2011 World Championships Ross Cawthon ('The Truth') deck printing of HeartGold &amp; SoulSilver Pichu 28/123. TCGplayer market is about $6.26; current eBay asking prices for clean copies are commonly around $6–9. Working clean/NM range $5.50–9.</x:v>
      </x:c>
      <x:c r="U430" t="n">
        <x:v>963</x:v>
      </x:c>
      <x:c r="V430" t="str">
        <x:v>Current chat continuation / researched 2026-08-16</x:v>
      </x:c>
      <x:c r="W430" t="str">
        <x:v>https://www.tcgplayer.com/product/480432/pokemon-world-championship-decks-pichu-2011-ross-cawthon</x:v>
      </x:c>
    </x:row>
    <x:row r="431">
      <x:c r="A431" t="n">
        <x:v>555</x:v>
      </x:c>
      <x:c r="B431" t="str">
        <x:v>Electric / Rares</x:v>
      </x:c>
      <x:c r="C431" t="str">
        <x:v>Jolteon</x:v>
      </x:c>
      <x:c r="D431" t="str">
        <x:v>37/108</x:v>
      </x:c>
      <x:c r="E431" t="str">
        <x:v>Dark Explorers</x:v>
      </x:c>
      <x:c r="F431" t="n">
        <x:v>2012</x:v>
      </x:c>
      <x:c r="G431" t="str">
        <x:v>Regular (Uncommon)</x:v>
      </x:c>
      <x:c r="H431" t="str">
        <x:v>1 of 1</x:v>
      </x:c>
      <x:c r="I431" t="n">
        <x:v>5</x:v>
      </x:c>
      <x:c r="J431" t="n">
        <x:v>9</x:v>
      </x:c>
      <x:c r="K431" t="n">
        <x:v>7</x:v>
      </x:c>
      <x:c r="L431" t="str">
        <x:v>$5–20</x:v>
      </x:c>
      <x:c r="M431" t="str">
        <x:v>Yes</x:v>
      </x:c>
      <x:c r="N431" t="str">
        <x:v>No</x:v>
      </x:c>
      <x:c r="O431" t="str">
        <x:v>Yes</x:v>
      </x:c>
      <x:c r="P431" t="str">
        <x:v>Clean/NM benchmark unless noted</x:v>
      </x:c>
      <x:c r="Q431" t="n">
        <x:v>5</x:v>
      </x:c>
      <x:c r="R431" t="n">
        <x:v>9</x:v>
      </x:c>
      <x:c r="S431" t="n">
        <x:v>7</x:v>
      </x:c>
      <x:c r="T431" t="str">
        <x:v>Dark Explorers Jolteon 37/108 regular printing. PriceCharting currently lists ungraded around $7.22; recent clean/NM sales are mostly in the mid-single digits with some TCGplayer NM sales higher. Working clean/NM range $5–9.</x:v>
      </x:c>
      <x:c r="U431" t="n">
        <x:v>964</x:v>
      </x:c>
      <x:c r="V431" t="str">
        <x:v>Current chat continuation / researched 2026-08-16</x:v>
      </x:c>
      <x:c r="W431" t="str">
        <x:v>https://www.pricecharting.com/game/pokemon-dark-explorers/jolteon-37</x:v>
      </x:c>
    </x:row>
    <x:row r="432">
      <x:c r="A432" t="n">
        <x:v>556</x:v>
      </x:c>
      <x:c r="B432" t="str">
        <x:v>Electric / Rares</x:v>
      </x:c>
      <x:c r="C432" t="str">
        <x:v>Raichu</x:v>
      </x:c>
      <x:c r="D432" t="str">
        <x:v>40/99</x:v>
      </x:c>
      <x:c r="E432" t="str">
        <x:v>Next Destinies</x:v>
      </x:c>
      <x:c r="F432" t="n">
        <x:v>2012</x:v>
      </x:c>
      <x:c r="G432" t="str">
        <x:v>Regular (Uncommon)</x:v>
      </x:c>
      <x:c r="H432" t="str">
        <x:v>1 of 1</x:v>
      </x:c>
      <x:c r="I432" t="n">
        <x:v>2.5</x:v>
      </x:c>
      <x:c r="J432" t="n">
        <x:v>4.25</x:v>
      </x:c>
      <x:c r="K432" t="n">
        <x:v>3.375</x:v>
      </x:c>
      <x:c r="L432" t="str">
        <x:v>$1–5</x:v>
      </x:c>
      <x:c r="M432" t="str">
        <x:v>Yes</x:v>
      </x:c>
      <x:c r="N432" t="str">
        <x:v>No</x:v>
      </x:c>
      <x:c r="O432" t="str">
        <x:v>Yes</x:v>
      </x:c>
      <x:c r="P432" t="str">
        <x:v>Clean/NM benchmark unless noted</x:v>
      </x:c>
      <x:c r="Q432" t="n">
        <x:v>2.5</x:v>
      </x:c>
      <x:c r="R432" t="n">
        <x:v>4.25</x:v>
      </x:c>
      <x:c r="S432" t="n">
        <x:v>3.375</x:v>
      </x:c>
      <x:c r="T432" t="str">
        <x:v>Next Destinies Raichu 40/99 regular printing. PriceCharting currently lists ungraded around $3.39; TCGplayer normal pricing is around $3.16. Working clean/NM range $2.50–4.25.</x:v>
      </x:c>
      <x:c r="U432" t="n">
        <x:v>964</x:v>
      </x:c>
      <x:c r="V432" t="str">
        <x:v>Current chat continuation / researched 2026-08-16</x:v>
      </x:c>
      <x:c r="W432" t="str">
        <x:v>https://www.pricecharting.com/game/pokemon-next-destinies/raichu-40</x:v>
      </x:c>
    </x:row>
    <x:row r="433">
      <x:c r="A433" t="n">
        <x:v>557</x:v>
      </x:c>
      <x:c r="B433" t="str">
        <x:v>Electric / Rares</x:v>
      </x:c>
      <x:c r="C433" t="str">
        <x:v>Zapdos</x:v>
      </x:c>
      <x:c r="D433" t="str">
        <x:v>41/99</x:v>
      </x:c>
      <x:c r="E433" t="str">
        <x:v>Next Destinies</x:v>
      </x:c>
      <x:c r="F433" t="n">
        <x:v>2012</x:v>
      </x:c>
      <x:c r="G433" t="str">
        <x:v>Reverse Holo (Holo Rare)</x:v>
      </x:c>
      <x:c r="H433" t="str">
        <x:v>1 of 1</x:v>
      </x:c>
      <x:c r="I433" t="n">
        <x:v>6</x:v>
      </x:c>
      <x:c r="J433" t="n">
        <x:v>10</x:v>
      </x:c>
      <x:c r="K433" t="n">
        <x:v>8</x:v>
      </x:c>
      <x:c r="L433" t="str">
        <x:v>$5–20</x:v>
      </x:c>
      <x:c r="M433" t="str">
        <x:v>Yes</x:v>
      </x:c>
      <x:c r="N433" t="str">
        <x:v>No</x:v>
      </x:c>
      <x:c r="O433" t="str">
        <x:v>Yes</x:v>
      </x:c>
      <x:c r="P433" t="str">
        <x:v>Clean/NM benchmark unless noted</x:v>
      </x:c>
      <x:c r="Q433" t="n">
        <x:v>6</x:v>
      </x:c>
      <x:c r="R433" t="n">
        <x:v>10</x:v>
      </x:c>
      <x:c r="S433" t="n">
        <x:v>8</x:v>
      </x:c>
      <x:c r="T433" t="str">
        <x:v>Next Destinies Zapdos 41/99 reverse holo. TCGplayer reverse-holo market is about $6.87; PriceCharting recent raw/NM sales include about $5–9.50. Working clean/NM range $6–10.</x:v>
      </x:c>
      <x:c r="U433" t="n">
        <x:v>965</x:v>
      </x:c>
      <x:c r="V433" t="str">
        <x:v>Current chat continuation / researched 2026-08-16</x:v>
      </x:c>
      <x:c r="W433" t="str">
        <x:v>https://www.pricecharting.com/game/pokemon-next-destinies/zapdos-reverse-holo-41</x:v>
      </x:c>
    </x:row>
    <x:row r="434">
      <x:c r="A434" t="n">
        <x:v>558</x:v>
      </x:c>
      <x:c r="B434" t="str">
        <x:v>Electric / Rares</x:v>
      </x:c>
      <x:c r="C434" t="str">
        <x:v>Jolteon</x:v>
      </x:c>
      <x:c r="D434" t="str">
        <x:v>34/116</x:v>
      </x:c>
      <x:c r="E434" t="str">
        <x:v>Plasma Freeze</x:v>
      </x:c>
      <x:c r="F434" t="n">
        <x:v>2013</x:v>
      </x:c>
      <x:c r="G434" t="str">
        <x:v>Regular (Team Plasma Uncommon)</x:v>
      </x:c>
      <x:c r="H434" t="str">
        <x:v>1 of 1</x:v>
      </x:c>
      <x:c r="I434" t="n">
        <x:v>3</x:v>
      </x:c>
      <x:c r="J434" t="n">
        <x:v>5</x:v>
      </x:c>
      <x:c r="K434" t="n">
        <x:v>4</x:v>
      </x:c>
      <x:c r="L434" t="str">
        <x:v>$1–5</x:v>
      </x:c>
      <x:c r="M434" t="str">
        <x:v>Yes</x:v>
      </x:c>
      <x:c r="N434" t="str">
        <x:v>No</x:v>
      </x:c>
      <x:c r="O434" t="str">
        <x:v>Yes</x:v>
      </x:c>
      <x:c r="P434" t="str">
        <x:v>Clean/NM benchmark unless noted</x:v>
      </x:c>
      <x:c r="Q434" t="n">
        <x:v>3</x:v>
      </x:c>
      <x:c r="R434" t="n">
        <x:v>5</x:v>
      </x:c>
      <x:c r="S434" t="n">
        <x:v>4</x:v>
      </x:c>
      <x:c r="T434" t="str">
        <x:v>Plasma Freeze Jolteon (Team Plasma) 34/116 regular printing. TCGplayer market is about $3.94; recent raw sales are commonly around $3 with some higher clean copies. Working clean/NM range $3–5.</x:v>
      </x:c>
      <x:c r="U434" t="n">
        <x:v>965</x:v>
      </x:c>
      <x:c r="V434" t="str">
        <x:v>Current chat continuation / researched 2026-08-16</x:v>
      </x:c>
      <x:c r="W434" t="str">
        <x:v>https://www.pricecharting.com/game/pokemon-plasma-freeze/jolteon-34</x:v>
      </x:c>
    </x:row>
    <x:row r="435">
      <x:c r="A435" t="n">
        <x:v>559</x:v>
      </x:c>
      <x:c r="B435" t="str">
        <x:v>Electric / Rares</x:v>
      </x:c>
      <x:c r="C435" t="str">
        <x:v>Luxio</x:v>
      </x:c>
      <x:c r="D435" t="str">
        <x:v>44/99</x:v>
      </x:c>
      <x:c r="E435" t="str">
        <x:v>Next Destinies</x:v>
      </x:c>
      <x:c r="F435" t="n">
        <x:v>2012</x:v>
      </x:c>
      <x:c r="G435" t="str">
        <x:v>Reverse Holo (Uncommon)</x:v>
      </x:c>
      <x:c r="H435" t="str">
        <x:v>1 of 1</x:v>
      </x:c>
      <x:c r="I435" t="n">
        <x:v>1.5</x:v>
      </x:c>
      <x:c r="J435" t="n">
        <x:v>3</x:v>
      </x:c>
      <x:c r="K435" t="n">
        <x:v>2.25</x:v>
      </x:c>
      <x:c r="L435" t="str">
        <x:v>$1–5</x:v>
      </x:c>
      <x:c r="M435" t="str">
        <x:v>Yes</x:v>
      </x:c>
      <x:c r="N435" t="str">
        <x:v>No</x:v>
      </x:c>
      <x:c r="O435" t="str">
        <x:v>Yes</x:v>
      </x:c>
      <x:c r="P435" t="str">
        <x:v>Clean/NM benchmark unless noted</x:v>
      </x:c>
      <x:c r="Q435" t="n">
        <x:v>1.5</x:v>
      </x:c>
      <x:c r="R435" t="n">
        <x:v>3</x:v>
      </x:c>
      <x:c r="S435" t="n">
        <x:v>2.25</x:v>
      </x:c>
      <x:c r="T435" t="str">
        <x:v>Next Destinies Luxio 44/99 reverse holo. PriceCharting recent raw sales include roughly $1.38–3.19 depending on condition; working clean/NM range $1.50–3.00.</x:v>
      </x:c>
      <x:c r="U435" t="n">
        <x:v>965</x:v>
      </x:c>
      <x:c r="V435" t="str">
        <x:v>Current chat continuation / researched 2026-08-16</x:v>
      </x:c>
      <x:c r="W435" t="str">
        <x:v>https://www.pricecharting.com/game/pokemon-next-destinies/luxio-reverse-holo-44</x:v>
      </x:c>
    </x:row>
    <x:row r="436">
      <x:c r="A436" t="n">
        <x:v>560</x:v>
      </x:c>
      <x:c r="B436" t="str">
        <x:v>Electric / Rares</x:v>
      </x:c>
      <x:c r="C436" t="str">
        <x:v>Raichu</x:v>
      </x:c>
      <x:c r="D436" t="str">
        <x:v>3/17</x:v>
      </x:c>
      <x:c r="E436" t="str">
        <x:v>POP Series 9</x:v>
      </x:c>
      <x:c r="F436" t="n">
        <x:v>2009</x:v>
      </x:c>
      <x:c r="G436" t="str">
        <x:v>Regular Non-Holo (LV.39)</x:v>
      </x:c>
      <x:c r="H436" t="str">
        <x:v>1 of 1</x:v>
      </x:c>
      <x:c r="I436" t="n">
        <x:v>9</x:v>
      </x:c>
      <x:c r="J436" t="n">
        <x:v>17</x:v>
      </x:c>
      <x:c r="K436" t="n">
        <x:v>13</x:v>
      </x:c>
      <x:c r="L436" t="str">
        <x:v>$5–20</x:v>
      </x:c>
      <x:c r="M436" t="str">
        <x:v>Yes</x:v>
      </x:c>
      <x:c r="N436" t="str">
        <x:v>No</x:v>
      </x:c>
      <x:c r="O436" t="str">
        <x:v>Yes</x:v>
      </x:c>
      <x:c r="P436" t="str">
        <x:v>Clean/NM benchmark unless noted</x:v>
      </x:c>
      <x:c r="Q436" t="n">
        <x:v>9</x:v>
      </x:c>
      <x:c r="R436" t="n">
        <x:v>17</x:v>
      </x:c>
      <x:c r="S436" t="n">
        <x:v>13</x:v>
      </x:c>
      <x:c r="T436" t="str">
        <x:v>POP Series 9 Raichu LV.39 3/17 regular non-holo. User described this as the non-marker version; logged as the standard non-holo printing rather than the cracked-ice/reverse-holo version. Recent NM sales include about $9.99, $10.00–10.50, $15.77, and $16.99; working clean/NM range $9–17.</x:v>
      </x:c>
      <x:c r="U436" t="n">
        <x:v>966</x:v>
      </x:c>
      <x:c r="V436" t="str">
        <x:v>Current chat continuation / researched 2026-08-16</x:v>
      </x:c>
      <x:c r="W436" t="str">
        <x:v>https://www.pricecharting.com/game/pokemon-pop-series-9/raichu-3</x:v>
      </x:c>
    </x:row>
    <x:row r="437">
      <x:c r="A437" t="n">
        <x:v>561</x:v>
      </x:c>
      <x:c r="B437" t="str">
        <x:v>Electric / Rares</x:v>
      </x:c>
      <x:c r="C437" t="str">
        <x:v>Pikachu</x:v>
      </x:c>
      <x:c r="D437" t="str">
        <x:v>HGSS03</x:v>
      </x:c>
      <x:c r="E437" t="str">
        <x:v>HGSS Black Star Promos</x:v>
      </x:c>
      <x:c r="F437" t="n">
        <x:v>2010</x:v>
      </x:c>
      <x:c r="G437" t="str">
        <x:v>Holo Promo</x:v>
      </x:c>
      <x:c r="H437" t="str">
        <x:v>1 of 2</x:v>
      </x:c>
      <x:c r="I437" t="n">
        <x:v>27</x:v>
      </x:c>
      <x:c r="J437" t="n">
        <x:v>46</x:v>
      </x:c>
      <x:c r="K437" t="n">
        <x:v>36.5</x:v>
      </x:c>
      <x:c r="L437" t="str">
        <x:v>$20+</x:v>
      </x:c>
      <x:c r="M437" t="str">
        <x:v>Yes</x:v>
      </x:c>
      <x:c r="N437" t="str">
        <x:v>Yes</x:v>
      </x:c>
      <x:c r="O437" t="str">
        <x:v>Yes</x:v>
      </x:c>
      <x:c r="P437" t="str">
        <x:v>Clean/NM benchmark unless noted</x:v>
      </x:c>
      <x:c r="Q437" t="n">
        <x:v>27</x:v>
      </x:c>
      <x:c r="R437" t="n">
        <x:v>46</x:v>
      </x:c>
      <x:c r="S437" t="n">
        <x:v>36.5</x:v>
      </x:c>
      <x:c r="T437" t="str">
        <x:v>Pikachu HGSS03 HeartGold &amp; SoulSilver Black Star Promo. This promo is inherently holo. PriceCharting ungraded is about $28.08; recent NM sales include about $26.99, $35.00, $44.75, and $46.18 on TCGplayer. Working clean/NM range $27–46.</x:v>
      </x:c>
      <x:c r="U437" t="n">
        <x:v>966</x:v>
      </x:c>
      <x:c r="V437" t="str">
        <x:v>Current chat continuation / researched 2026-08-16</x:v>
      </x:c>
      <x:c r="W437" t="str">
        <x:v>https://www.pricecharting.com/game/pokemon-promo/pikachu-hgss03</x:v>
      </x:c>
    </x:row>
    <x:row r="438">
      <x:c r="A438" t="n">
        <x:v>562</x:v>
      </x:c>
      <x:c r="B438" t="str">
        <x:v>Electric / Rares</x:v>
      </x:c>
      <x:c r="C438" t="str">
        <x:v>Zekrom</x:v>
      </x:c>
      <x:c r="D438" t="str">
        <x:v>BW005</x:v>
      </x:c>
      <x:c r="E438" t="str">
        <x:v>BW Black Star Promos</x:v>
      </x:c>
      <x:c r="F438" t="n">
        <x:v>2011</x:v>
      </x:c>
      <x:c r="G438" t="str">
        <x:v>Holo Promo</x:v>
      </x:c>
      <x:c r="H438" t="str">
        <x:v>1 of 1</x:v>
      </x:c>
      <x:c r="I438" t="n">
        <x:v>6</x:v>
      </x:c>
      <x:c r="J438" t="n">
        <x:v>8</x:v>
      </x:c>
      <x:c r="K438" t="n">
        <x:v>7</x:v>
      </x:c>
      <x:c r="L438" t="str">
        <x:v>$5–20</x:v>
      </x:c>
      <x:c r="M438" t="str">
        <x:v>Yes</x:v>
      </x:c>
      <x:c r="N438" t="str">
        <x:v>No</x:v>
      </x:c>
      <x:c r="O438" t="str">
        <x:v>Yes</x:v>
      </x:c>
      <x:c r="P438" t="str">
        <x:v>Clean/NM benchmark unless noted</x:v>
      </x:c>
      <x:c r="Q438" t="n">
        <x:v>6</x:v>
      </x:c>
      <x:c r="R438" t="n">
        <x:v>8</x:v>
      </x:c>
      <x:c r="S438" t="n">
        <x:v>7</x:v>
      </x:c>
      <x:c r="T438" t="str">
        <x:v>Zekrom BW005 Black &amp; White Black Star Promo holo. Recent 2026 NM sales include about $6.50, $7.00, $7.76 and $8.00; TCGplayer market is about $6.81. Working clean/NM range $6–8.</x:v>
      </x:c>
      <x:c r="U438" t="n">
        <x:v>967</x:v>
      </x:c>
      <x:c r="V438" t="str">
        <x:v>Current chat continuation / researched 2026-08-16</x:v>
      </x:c>
      <x:c r="W438" t="str">
        <x:v>https://www.pricecharting.com/game/pokemon-promo/zekrom-bw005</x:v>
      </x:c>
    </x:row>
    <x:row r="439">
      <x:c r="A439" t="n">
        <x:v>563</x:v>
      </x:c>
      <x:c r="B439" t="str">
        <x:v>Electric / Rares</x:v>
      </x:c>
      <x:c r="C439" t="str">
        <x:v>Zekrom</x:v>
      </x:c>
      <x:c r="D439" t="str">
        <x:v>47/114</x:v>
      </x:c>
      <x:c r="E439" t="str">
        <x:v>Black &amp; White</x:v>
      </x:c>
      <x:c r="F439" t="n">
        <x:v>2011</x:v>
      </x:c>
      <x:c r="G439" t="str">
        <x:v>Holo Rare</x:v>
      </x:c>
      <x:c r="H439" t="str">
        <x:v>1 of 1</x:v>
      </x:c>
      <x:c r="I439" t="n">
        <x:v>6.5</x:v>
      </x:c>
      <x:c r="J439" t="n">
        <x:v>9</x:v>
      </x:c>
      <x:c r="K439" t="n">
        <x:v>7.75</x:v>
      </x:c>
      <x:c r="L439" t="str">
        <x:v>$5–20</x:v>
      </x:c>
      <x:c r="M439" t="str">
        <x:v>Yes</x:v>
      </x:c>
      <x:c r="N439" t="str">
        <x:v>No</x:v>
      </x:c>
      <x:c r="O439" t="str">
        <x:v>Yes</x:v>
      </x:c>
      <x:c r="P439" t="str">
        <x:v>Clean/NM benchmark unless noted</x:v>
      </x:c>
      <x:c r="Q439" t="n">
        <x:v>6.5</x:v>
      </x:c>
      <x:c r="R439" t="n">
        <x:v>9</x:v>
      </x:c>
      <x:c r="S439" t="n">
        <x:v>7.75</x:v>
      </x:c>
      <x:c r="T439" t="str">
        <x:v>Black &amp; White Zekrom 47/114 holo rare. TCGplayer market is currently about $7.45–7.71, with clean raw asking/sales around the upper single digits. Working clean/NM range $6.50–9.</x:v>
      </x:c>
      <x:c r="U439" t="n">
        <x:v>967</x:v>
      </x:c>
      <x:c r="V439" t="str">
        <x:v>Current chat continuation / researched 2026-08-16</x:v>
      </x:c>
      <x:c r="W439" t="str">
        <x:v>https://www.pricecharting.com/game/pokemon-black-%26-white/zekrom-47</x:v>
      </x:c>
    </x:row>
    <x:row r="440">
      <x:c r="A440" t="n">
        <x:v>564</x:v>
      </x:c>
      <x:c r="B440" t="str">
        <x:v>Electric / Rares</x:v>
      </x:c>
      <x:c r="C440" t="str">
        <x:v>Zekrom</x:v>
      </x:c>
      <x:c r="D440" t="str">
        <x:v>51/113</x:v>
      </x:c>
      <x:c r="E440" t="str">
        <x:v>Legendary Treasures</x:v>
      </x:c>
      <x:c r="F440" t="n">
        <x:v>2013</x:v>
      </x:c>
      <x:c r="G440" t="str">
        <x:v>Reverse Holo (Holo Rare)</x:v>
      </x:c>
      <x:c r="H440" t="str">
        <x:v>1 of 1</x:v>
      </x:c>
      <x:c r="I440" t="n">
        <x:v>5</x:v>
      </x:c>
      <x:c r="J440" t="n">
        <x:v>10</x:v>
      </x:c>
      <x:c r="K440" t="n">
        <x:v>7.5</x:v>
      </x:c>
      <x:c r="L440" t="str">
        <x:v>$5–20</x:v>
      </x:c>
      <x:c r="M440" t="str">
        <x:v>Yes</x:v>
      </x:c>
      <x:c r="N440" t="str">
        <x:v>No</x:v>
      </x:c>
      <x:c r="O440" t="str">
        <x:v>Yes</x:v>
      </x:c>
      <x:c r="P440" t="str">
        <x:v>Clean/NM benchmark unless noted</x:v>
      </x:c>
      <x:c r="Q440" t="n">
        <x:v>5</x:v>
      </x:c>
      <x:c r="R440" t="n">
        <x:v>10</x:v>
      </x:c>
      <x:c r="S440" t="n">
        <x:v>7.5</x:v>
      </x:c>
      <x:c r="T440" t="str">
        <x:v>Legendary Treasures Zekrom 51/113 reverse holo. Recent 2026 NM TCGplayer sales include about $6.20, $6.67, $8.50, $9.99 and $10.00; working clean/NM range $5–10.</x:v>
      </x:c>
      <x:c r="U440" t="n">
        <x:v>967</x:v>
      </x:c>
      <x:c r="V440" t="str">
        <x:v>Current chat continuation / researched 2026-08-16</x:v>
      </x:c>
      <x:c r="W440" t="str">
        <x:v>https://www.pricecharting.com/game/pokemon-legendary-treasures/zekrom-reverse-holo-51</x:v>
      </x:c>
    </x:row>
    <x:row r="441">
      <x:c r="A441" t="n">
        <x:v>565</x:v>
      </x:c>
      <x:c r="B441" t="str">
        <x:v>Electric / Rares</x:v>
      </x:c>
      <x:c r="C441" t="str">
        <x:v>Zekrom</x:v>
      </x:c>
      <x:c r="D441" t="str">
        <x:v>50/99</x:v>
      </x:c>
      <x:c r="E441" t="str">
        <x:v>Next Destinies</x:v>
      </x:c>
      <x:c r="F441" t="n">
        <x:v>2012</x:v>
      </x:c>
      <x:c r="G441" t="str">
        <x:v>Regular Rare</x:v>
      </x:c>
      <x:c r="H441" t="str">
        <x:v>1 of 1</x:v>
      </x:c>
      <x:c r="I441" t="n">
        <x:v>1</x:v>
      </x:c>
      <x:c r="J441" t="n">
        <x:v>2</x:v>
      </x:c>
      <x:c r="K441" t="n">
        <x:v>1.5</x:v>
      </x:c>
      <x:c r="L441" t="str">
        <x:v>$1–5</x:v>
      </x:c>
      <x:c r="M441" t="str">
        <x:v>Yes</x:v>
      </x:c>
      <x:c r="N441" t="str">
        <x:v>No</x:v>
      </x:c>
      <x:c r="O441" t="str">
        <x:v>Yes</x:v>
      </x:c>
      <x:c r="P441" t="str">
        <x:v>Clean/NM benchmark unless noted</x:v>
      </x:c>
      <x:c r="Q441" t="n">
        <x:v>1</x:v>
      </x:c>
      <x:c r="R441" t="n">
        <x:v>2</x:v>
      </x:c>
      <x:c r="S441" t="n">
        <x:v>1.5</x:v>
      </x:c>
      <x:c r="T441" t="str">
        <x:v>Next Destinies Zekrom 50/99 regular rare. TCGplayer market is about $1.02 and PriceCharting ungraded is roughly $1.8–2.0. Working clean/NM range $1–2.</x:v>
      </x:c>
      <x:c r="U441" t="n">
        <x:v>967</x:v>
      </x:c>
      <x:c r="V441" t="str">
        <x:v>Current chat continuation / researched 2026-08-16</x:v>
      </x:c>
      <x:c r="W441" t="str">
        <x:v>https://www.pricecharting.com/game/pokemon-next-destinies/zekrom-50</x:v>
      </x:c>
    </x:row>
    <x:row r="442">
      <x:c r="A442" t="n">
        <x:v>566</x:v>
      </x:c>
      <x:c r="B442" t="str">
        <x:v>Electric / Rares</x:v>
      </x:c>
      <x:c r="C442" t="str">
        <x:v>Zekrom</x:v>
      </x:c>
      <x:c r="D442" t="str">
        <x:v>BW24</x:v>
      </x:c>
      <x:c r="E442" t="str">
        <x:v>BW Black Star Promos</x:v>
      </x:c>
      <x:c r="F442" t="n">
        <x:v>2011</x:v>
      </x:c>
      <x:c r="G442" t="str">
        <x:v>Holo Promo</x:v>
      </x:c>
      <x:c r="H442" t="str">
        <x:v>1 of 1</x:v>
      </x:c>
      <x:c r="I442" t="n">
        <x:v>7</x:v>
      </x:c>
      <x:c r="J442" t="n">
        <x:v>11</x:v>
      </x:c>
      <x:c r="K442" t="n">
        <x:v>9</x:v>
      </x:c>
      <x:c r="L442" t="str">
        <x:v>$5–20</x:v>
      </x:c>
      <x:c r="M442" t="str">
        <x:v>Yes</x:v>
      </x:c>
      <x:c r="N442" t="str">
        <x:v>No</x:v>
      </x:c>
      <x:c r="O442" t="str">
        <x:v>Yes</x:v>
      </x:c>
      <x:c r="P442" t="str">
        <x:v>Clean/NM benchmark unless noted</x:v>
      </x:c>
      <x:c r="Q442" t="n">
        <x:v>7</x:v>
      </x:c>
      <x:c r="R442" t="n">
        <x:v>11</x:v>
      </x:c>
      <x:c r="S442" t="n">
        <x:v>9</x:v>
      </x:c>
      <x:c r="T442" t="str">
        <x:v>Zekrom BW24 Black &amp; White Black Star Promo holo. TCGplayer market is about $8.2; recent raw sales include about $7.49, $8.50 and $11.18, with LP examples sometimes higher. Working clean/NM range $7–11.</x:v>
      </x:c>
      <x:c r="U442" t="n">
        <x:v>967</x:v>
      </x:c>
      <x:c r="V442" t="str">
        <x:v>Current chat continuation / researched 2026-08-16</x:v>
      </x:c>
      <x:c r="W442" t="str">
        <x:v>https://www.pricecharting.com/game/pokemon-promo/zekrom-bw24</x:v>
      </x:c>
    </x:row>
    <x:row r="443">
      <x:c r="A443" t="n">
        <x:v>567</x:v>
      </x:c>
      <x:c r="B443" t="str">
        <x:v>Electric / Rares</x:v>
      </x:c>
      <x:c r="C443" t="str">
        <x:v>Ampharos</x:v>
      </x:c>
      <x:c r="D443" t="str">
        <x:v>40/124</x:v>
      </x:c>
      <x:c r="E443" t="str">
        <x:v>Dragons Exalted</x:v>
      </x:c>
      <x:c r="F443" t="n">
        <x:v>2012</x:v>
      </x:c>
      <x:c r="G443" t="str">
        <x:v>Holo Rare</x:v>
      </x:c>
      <x:c r="H443" t="str">
        <x:v>1 of 2</x:v>
      </x:c>
      <x:c r="I443" t="n">
        <x:v>5</x:v>
      </x:c>
      <x:c r="J443" t="n">
        <x:v>10</x:v>
      </x:c>
      <x:c r="K443" t="n">
        <x:v>7.5</x:v>
      </x:c>
      <x:c r="L443" t="str">
        <x:v>$5–20</x:v>
      </x:c>
      <x:c r="M443" t="str">
        <x:v>Yes</x:v>
      </x:c>
      <x:c r="N443" t="str">
        <x:v>No</x:v>
      </x:c>
      <x:c r="O443" t="str">
        <x:v>Yes</x:v>
      </x:c>
      <x:c r="P443" t="str">
        <x:v>Clean/NM benchmark unless noted</x:v>
      </x:c>
      <x:c r="Q443" t="n">
        <x:v>5</x:v>
      </x:c>
      <x:c r="R443" t="n">
        <x:v>10</x:v>
      </x:c>
      <x:c r="S443" t="n">
        <x:v>7.5</x:v>
      </x:c>
      <x:c r="T443" t="str">
        <x:v>Dragons Exalted Ampharos 40/124 holo rare, first physical copy. PriceCharting ungraded is about $7.74; recent 2026 NM TCGplayer sales commonly fall around $4.17–9.95. Working clean/NM range $5–10.</x:v>
      </x:c>
      <x:c r="U443" t="n">
        <x:v>968</x:v>
      </x:c>
      <x:c r="V443" t="str">
        <x:v>Current chat continuation / corrected 2026-08-16</x:v>
      </x:c>
      <x:c r="W443" t="str">
        <x:v>https://www.pricecharting.com/game/pokemon-dragons-exalted/ampharos-40</x:v>
      </x:c>
    </x:row>
    <x:row r="444">
      <x:c r="A444" t="n">
        <x:v>568</x:v>
      </x:c>
      <x:c r="B444" t="str">
        <x:v>Electric / Rares</x:v>
      </x:c>
      <x:c r="C444" t="str">
        <x:v>Ampharos</x:v>
      </x:c>
      <x:c r="D444" t="str">
        <x:v>40/124</x:v>
      </x:c>
      <x:c r="E444" t="str">
        <x:v>Dragons Exalted</x:v>
      </x:c>
      <x:c r="F444" t="n">
        <x:v>2012</x:v>
      </x:c>
      <x:c r="G444" t="str">
        <x:v>Reverse Holo (Holo Rare)</x:v>
      </x:c>
      <x:c r="H444" t="str">
        <x:v>2 of 2</x:v>
      </x:c>
      <x:c r="I444" t="n">
        <x:v>6</x:v>
      </x:c>
      <x:c r="J444" t="n">
        <x:v>13</x:v>
      </x:c>
      <x:c r="K444" t="n">
        <x:v>9.5</x:v>
      </x:c>
      <x:c r="L444" t="str">
        <x:v>$5–20</x:v>
      </x:c>
      <x:c r="M444" t="str">
        <x:v>Yes</x:v>
      </x:c>
      <x:c r="N444" t="str">
        <x:v>No</x:v>
      </x:c>
      <x:c r="O444" t="str">
        <x:v>Yes</x:v>
      </x:c>
      <x:c r="P444" t="str">
        <x:v>Clean/NM benchmark unless noted</x:v>
      </x:c>
      <x:c r="Q444" t="n">
        <x:v>6</x:v>
      </x:c>
      <x:c r="R444" t="n">
        <x:v>13</x:v>
      </x:c>
      <x:c r="S444" t="n">
        <x:v>9.5</x:v>
      </x:c>
      <x:c r="T444" t="str">
        <x:v>CORRECTED: second physical Ampharos 40/124 is the reverse holo, not another holo. PriceCharting ungraded is about $6.99; recent 2026 NM TCGplayer sales include $6.99, $12.32 and $13.00. Working clean/NM range $6–13.</x:v>
      </x:c>
      <x:c r="U444" t="n">
        <x:v>968</x:v>
      </x:c>
      <x:c r="V444" t="str">
        <x:v>Current chat continuation / corrected 2026-08-16</x:v>
      </x:c>
      <x:c r="W444" t="str">
        <x:v>https://www.pricecharting.com/game/pokemon-dragons-exalted/ampharos-reverse-holo-40</x:v>
      </x:c>
    </x:row>
    <x:row r="445">
      <x:c r="A445" t="n">
        <x:v>569</x:v>
      </x:c>
      <x:c r="B445" t="str">
        <x:v>Electric / Rares</x:v>
      </x:c>
      <x:c r="C445" t="str">
        <x:v>Ampharos</x:v>
      </x:c>
      <x:c r="D445" t="str">
        <x:v>1/132</x:v>
      </x:c>
      <x:c r="E445" t="str">
        <x:v>Secret Wonders</x:v>
      </x:c>
      <x:c r="F445" t="n">
        <x:v>2007</x:v>
      </x:c>
      <x:c r="G445" t="str">
        <x:v>Holo Rare (LV.52)</x:v>
      </x:c>
      <x:c r="H445" t="str">
        <x:v>1 of 1</x:v>
      </x:c>
      <x:c r="I445" t="n">
        <x:v>20</x:v>
      </x:c>
      <x:c r="J445" t="n">
        <x:v>35</x:v>
      </x:c>
      <x:c r="K445" t="n">
        <x:v>27.5</x:v>
      </x:c>
      <x:c r="L445" t="str">
        <x:v>$20+</x:v>
      </x:c>
      <x:c r="M445" t="str">
        <x:v>Yes</x:v>
      </x:c>
      <x:c r="N445" t="str">
        <x:v>Yes</x:v>
      </x:c>
      <x:c r="O445" t="str">
        <x:v>Yes</x:v>
      </x:c>
      <x:c r="P445" t="str">
        <x:v>Played / condition uncertain; user says not in best condition</x:v>
      </x:c>
      <x:c r="Q445" t="n">
        <x:v>7.5</x:v>
      </x:c>
      <x:c r="R445" t="n">
        <x:v>15</x:v>
      </x:c>
      <x:c r="S445" t="n">
        <x:v>11.25</x:v>
      </x:c>
      <x:c r="T445" t="str">
        <x:v>CORRECTED from POP Series 7 1/17: this is Secret Wonders Ampharos LV.52 1/132. Standard set printing is holo rare. Recent NM TCGplayer sales have been roughly $20–40; recent raw sales include $19.99 LP, $12.99 HP, and $7.50 damaged. User says this copy is not in the best condition, so provisional as-is range is $7.50–15 pending photos. If the card is actually non-holo, it may be the Powerhouse theme-deck exclusive and should be repriced much lower.</x:v>
      </x:c>
      <x:c r="U445" t="n">
        <x:v>969</x:v>
      </x:c>
      <x:c r="V445" t="str">
        <x:v>Current chat continuation / corrected 2026-08-16</x:v>
      </x:c>
      <x:c r="W445" t="str">
        <x:v>https://www.pricecharting.com/game/pokemon-secret-wonders/ampharos-1</x:v>
      </x:c>
    </x:row>
    <x:row r="446">
      <x:c r="A446" t="n">
        <x:v>570</x:v>
      </x:c>
      <x:c r="B446" t="str">
        <x:v>Electric / Rares</x:v>
      </x:c>
      <x:c r="C446" t="str">
        <x:v>Electivire</x:v>
      </x:c>
      <x:c r="D446" t="str">
        <x:v>54/149</x:v>
      </x:c>
      <x:c r="E446" t="str">
        <x:v>Boundaries Crossed</x:v>
      </x:c>
      <x:c r="F446" t="n">
        <x:v>2012</x:v>
      </x:c>
      <x:c r="G446" t="str">
        <x:v>Reverse Holo (Holo Rare)</x:v>
      </x:c>
      <x:c r="H446" t="str">
        <x:v>1 of 1</x:v>
      </x:c>
      <x:c r="I446" t="n">
        <x:v>3</x:v>
      </x:c>
      <x:c r="J446" t="n">
        <x:v>6</x:v>
      </x:c>
      <x:c r="K446" t="n">
        <x:v>4.5</x:v>
      </x:c>
      <x:c r="L446" t="str">
        <x:v>$1–5</x:v>
      </x:c>
      <x:c r="M446" t="str">
        <x:v>Yes</x:v>
      </x:c>
      <x:c r="N446" t="str">
        <x:v>No</x:v>
      </x:c>
      <x:c r="O446" t="str">
        <x:v>Yes</x:v>
      </x:c>
      <x:c r="P446" t="str">
        <x:v>Clean/NM benchmark unless noted</x:v>
      </x:c>
      <x:c r="Q446" t="n">
        <x:v>3</x:v>
      </x:c>
      <x:c r="R446" t="n">
        <x:v>6</x:v>
      </x:c>
      <x:c r="S446" t="n">
        <x:v>4.5</x:v>
      </x:c>
      <x:c r="T446" t="str">
        <x:v>Boundaries Crossed Electivire 54/149 reverse holo. PriceCharting ungraded is about $4.20; recent 2026 NM TCGplayer sales are commonly around $2.97–4.93 with some sales near $5.95. Working clean/NM range $3–6.</x:v>
      </x:c>
      <x:c r="U446" t="n">
        <x:v>968</x:v>
      </x:c>
      <x:c r="V446" t="str">
        <x:v>Current chat continuation / researched 2026-08-16</x:v>
      </x:c>
      <x:c r="W446" t="str">
        <x:v>https://www.pricecharting.com/game/pokemon-boundaries-crossed/electivire-reverse-holo-54</x:v>
      </x:c>
    </x:row>
    <x:row r="447">
      <x:c r="A447" t="n">
        <x:v>571</x:v>
      </x:c>
      <x:c r="B447" t="str">
        <x:v>Electric / Rares</x:v>
      </x:c>
      <x:c r="C447" t="str">
        <x:v>Thundurus</x:v>
      </x:c>
      <x:c r="D447" t="str">
        <x:v>35/98</x:v>
      </x:c>
      <x:c r="E447" t="str">
        <x:v>Emerging Powers</x:v>
      </x:c>
      <x:c r="F447" t="n">
        <x:v>2011</x:v>
      </x:c>
      <x:c r="G447" t="str">
        <x:v>Holo Rare</x:v>
      </x:c>
      <x:c r="H447" t="str">
        <x:v>1 of 2</x:v>
      </x:c>
      <x:c r="I447" t="n">
        <x:v>1.5</x:v>
      </x:c>
      <x:c r="J447" t="n">
        <x:v>3.25</x:v>
      </x:c>
      <x:c r="K447" t="n">
        <x:v>2.375</x:v>
      </x:c>
      <x:c r="L447" t="str">
        <x:v>$1–5</x:v>
      </x:c>
      <x:c r="M447" t="str">
        <x:v>Yes</x:v>
      </x:c>
      <x:c r="N447" t="str">
        <x:v>No</x:v>
      </x:c>
      <x:c r="O447" t="str">
        <x:v>Yes</x:v>
      </x:c>
      <x:c r="P447" t="str">
        <x:v>Clean/NM benchmark unless noted</x:v>
      </x:c>
      <x:c r="Q447" t="n">
        <x:v>1.5</x:v>
      </x:c>
      <x:c r="R447" t="n">
        <x:v>3.25</x:v>
      </x:c>
      <x:c r="S447" t="n">
        <x:v>2.375</x:v>
      </x:c>
      <x:c r="T447" t="str">
        <x:v>Emerging Powers Thundurus 35/98 holo rare, first physical copy. TCGplayer currently shows holofoil market around $2.42–$2.57 with recent sales roughly $1.35–$3.05. Working clean/NM range $1.50–3.25.</x:v>
      </x:c>
      <x:c r="U447" t="n">
        <x:v>970</x:v>
      </x:c>
      <x:c r="V447" t="str">
        <x:v>Current chat continuation / researched 2026-08-16</x:v>
      </x:c>
      <x:c r="W447" t="str">
        <x:v>https://www.tcgplayer.com/product/89903/pokemon-emerging-powers-thundurus</x:v>
      </x:c>
    </x:row>
    <x:row r="448">
      <x:c r="A448" t="n">
        <x:v>572</x:v>
      </x:c>
      <x:c r="B448" t="str">
        <x:v>Electric / Rares</x:v>
      </x:c>
      <x:c r="C448" t="str">
        <x:v>Thundurus</x:v>
      </x:c>
      <x:c r="D448" t="str">
        <x:v>35/98</x:v>
      </x:c>
      <x:c r="E448" t="str">
        <x:v>Emerging Powers</x:v>
      </x:c>
      <x:c r="F448" t="n">
        <x:v>2011</x:v>
      </x:c>
      <x:c r="G448" t="str">
        <x:v>Holo Rare</x:v>
      </x:c>
      <x:c r="H448" t="str">
        <x:v>2 of 2</x:v>
      </x:c>
      <x:c r="I448" t="n">
        <x:v>1.5</x:v>
      </x:c>
      <x:c r="J448" t="n">
        <x:v>3.25</x:v>
      </x:c>
      <x:c r="K448" t="n">
        <x:v>2.375</x:v>
      </x:c>
      <x:c r="L448" t="str">
        <x:v>$1–5</x:v>
      </x:c>
      <x:c r="M448" t="str">
        <x:v>Yes</x:v>
      </x:c>
      <x:c r="N448" t="str">
        <x:v>No</x:v>
      </x:c>
      <x:c r="O448" t="str">
        <x:v>Yes</x:v>
      </x:c>
      <x:c r="P448" t="str">
        <x:v>Clean/NM benchmark unless noted</x:v>
      </x:c>
      <x:c r="Q448" t="n">
        <x:v>1.5</x:v>
      </x:c>
      <x:c r="R448" t="n">
        <x:v>3.25</x:v>
      </x:c>
      <x:c r="S448" t="n">
        <x:v>2.375</x:v>
      </x:c>
      <x:c r="T448" t="str">
        <x:v>Second physical copy of Emerging Powers Thundurus 35/98 holo rare. TCGplayer currently shows holofoil market around $2.42–$2.57 with recent sales roughly $1.35–$3.05. Working clean/NM range $1.50–3.25.</x:v>
      </x:c>
      <x:c r="U448" t="n">
        <x:v>970</x:v>
      </x:c>
      <x:c r="V448" t="str">
        <x:v>Current chat continuation / researched 2026-08-16</x:v>
      </x:c>
      <x:c r="W448" t="str">
        <x:v>https://www.tcgplayer.com/product/89903/pokemon-emerging-powers-thundurus</x:v>
      </x:c>
    </x:row>
    <x:row r="449">
      <x:c r="A449" t="n">
        <x:v>573</x:v>
      </x:c>
      <x:c r="B449" t="str">
        <x:v>Electric / Rares</x:v>
      </x:c>
      <x:c r="C449" t="str">
        <x:v>Thundurus</x:v>
      </x:c>
      <x:c r="D449" t="str">
        <x:v>BW41</x:v>
      </x:c>
      <x:c r="E449" t="str">
        <x:v>BW Black Star Promos</x:v>
      </x:c>
      <x:c r="F449" t="n">
        <x:v>2012</x:v>
      </x:c>
      <x:c r="G449" t="str">
        <x:v>Reverse Holo Promo</x:v>
      </x:c>
      <x:c r="H449" t="str">
        <x:v>1 of 1</x:v>
      </x:c>
      <x:c r="I449" t="n">
        <x:v>3</x:v>
      </x:c>
      <x:c r="J449" t="n">
        <x:v>5</x:v>
      </x:c>
      <x:c r="K449" t="n">
        <x:v>4</x:v>
      </x:c>
      <x:c r="L449" t="str">
        <x:v>$1–5</x:v>
      </x:c>
      <x:c r="M449" t="str">
        <x:v>Yes</x:v>
      </x:c>
      <x:c r="N449" t="str">
        <x:v>No</x:v>
      </x:c>
      <x:c r="O449" t="str">
        <x:v>Yes</x:v>
      </x:c>
      <x:c r="P449" t="str">
        <x:v>Clean/NM benchmark unless noted</x:v>
      </x:c>
      <x:c r="Q449" t="n">
        <x:v>3</x:v>
      </x:c>
      <x:c r="R449" t="n">
        <x:v>5</x:v>
      </x:c>
      <x:c r="S449" t="n">
        <x:v>4</x:v>
      </x:c>
      <x:c r="T449" t="str">
        <x:v>Thundurus BW41 Black &amp; White Black Star Promo reverse holo. TCGplayer Black &amp; White Promos guide currently lists Near Mint reverse holo around $3.96; PriceCharting recent raw sale data includes about $2.95. Working clean/NM range $3–5.</x:v>
      </x:c>
      <x:c r="U449" t="n">
        <x:v>970</x:v>
      </x:c>
      <x:c r="V449" t="str">
        <x:v>Current chat continuation / researched 2026-08-16</x:v>
      </x:c>
      <x:c r="W449" t="str">
        <x:v>https://www.pricecharting.com/game/pokemon-promo/thundurus-bw41</x:v>
      </x:c>
    </x:row>
    <x:row r="450">
      <x:c r="A450" t="n">
        <x:v>574</x:v>
      </x:c>
      <x:c r="B450" t="str">
        <x:v>Electric / Rares</x:v>
      </x:c>
      <x:c r="C450" t="str">
        <x:v>Luxray</x:v>
      </x:c>
      <x:c r="D450" t="str">
        <x:v>46/99</x:v>
      </x:c>
      <x:c r="E450" t="str">
        <x:v>Next Destinies</x:v>
      </x:c>
      <x:c r="F450" t="n">
        <x:v>2012</x:v>
      </x:c>
      <x:c r="G450" t="str">
        <x:v>Holo Rare</x:v>
      </x:c>
      <x:c r="H450" t="str">
        <x:v>1 of 2</x:v>
      </x:c>
      <x:c r="I450" t="n">
        <x:v>2</x:v>
      </x:c>
      <x:c r="J450" t="n">
        <x:v>4</x:v>
      </x:c>
      <x:c r="K450" t="n">
        <x:v>3</x:v>
      </x:c>
      <x:c r="L450" t="str">
        <x:v>$1–5</x:v>
      </x:c>
      <x:c r="M450" t="str">
        <x:v>Yes</x:v>
      </x:c>
      <x:c r="N450" t="str">
        <x:v>No</x:v>
      </x:c>
      <x:c r="O450" t="str">
        <x:v>Yes</x:v>
      </x:c>
      <x:c r="P450" t="str">
        <x:v>Clean/NM benchmark unless noted</x:v>
      </x:c>
      <x:c r="Q450" t="n">
        <x:v>2</x:v>
      </x:c>
      <x:c r="R450" t="n">
        <x:v>4</x:v>
      </x:c>
      <x:c r="S450" t="n">
        <x:v>3</x:v>
      </x:c>
      <x:c r="T450" t="str">
        <x:v>Next Destinies Luxray 46/99 holo rare, first physical copy. TCGplayer market is about $2.15–2.16; recent clean raw sales include roughly $2.19 LP and $3.99 NM. Working clean/NM range $2–4.</x:v>
      </x:c>
      <x:c r="U450" t="n">
        <x:v>971</x:v>
      </x:c>
      <x:c r="V450" t="str">
        <x:v>Current chat continuation / researched 2026-08-16</x:v>
      </x:c>
      <x:c r="W450" t="str">
        <x:v>https://www.pricecharting.com/game/pokemon-next-destinies/luxray-46</x:v>
      </x:c>
    </x:row>
    <x:row r="451">
      <x:c r="A451" t="n">
        <x:v>575</x:v>
      </x:c>
      <x:c r="B451" t="str">
        <x:v>Electric / Rares</x:v>
      </x:c>
      <x:c r="C451" t="str">
        <x:v>Luxray</x:v>
      </x:c>
      <x:c r="D451" t="str">
        <x:v>46/99</x:v>
      </x:c>
      <x:c r="E451" t="str">
        <x:v>Next Destinies</x:v>
      </x:c>
      <x:c r="F451" t="n">
        <x:v>2012</x:v>
      </x:c>
      <x:c r="G451" t="str">
        <x:v>Holo Rare</x:v>
      </x:c>
      <x:c r="H451" t="str">
        <x:v>2 of 2</x:v>
      </x:c>
      <x:c r="I451" t="n">
        <x:v>2</x:v>
      </x:c>
      <x:c r="J451" t="n">
        <x:v>4</x:v>
      </x:c>
      <x:c r="K451" t="n">
        <x:v>3</x:v>
      </x:c>
      <x:c r="L451" t="str">
        <x:v>$1–5</x:v>
      </x:c>
      <x:c r="M451" t="str">
        <x:v>Yes</x:v>
      </x:c>
      <x:c r="N451" t="str">
        <x:v>No</x:v>
      </x:c>
      <x:c r="O451" t="str">
        <x:v>Yes</x:v>
      </x:c>
      <x:c r="P451" t="str">
        <x:v>Clean/NM benchmark unless noted</x:v>
      </x:c>
      <x:c r="Q451" t="n">
        <x:v>2</x:v>
      </x:c>
      <x:c r="R451" t="n">
        <x:v>4</x:v>
      </x:c>
      <x:c r="S451" t="n">
        <x:v>3</x:v>
      </x:c>
      <x:c r="T451" t="str">
        <x:v>Second physical copy of Next Destinies Luxray 46/99 holo rare. TCGplayer market is about $2.15–2.16; recent clean raw sales include roughly $2.19 LP and $3.99 NM. Working clean/NM range $2–4.</x:v>
      </x:c>
      <x:c r="U451" t="n">
        <x:v>971</x:v>
      </x:c>
      <x:c r="V451" t="str">
        <x:v>Current chat continuation / researched 2026-08-16</x:v>
      </x:c>
      <x:c r="W451" t="str">
        <x:v>https://www.pricecharting.com/game/pokemon-next-destinies/luxray-46</x:v>
      </x:c>
    </x:row>
    <x:row r="452">
      <x:c r="A452" t="n">
        <x:v>576</x:v>
      </x:c>
      <x:c r="B452" t="str">
        <x:v>Electric / Rares</x:v>
      </x:c>
      <x:c r="C452" t="str">
        <x:v>Zebstrika</x:v>
      </x:c>
      <x:c r="D452" t="str">
        <x:v>43/114</x:v>
      </x:c>
      <x:c r="E452" t="str">
        <x:v>Black &amp; White</x:v>
      </x:c>
      <x:c r="F452" t="n">
        <x:v>2011</x:v>
      </x:c>
      <x:c r="G452" t="str">
        <x:v>Reverse Holo (Rare)</x:v>
      </x:c>
      <x:c r="H452" t="str">
        <x:v>1 of 1</x:v>
      </x:c>
      <x:c r="I452" t="n">
        <x:v>2</x:v>
      </x:c>
      <x:c r="J452" t="n">
        <x:v>3.25</x:v>
      </x:c>
      <x:c r="K452" t="n">
        <x:v>2.625</x:v>
      </x:c>
      <x:c r="L452" t="str">
        <x:v>$1–5</x:v>
      </x:c>
      <x:c r="M452" t="str">
        <x:v>Yes</x:v>
      </x:c>
      <x:c r="N452" t="str">
        <x:v>No</x:v>
      </x:c>
      <x:c r="O452" t="str">
        <x:v>Yes</x:v>
      </x:c>
      <x:c r="P452" t="str">
        <x:v>Clean/NM benchmark unless noted</x:v>
      </x:c>
      <x:c r="Q452" t="n">
        <x:v>2</x:v>
      </x:c>
      <x:c r="R452" t="n">
        <x:v>3.25</x:v>
      </x:c>
      <x:c r="S452" t="n">
        <x:v>2.625</x:v>
      </x:c>
      <x:c r="T452" t="str">
        <x:v>Black &amp; White Zebstrika 43/114 reverse holo. TCGplayer reverse-holo price is about $2.22; PriceCharting currently lists ungraded around $2.99, with recent LP/NM raw sales around $1.42–2.98. Working clean/NM range $2–3.25.</x:v>
      </x:c>
      <x:c r="U452" t="n">
        <x:v>971</x:v>
      </x:c>
      <x:c r="V452" t="str">
        <x:v>Current chat continuation / researched 2026-08-16</x:v>
      </x:c>
      <x:c r="W452" t="str">
        <x:v>https://www.pricecharting.com/game/pokemon-black-%26-white/zebstrika-reverse-holo-43</x:v>
      </x:c>
    </x:row>
    <x:row r="453">
      <x:c r="A453" t="n">
        <x:v>577</x:v>
      </x:c>
      <x:c r="B453" t="str">
        <x:v>Water / Rares</x:v>
      </x:c>
      <x:c r="C453" t="str">
        <x:v>Keldeo-EX</x:v>
      </x:c>
      <x:c r="D453" t="str">
        <x:v>49/149</x:v>
      </x:c>
      <x:c r="E453" t="str">
        <x:v>Boundaries Crossed</x:v>
      </x:c>
      <x:c r="F453" t="n">
        <x:v>2012</x:v>
      </x:c>
      <x:c r="G453" t="str">
        <x:v>Holo EX</x:v>
      </x:c>
      <x:c r="H453" t="str">
        <x:v>1 of 3</x:v>
      </x:c>
      <x:c r="I453" t="n">
        <x:v>1.25</x:v>
      </x:c>
      <x:c r="J453" t="n">
        <x:v>2.5</x:v>
      </x:c>
      <x:c r="K453" t="n">
        <x:v>1.875</x:v>
      </x:c>
      <x:c r="L453" t="str">
        <x:v>$1–5</x:v>
      </x:c>
      <x:c r="M453" t="str">
        <x:v>Yes</x:v>
      </x:c>
      <x:c r="N453" t="str">
        <x:v>No</x:v>
      </x:c>
      <x:c r="O453" t="str">
        <x:v>Yes</x:v>
      </x:c>
      <x:c r="P453" t="str">
        <x:v>Clean/NM benchmark unless noted</x:v>
      </x:c>
      <x:c r="Q453" t="n">
        <x:v>1.25</x:v>
      </x:c>
      <x:c r="R453" t="n">
        <x:v>2.5</x:v>
      </x:c>
      <x:c r="S453" t="n">
        <x:v>1.875</x:v>
      </x:c>
      <x:c r="T453" t="str">
        <x:v>Boundaries Crossed Keldeo-EX 49/149 standard holo EX, first physical copy. Recent 2026 TCGplayer NM sales are commonly about $1.24–2.25, while recent NM eBay sales include roughly $3.39, $3.56, $3.99 and $4.45. Working clean/NM range $1.25–4.50. This is not the 142/149 full-art printing.</x:v>
      </x:c>
      <x:c r="U453" t="n">
        <x:v>972</x:v>
      </x:c>
      <x:c r="V453" t="str">
        <x:v>Current chat continuation / researched 2026-08-16</x:v>
      </x:c>
      <x:c r="W453" t="str">
        <x:v>https://www.pricecharting.com/game/pokemon-boundaries-crossed/keldeo-ex-49</x:v>
      </x:c>
    </x:row>
    <x:row r="454">
      <x:c r="A454" t="n">
        <x:v>578</x:v>
      </x:c>
      <x:c r="B454" t="str">
        <x:v>Water / Rares</x:v>
      </x:c>
      <x:c r="C454" t="str">
        <x:v>Keldeo-EX</x:v>
      </x:c>
      <x:c r="D454" t="str">
        <x:v>49/149</x:v>
      </x:c>
      <x:c r="E454" t="str">
        <x:v>Boundaries Crossed</x:v>
      </x:c>
      <x:c r="F454" t="n">
        <x:v>2012</x:v>
      </x:c>
      <x:c r="G454" t="str">
        <x:v>Holo EX</x:v>
      </x:c>
      <x:c r="H454" t="str">
        <x:v>2 of 3</x:v>
      </x:c>
      <x:c r="I454" t="n">
        <x:v>1.25</x:v>
      </x:c>
      <x:c r="J454" t="n">
        <x:v>2.5</x:v>
      </x:c>
      <x:c r="K454" t="n">
        <x:v>1.875</x:v>
      </x:c>
      <x:c r="L454" t="str">
        <x:v>$1–5</x:v>
      </x:c>
      <x:c r="M454" t="str">
        <x:v>Yes</x:v>
      </x:c>
      <x:c r="N454" t="str">
        <x:v>No</x:v>
      </x:c>
      <x:c r="O454" t="str">
        <x:v>Yes</x:v>
      </x:c>
      <x:c r="P454" t="str">
        <x:v>Clean/NM benchmark unless noted</x:v>
      </x:c>
      <x:c r="Q454" t="n">
        <x:v>1.25</x:v>
      </x:c>
      <x:c r="R454" t="n">
        <x:v>2.5</x:v>
      </x:c>
      <x:c r="S454" t="n">
        <x:v>1.875</x:v>
      </x:c>
      <x:c r="T454" t="str">
        <x:v>Second physical copy of Boundaries Crossed Keldeo-EX 49/149 standard holo EX. Recent 2026 TCGplayer NM sales are commonly about $1.24–2.25, while recent NM eBay sales include roughly $3.39, $3.56, $3.99 and $4.45. Working clean/NM range $1.25–4.50. This is not the 142/149 full-art printing.</x:v>
      </x:c>
      <x:c r="U454" t="n">
        <x:v>972</x:v>
      </x:c>
      <x:c r="V454" t="str">
        <x:v>Current chat continuation / researched 2026-08-16</x:v>
      </x:c>
      <x:c r="W454" t="str">
        <x:v>https://www.pricecharting.com/game/pokemon-boundaries-crossed/keldeo-ex-49</x:v>
      </x:c>
    </x:row>
    <x:row r="455">
      <x:c r="A455" t="n">
        <x:v>579</x:v>
      </x:c>
      <x:c r="B455" t="str">
        <x:v>Metal / Rares</x:v>
      </x:c>
      <x:c r="C455" t="str">
        <x:v>Registeel</x:v>
      </x:c>
      <x:c r="D455" t="str">
        <x:v>39/146</x:v>
      </x:c>
      <x:c r="E455" t="str">
        <x:v>Legends Awakened</x:v>
      </x:c>
      <x:c r="F455" t="n">
        <x:v>2008</x:v>
      </x:c>
      <x:c r="G455" t="str">
        <x:v>Regular Non-Holo Rare (LV.50)</x:v>
      </x:c>
      <x:c r="H455" t="str">
        <x:v>1 of 1</x:v>
      </x:c>
      <x:c r="I455" t="n">
        <x:v>2</x:v>
      </x:c>
      <x:c r="J455" t="n">
        <x:v>4</x:v>
      </x:c>
      <x:c r="K455" t="n">
        <x:v>3</x:v>
      </x:c>
      <x:c r="L455" t="str">
        <x:v>$1–5</x:v>
      </x:c>
      <x:c r="M455" t="str">
        <x:v>Yes</x:v>
      </x:c>
      <x:c r="N455" t="str">
        <x:v>No</x:v>
      </x:c>
      <x:c r="O455" t="str">
        <x:v>Yes</x:v>
      </x:c>
      <x:c r="P455" t="str">
        <x:v>Clean/NM benchmark unless noted</x:v>
      </x:c>
      <x:c r="Q455" t="n">
        <x:v>2</x:v>
      </x:c>
      <x:c r="R455" t="n">
        <x:v>4</x:v>
      </x:c>
      <x:c r="S455" t="n">
        <x:v>3</x:v>
      </x:c>
      <x:c r="T455" t="str">
        <x:v>Legends Awakened Registeel LV.50 39/146 regular non-holo rare. TCGplayer market is currently about $3.38, while recent raw sales vary by condition. Working clean/NM range $2–4. Reverse holo is a separate printing worth more.</x:v>
      </x:c>
      <x:c r="U455" t="n">
        <x:v>973</x:v>
      </x:c>
      <x:c r="V455" t="str">
        <x:v>Current chat continuation / researched 2026-08-16</x:v>
      </x:c>
      <x:c r="W455" t="str">
        <x:v>https://www.tcgplayer.com/search/pokemon/product?q=Registeel&amp;view=grid</x:v>
      </x:c>
    </x:row>
    <x:row r="456">
      <x:c r="A456" t="n">
        <x:v>580</x:v>
      </x:c>
      <x:c r="B456" t="str">
        <x:v>Metal / Rares</x:v>
      </x:c>
      <x:c r="C456" t="str">
        <x:v>Steelix</x:v>
      </x:c>
      <x:c r="D456" t="str">
        <x:v>24/95</x:v>
      </x:c>
      <x:c r="E456" t="str">
        <x:v>HS—Unleashed</x:v>
      </x:c>
      <x:c r="F456" t="n">
        <x:v>2010</x:v>
      </x:c>
      <x:c r="G456" t="str">
        <x:v>Regular Non-Holo Rare</x:v>
      </x:c>
      <x:c r="H456" t="str">
        <x:v>1 of 1</x:v>
      </x:c>
      <x:c r="I456" t="n">
        <x:v>2.5</x:v>
      </x:c>
      <x:c r="J456" t="n">
        <x:v>4.5</x:v>
      </x:c>
      <x:c r="K456" t="n">
        <x:v>3.5</x:v>
      </x:c>
      <x:c r="L456" t="str">
        <x:v>$1–5</x:v>
      </x:c>
      <x:c r="M456" t="str">
        <x:v>Yes</x:v>
      </x:c>
      <x:c r="N456" t="str">
        <x:v>No</x:v>
      </x:c>
      <x:c r="O456" t="str">
        <x:v>Yes</x:v>
      </x:c>
      <x:c r="P456" t="str">
        <x:v>Clean/NM benchmark unless noted</x:v>
      </x:c>
      <x:c r="Q456" t="n">
        <x:v>2.5</x:v>
      </x:c>
      <x:c r="R456" t="n">
        <x:v>4.5</x:v>
      </x:c>
      <x:c r="S456" t="n">
        <x:v>3.5</x:v>
      </x:c>
      <x:c r="T456" t="str">
        <x:v>HS—Unleashed Steelix 24/95 standard non-holo rare. TCGplayer market is currently about $3.46. Working clean/NM range $2.50–4.50. The deck-exclusive holo 24/95 is a different printing with a materially higher market value.</x:v>
      </x:c>
      <x:c r="U456" t="n">
        <x:v>973</x:v>
      </x:c>
      <x:c r="V456" t="str">
        <x:v>Current chat continuation / researched 2026-08-16</x:v>
      </x:c>
      <x:c r="W456" t="str">
        <x:v>https://www.pricecharting.com/game/pokemon-unleashed/steelix-24</x:v>
      </x:c>
    </x:row>
    <x:row r="457">
      <x:c r="A457" t="n">
        <x:v>581</x:v>
      </x:c>
      <x:c r="B457" t="str">
        <x:v>Dragon / Dragon Vault</x:v>
      </x:c>
      <x:c r="C457" t="str">
        <x:v>Rayquaza</x:v>
      </x:c>
      <x:c r="D457" t="str">
        <x:v>11/20</x:v>
      </x:c>
      <x:c r="E457" t="str">
        <x:v>Dragon Vault</x:v>
      </x:c>
      <x:c r="F457" t="n">
        <x:v>2012</x:v>
      </x:c>
      <x:c r="G457" t="str">
        <x:v>Normal Holo</x:v>
      </x:c>
      <x:c r="H457" t="str">
        <x:v>2 of 3</x:v>
      </x:c>
      <x:c r="I457" t="n">
        <x:v>35</x:v>
      </x:c>
      <x:c r="J457" t="n">
        <x:v>50</x:v>
      </x:c>
      <x:c r="K457" t="n">
        <x:v>42.5</x:v>
      </x:c>
      <x:c r="L457" t="str">
        <x:v>$20+</x:v>
      </x:c>
      <x:c r="M457" t="str">
        <x:v>Yes</x:v>
      </x:c>
      <x:c r="N457" t="str">
        <x:v>Yes</x:v>
      </x:c>
      <x:c r="O457" t="str">
        <x:v>Yes</x:v>
      </x:c>
      <x:c r="P457" t="str">
        <x:v>Manual pre-grade: PSA 8 most likely</x:v>
      </x:c>
      <x:c r="Q457" t="n">
        <x:v>35</x:v>
      </x:c>
      <x:c r="R457" t="n">
        <x:v>50</x:v>
      </x:c>
      <x:c r="S457" t="n">
        <x:v>42.5</x:v>
      </x:c>
      <x:c r="T457" t="str">
        <x:v>Dragon Vault Rayquaza 11/20 regular holo copy 2 of 3. Centering 9 (58.9/41.1 L-R, 51/49 T-B); corners 9; edges 8–9; surface 9–10. Overall PSA 8 most likely. Odds: PSA 7 ~4%, PSA 8 ~64%, PSA 9 ~32%, PSA 10 ~0%.</x:v>
      </x:c>
      <x:c r="U457" t="n">
        <x:v>917</x:v>
      </x:c>
      <x:c r="V457" t="str">
        <x:v>TCGplayer + PriceCharting + PSA/Collectors, researched 2026-08-18</x:v>
      </x:c>
      <x:c r="W457" t="str">
        <x:v>https://www.pricecharting.com/game/pokemon-dragon-vault/rayquaza-11</x:v>
      </x:c>
    </x:row>
    <x:row r="458">
      <x:c r="A458" t="n">
        <x:v>582</x:v>
      </x:c>
      <x:c r="B458" t="str">
        <x:v>Metal / Rares</x:v>
      </x:c>
      <x:c r="C458" t="str">
        <x:v>Metagross</x:v>
      </x:c>
      <x:c r="D458" t="str">
        <x:v>7/147</x:v>
      </x:c>
      <x:c r="E458" t="str">
        <x:v>Supreme Victors</x:v>
      </x:c>
      <x:c r="F458" t="n">
        <x:v>2009</x:v>
      </x:c>
      <x:c r="G458" t="str">
        <x:v>Holo Rare (LV.68)</x:v>
      </x:c>
      <x:c r="H458" t="str">
        <x:v>1 of 1</x:v>
      </x:c>
      <x:c r="I458" t="n">
        <x:v>8</x:v>
      </x:c>
      <x:c r="J458" t="n">
        <x:v>13</x:v>
      </x:c>
      <x:c r="K458" t="n">
        <x:v>10.5</x:v>
      </x:c>
      <x:c r="L458" t="str">
        <x:v>$5–20</x:v>
      </x:c>
      <x:c r="M458" t="str">
        <x:v>Yes</x:v>
      </x:c>
      <x:c r="N458" t="str">
        <x:v>No</x:v>
      </x:c>
      <x:c r="O458" t="str">
        <x:v>Yes</x:v>
      </x:c>
      <x:c r="P458" t="str">
        <x:v>Clean/NM benchmark unless noted</x:v>
      </x:c>
      <x:c r="Q458" t="n">
        <x:v>8</x:v>
      </x:c>
      <x:c r="R458" t="n">
        <x:v>13</x:v>
      </x:c>
      <x:c r="S458" t="n">
        <x:v>10.5</x:v>
      </x:c>
      <x:c r="T458" t="str">
        <x:v>Supreme Victors Metagross LV.68 7/147 standard holo rare. TCGplayer market is currently about $10.9; recent NM/raw sales are around the upper single digits to low teens. Working clean/NM range $8–13. This is not the cracked-ice deck-exclusive variant.</x:v>
      </x:c>
      <x:c r="U458" t="n">
        <x:v>974</x:v>
      </x:c>
      <x:c r="V458" t="str">
        <x:v>Current chat continuation / researched 2026-08-16</x:v>
      </x:c>
      <x:c r="W458" t="str">
        <x:v>https://www.tcgplayer.com/search/pokemon/product?Printing=Holofoil&amp;productLineName=pokemon&amp;productName=Metagross</x:v>
      </x:c>
    </x:row>
    <x:row r="459">
      <x:c r="A459" t="n">
        <x:v>583</x:v>
      </x:c>
      <x:c r="B459" t="str">
        <x:v>Dragon / Rares</x:v>
      </x:c>
      <x:c r="C459" t="str">
        <x:v>Black Kyurem</x:v>
      </x:c>
      <x:c r="D459" t="str">
        <x:v>100/149</x:v>
      </x:c>
      <x:c r="E459" t="str">
        <x:v>Boundaries Crossed</x:v>
      </x:c>
      <x:c r="F459" t="n">
        <x:v>2012</x:v>
      </x:c>
      <x:c r="G459" t="str">
        <x:v>Regular Rare</x:v>
      </x:c>
      <x:c r="H459" t="str">
        <x:v>1 of 1</x:v>
      </x:c>
      <x:c r="I459" t="n">
        <x:v>0.75</x:v>
      </x:c>
      <x:c r="J459" t="n">
        <x:v>1.5</x:v>
      </x:c>
      <x:c r="K459" t="n">
        <x:v>1.125</x:v>
      </x:c>
      <x:c r="L459" t="str">
        <x:v>$1–5</x:v>
      </x:c>
      <x:c r="M459" t="str">
        <x:v>Yes</x:v>
      </x:c>
      <x:c r="N459" t="str">
        <x:v>No</x:v>
      </x:c>
      <x:c r="O459" t="str">
        <x:v>Yes</x:v>
      </x:c>
      <x:c r="P459" t="str">
        <x:v>Clean/NM benchmark unless noted</x:v>
      </x:c>
      <x:c r="Q459" t="n">
        <x:v>0.75</x:v>
      </x:c>
      <x:c r="R459" t="n">
        <x:v>1.5</x:v>
      </x:c>
      <x:c r="S459" t="n">
        <x:v>1.125</x:v>
      </x:c>
      <x:c r="T459" t="str">
        <x:v>Boundaries Crossed Black Kyurem 100/149 regular rare. TCGplayer market is currently about $1.03–1.04; working clean/NM range $0.75–1.50. Borderline but included under the user's 'about $1+' logging rule. Reverse holo and cracked-ice theme-deck versions are separate variants.</x:v>
      </x:c>
      <x:c r="U459" t="n">
        <x:v>974</x:v>
      </x:c>
      <x:c r="V459" t="str">
        <x:v>Current chat continuation / researched 2026-08-16</x:v>
      </x:c>
      <x:c r="W459" t="str">
        <x:v>https://www.tcgplayer.com/search/pokemon/product?productLineName=pokemon&amp;q=Black+Kyurem+Boundaries+Crossed</x:v>
      </x:c>
    </x:row>
    <x:row r="460">
      <x:c r="A460" t="n">
        <x:v>584</x:v>
      </x:c>
      <x:c r="B460" t="str">
        <x:v>Grass / Rares</x:v>
      </x:c>
      <x:c r="C460" t="str">
        <x:v>Virizion</x:v>
      </x:c>
      <x:c r="D460" t="str">
        <x:v>17/98</x:v>
      </x:c>
      <x:c r="E460" t="str">
        <x:v>Emerging Powers</x:v>
      </x:c>
      <x:c r="F460" t="n">
        <x:v>2011</x:v>
      </x:c>
      <x:c r="G460" t="str">
        <x:v>Holo Rare</x:v>
      </x:c>
      <x:c r="H460" t="str">
        <x:v>1 of 1</x:v>
      </x:c>
      <x:c r="I460" t="n">
        <x:v>1.25</x:v>
      </x:c>
      <x:c r="J460" t="n">
        <x:v>3</x:v>
      </x:c>
      <x:c r="K460" t="n">
        <x:v>2.125</x:v>
      </x:c>
      <x:c r="L460" t="str">
        <x:v>$1–5</x:v>
      </x:c>
      <x:c r="M460" t="str">
        <x:v>Yes</x:v>
      </x:c>
      <x:c r="N460" t="str">
        <x:v>No</x:v>
      </x:c>
      <x:c r="O460" t="str">
        <x:v>Yes</x:v>
      </x:c>
      <x:c r="P460" t="str">
        <x:v>Clean/NM benchmark unless noted</x:v>
      </x:c>
      <x:c r="Q460" t="n">
        <x:v>1.25</x:v>
      </x:c>
      <x:c r="R460" t="n">
        <x:v>3</x:v>
      </x:c>
      <x:c r="S460" t="n">
        <x:v>2.125</x:v>
      </x:c>
      <x:c r="T460" t="str">
        <x:v>Emerging Powers Virizion 17/98 holo rare. TCGplayer market is currently about $1.47, with Near Mint listings starting above $2 in recent search results. Working clean/NM range $1.25–3.00.</x:v>
      </x:c>
      <x:c r="U460" t="n">
        <x:v>974</x:v>
      </x:c>
      <x:c r="V460" t="str">
        <x:v>Current chat continuation / researched 2026-08-16</x:v>
      </x:c>
      <x:c r="W460" t="str">
        <x:v>https://www.tcgplayer.com/search/pokemon/product?productLineName=pokemon&amp;q=virizion+emerging+powers+17</x:v>
      </x:c>
    </x:row>
    <x:row r="461">
      <x:c r="A461" t="n">
        <x:v>585</x:v>
      </x:c>
      <x:c r="B461" t="str">
        <x:v>Electric / Commons</x:v>
      </x:c>
      <x:c r="C461" t="str">
        <x:v>Pikachu</x:v>
      </x:c>
      <x:c r="D461" t="str">
        <x:v>42/146</x:v>
      </x:c>
      <x:c r="E461" t="str">
        <x:v>XY Base Set</x:v>
      </x:c>
      <x:c r="F461" t="n">
        <x:v>2014</x:v>
      </x:c>
      <x:c r="G461" t="str">
        <x:v>Regular Common</x:v>
      </x:c>
      <x:c r="H461" t="str">
        <x:v>1 of 1</x:v>
      </x:c>
      <x:c r="I461" t="n">
        <x:v>2.2</x:v>
      </x:c>
      <x:c r="J461" t="n">
        <x:v>4</x:v>
      </x:c>
      <x:c r="K461" t="n">
        <x:v>3.1</x:v>
      </x:c>
      <x:c r="L461" t="str">
        <x:v>$1–5</x:v>
      </x:c>
      <x:c r="M461" t="str">
        <x:v>Yes</x:v>
      </x:c>
      <x:c r="N461" t="str">
        <x:v>No</x:v>
      </x:c>
      <x:c r="O461" t="str">
        <x:v>Yes</x:v>
      </x:c>
      <x:c r="P461" t="str">
        <x:v>Clean/NM benchmark unless noted</x:v>
      </x:c>
      <x:c r="Q461" t="n">
        <x:v>2.2</x:v>
      </x:c>
      <x:c r="R461" t="n">
        <x:v>4</x:v>
      </x:c>
      <x:c r="S461" t="n">
        <x:v>3.1</x:v>
      </x:c>
      <x:c r="T461" t="str">
        <x:v>XY Base Set Pikachu 42/146 regular common. TCGplayer currently shows the normal printing around $3.10–3.21 market, with the reverse holo and 2014 movie-promo printings treated separately. Working clean/NM range $2.20–4.00.</x:v>
      </x:c>
      <x:c r="U461" t="n">
        <x:v>975</x:v>
      </x:c>
      <x:c r="V461" t="str">
        <x:v>Current chat continuation / researched 2026-08-16</x:v>
      </x:c>
      <x:c r="W461" t="str">
        <x:v>https://www.tcgplayer.com/product/88106/pokemon-xy-base-set-pikachu</x:v>
      </x:c>
    </x:row>
    <x:row r="462">
      <x:c r="A462" t="n">
        <x:v>586</x:v>
      </x:c>
      <x:c r="B462" t="str">
        <x:v>Water / Rares</x:v>
      </x:c>
      <x:c r="C462" t="str">
        <x:v>Floatzel</x:v>
      </x:c>
      <x:c r="D462" t="str">
        <x:v>29/106</x:v>
      </x:c>
      <x:c r="E462" t="str">
        <x:v>XY—Flashfire</x:v>
      </x:c>
      <x:c r="F462" t="n">
        <x:v>2014</x:v>
      </x:c>
      <x:c r="G462" t="str">
        <x:v>Reverse Holo (Rare)</x:v>
      </x:c>
      <x:c r="H462" t="str">
        <x:v>1 of 1</x:v>
      </x:c>
      <x:c r="I462" t="n">
        <x:v>0.8</x:v>
      </x:c>
      <x:c r="J462" t="n">
        <x:v>1.2</x:v>
      </x:c>
      <x:c r="K462" t="n">
        <x:v>1</x:v>
      </x:c>
      <x:c r="L462" t="str">
        <x:v>$1–5</x:v>
      </x:c>
      <x:c r="M462" t="str">
        <x:v>Yes</x:v>
      </x:c>
      <x:c r="N462" t="str">
        <x:v>No</x:v>
      </x:c>
      <x:c r="O462" t="str">
        <x:v>Yes</x:v>
      </x:c>
      <x:c r="P462" t="str">
        <x:v>Clean/NM benchmark unless noted</x:v>
      </x:c>
      <x:c r="Q462" t="n">
        <x:v>0.8</x:v>
      </x:c>
      <x:c r="R462" t="n">
        <x:v>1.2</x:v>
      </x:c>
      <x:c r="S462" t="n">
        <x:v>1</x:v>
      </x:c>
      <x:c r="T462" t="str">
        <x:v>XY—Flashfire Floatzel 29/106 reverse holo. TCGplayer currently shows reverse-holo pricing around $0.93, and current secondary-market guides are around the same level. Borderline, but included under the user's 'about $1+' logging rule. Working clean/NM range $0.80–1.20.</x:v>
      </x:c>
      <x:c r="U462" t="n">
        <x:v>975</x:v>
      </x:c>
      <x:c r="V462" t="str">
        <x:v>Current chat continuation / researched 2026-08-16</x:v>
      </x:c>
      <x:c r="W462" t="str">
        <x:v>https://www.tcgplayer.com/product/91162/pokemon-xy-flashfire-floatzel</x:v>
      </x:c>
    </x:row>
    <x:row r="463">
      <x:c r="A463" t="n">
        <x:v>587</x:v>
      </x:c>
      <x:c r="B463" t="str">
        <x:v>Water / Rares</x:v>
      </x:c>
      <x:c r="C463" t="str">
        <x:v>Empoleon</x:v>
      </x:c>
      <x:c r="D463" t="str">
        <x:v>35/113</x:v>
      </x:c>
      <x:c r="E463" t="str">
        <x:v>Legendary Treasures</x:v>
      </x:c>
      <x:c r="F463" t="n">
        <x:v>2013</x:v>
      </x:c>
      <x:c r="G463" t="str">
        <x:v>Regular Rare</x:v>
      </x:c>
      <x:c r="H463" t="str">
        <x:v>1 of 1</x:v>
      </x:c>
      <x:c r="I463" t="n">
        <x:v>5</x:v>
      </x:c>
      <x:c r="J463" t="n">
        <x:v>8</x:v>
      </x:c>
      <x:c r="K463" t="n">
        <x:v>6.5</x:v>
      </x:c>
      <x:c r="L463" t="str">
        <x:v>$5–20</x:v>
      </x:c>
      <x:c r="M463" t="str">
        <x:v>Yes</x:v>
      </x:c>
      <x:c r="N463" t="str">
        <x:v>No</x:v>
      </x:c>
      <x:c r="O463" t="str">
        <x:v>Yes</x:v>
      </x:c>
      <x:c r="P463" t="str">
        <x:v>Clean/NM benchmark unless noted</x:v>
      </x:c>
      <x:c r="Q463" t="n">
        <x:v>5</x:v>
      </x:c>
      <x:c r="R463" t="n">
        <x:v>8</x:v>
      </x:c>
      <x:c r="S463" t="n">
        <x:v>6.5</x:v>
      </x:c>
      <x:c r="T463" t="str">
        <x:v>Legendary Treasures Empoleon 35/113 regular rare. TCGplayer market is currently about $6.56–6.65, with a recent sale around $6.20. Working clean/NM range $5–8. Reverse holo is a separate, more valuable printing.</x:v>
      </x:c>
      <x:c r="U463" t="n">
        <x:v>975</x:v>
      </x:c>
      <x:c r="V463" t="str">
        <x:v>Current chat continuation / researched 2026-08-16</x:v>
      </x:c>
      <x:c r="W463" t="str">
        <x:v>https://www.tcgplayer.com/product/85204/pokemon-legendary-treasures-empoleon</x:v>
      </x:c>
    </x:row>
    <x:row r="464">
      <x:c r="A464" t="n">
        <x:v>588</x:v>
      </x:c>
      <x:c r="B464" t="str">
        <x:v>Energy / Special</x:v>
      </x:c>
      <x:c r="C464" t="str">
        <x:v>Aqua Energy</x:v>
      </x:c>
      <x:c r="D464" t="str">
        <x:v>86/95</x:v>
      </x:c>
      <x:c r="E464" t="str">
        <x:v>EX Team Magma vs Team Aqua</x:v>
      </x:c>
      <x:c r="F464" t="n">
        <x:v>2004</x:v>
      </x:c>
      <x:c r="G464" t="str">
        <x:v>Regular Special Energy</x:v>
      </x:c>
      <x:c r="H464" t="str">
        <x:v>1 of 1</x:v>
      </x:c>
      <x:c r="I464" t="n">
        <x:v>2.5</x:v>
      </x:c>
      <x:c r="J464" t="n">
        <x:v>5</x:v>
      </x:c>
      <x:c r="K464" t="n">
        <x:v>3.75</x:v>
      </x:c>
      <x:c r="L464" t="str">
        <x:v>$1–5</x:v>
      </x:c>
      <x:c r="M464" t="str">
        <x:v>Yes</x:v>
      </x:c>
      <x:c r="N464" t="str">
        <x:v>No</x:v>
      </x:c>
      <x:c r="O464" t="str">
        <x:v>Yes</x:v>
      </x:c>
      <x:c r="P464" t="str">
        <x:v>Clean/NM benchmark unless noted</x:v>
      </x:c>
      <x:c r="Q464" t="n">
        <x:v>2.5</x:v>
      </x:c>
      <x:c r="R464" t="n">
        <x:v>5</x:v>
      </x:c>
      <x:c r="S464" t="n">
        <x:v>3.75</x:v>
      </x:c>
      <x:c r="T464" t="str">
        <x:v>Aqua Energy 86/95 regular Special Energy from EX Team Magma vs Team Aqua. Canonical English set release is 2004, not 2008. PriceCharting currently lists regular ungraded around $3.48 and TCGplayer search pricing is around the mid-$4 range. User reported '2008'; if the physical card has a 2008 World Championships back/signature, this row should be revised to that printing.</x:v>
      </x:c>
      <x:c r="U464" t="n">
        <x:v>976</x:v>
      </x:c>
      <x:c r="V464" t="str">
        <x:v>Current chat continuation / researched 2026-08-16</x:v>
      </x:c>
      <x:c r="W464" t="str">
        <x:v>https://www.pricecharting.com/game/pokemon-team-magma-%26-team-aqua/aqua-energy-86</x:v>
      </x:c>
    </x:row>
    <x:row r="465">
      <x:c r="A465" t="n">
        <x:v>589</x:v>
      </x:c>
      <x:c r="B465" t="str">
        <x:v>Energy / Special</x:v>
      </x:c>
      <x:c r="C465" t="str">
        <x:v>Blend Energy GFPD</x:v>
      </x:c>
      <x:c r="D465" t="str">
        <x:v>117/124</x:v>
      </x:c>
      <x:c r="E465" t="str">
        <x:v>Dragons Exalted</x:v>
      </x:c>
      <x:c r="F465" t="n">
        <x:v>2012</x:v>
      </x:c>
      <x:c r="G465" t="str">
        <x:v>Regular Special Energy</x:v>
      </x:c>
      <x:c r="H465" t="str">
        <x:v>1 of 3</x:v>
      </x:c>
      <x:c r="I465" t="n">
        <x:v>1.5</x:v>
      </x:c>
      <x:c r="J465" t="n">
        <x:v>3.25</x:v>
      </x:c>
      <x:c r="K465" t="n">
        <x:v>2.375</x:v>
      </x:c>
      <x:c r="L465" t="str">
        <x:v>$1–5</x:v>
      </x:c>
      <x:c r="M465" t="str">
        <x:v>Yes</x:v>
      </x:c>
      <x:c r="N465" t="str">
        <x:v>No</x:v>
      </x:c>
      <x:c r="O465" t="str">
        <x:v>Yes</x:v>
      </x:c>
      <x:c r="P465" t="str">
        <x:v>Clean/NM benchmark unless noted</x:v>
      </x:c>
      <x:c r="Q465" t="n">
        <x:v>1.5</x:v>
      </x:c>
      <x:c r="R465" t="n">
        <x:v>3.25</x:v>
      </x:c>
      <x:c r="S465" t="n">
        <x:v>2.375</x:v>
      </x:c>
      <x:c r="T465" t="str">
        <x:v>Dragons Exalted Blend Energy GFPD 117/124 regular Special Energy. TCGplayer market is around $1.65–2.98 depending on listing snapshot; recent raw sales are commonly around $2–3. Working clean/NM range $1.50–3.25. Reverse holo and crosshatch League promo are separate variants.</x:v>
      </x:c>
      <x:c r="U465" t="n">
        <x:v>976</x:v>
      </x:c>
      <x:c r="V465" t="str">
        <x:v>Current chat continuation / researched 2026-08-16</x:v>
      </x:c>
      <x:c r="W465" t="str">
        <x:v>https://www.pricecharting.com/game/pokemon-dragons-exalted/blend-energy-117</x:v>
      </x:c>
    </x:row>
    <x:row r="466">
      <x:c r="A466" t="n">
        <x:v>590</x:v>
      </x:c>
      <x:c r="B466" t="str">
        <x:v>Energy / Special</x:v>
      </x:c>
      <x:c r="C466" t="str">
        <x:v>Blend Energy WLFM</x:v>
      </x:c>
      <x:c r="D466" t="str">
        <x:v>118/124</x:v>
      </x:c>
      <x:c r="E466" t="str">
        <x:v>Dragons Exalted</x:v>
      </x:c>
      <x:c r="F466" t="n">
        <x:v>2012</x:v>
      </x:c>
      <x:c r="G466" t="str">
        <x:v>Regular Special Energy</x:v>
      </x:c>
      <x:c r="H466" t="str">
        <x:v>1 of 1</x:v>
      </x:c>
      <x:c r="I466" t="n">
        <x:v>3</x:v>
      </x:c>
      <x:c r="J466" t="n">
        <x:v>5.5</x:v>
      </x:c>
      <x:c r="K466" t="n">
        <x:v>4.25</x:v>
      </x:c>
      <x:c r="L466" t="str">
        <x:v>$1–5</x:v>
      </x:c>
      <x:c r="M466" t="str">
        <x:v>Yes</x:v>
      </x:c>
      <x:c r="N466" t="str">
        <x:v>No</x:v>
      </x:c>
      <x:c r="O466" t="str">
        <x:v>Yes</x:v>
      </x:c>
      <x:c r="P466" t="str">
        <x:v>Clean/NM benchmark unless noted</x:v>
      </x:c>
      <x:c r="Q466" t="n">
        <x:v>3</x:v>
      </x:c>
      <x:c r="R466" t="n">
        <x:v>5.5</x:v>
      </x:c>
      <x:c r="S466" t="n">
        <x:v>4.25</x:v>
      </x:c>
      <x:c r="T466" t="str">
        <x:v>Dragons Exalted Blend Energy WLFM 118/124 regular Special Energy. TCGplayer market is around $4.4; recent Near Mint sales are commonly about $3.65–5.00. Working clean/NM range $3–5.50. Reverse holo and crosshatch League promo are separate variants.</x:v>
      </x:c>
      <x:c r="U466" t="n">
        <x:v>976</x:v>
      </x:c>
      <x:c r="V466" t="str">
        <x:v>Current chat continuation / researched 2026-08-16</x:v>
      </x:c>
      <x:c r="W466" t="str">
        <x:v>https://www.pricecharting.com/game/pokemon-dragons-exalted/blend-energy-118</x:v>
      </x:c>
    </x:row>
    <x:row r="467">
      <x:c r="A467" t="n">
        <x:v>591</x:v>
      </x:c>
      <x:c r="B467" t="str">
        <x:v>Energy / Special</x:v>
      </x:c>
      <x:c r="C467" t="str">
        <x:v>Blend Energy GFPD</x:v>
      </x:c>
      <x:c r="D467" t="str">
        <x:v>117/124</x:v>
      </x:c>
      <x:c r="E467" t="str">
        <x:v>Dragons Exalted</x:v>
      </x:c>
      <x:c r="F467" t="n">
        <x:v>2012</x:v>
      </x:c>
      <x:c r="G467" t="str">
        <x:v>Regular Special Energy</x:v>
      </x:c>
      <x:c r="H467" t="str">
        <x:v>2 of 3</x:v>
      </x:c>
      <x:c r="I467" t="n">
        <x:v>1.5</x:v>
      </x:c>
      <x:c r="J467" t="n">
        <x:v>3.25</x:v>
      </x:c>
      <x:c r="K467" t="n">
        <x:v>2.375</x:v>
      </x:c>
      <x:c r="L467" t="str">
        <x:v>$1–5</x:v>
      </x:c>
      <x:c r="M467" t="str">
        <x:v>Yes</x:v>
      </x:c>
      <x:c r="N467" t="str">
        <x:v>No</x:v>
      </x:c>
      <x:c r="O467" t="str">
        <x:v>Yes</x:v>
      </x:c>
      <x:c r="P467" t="str">
        <x:v>Clean/NM benchmark unless noted</x:v>
      </x:c>
      <x:c r="Q467" t="n">
        <x:v>1.5</x:v>
      </x:c>
      <x:c r="R467" t="n">
        <x:v>3.25</x:v>
      </x:c>
      <x:c r="S467" t="n">
        <x:v>2.375</x:v>
      </x:c>
      <x:c r="T467" t="str">
        <x:v>Second physical copy of Dragons Exalted Blend Energy GFPD 117/124 regular Special Energy. Working clean/NM range $1.50–3.25. Reverse holo and crosshatch League promo are separate variants.</x:v>
      </x:c>
      <x:c r="U467" t="n">
        <x:v>977</x:v>
      </x:c>
      <x:c r="V467" t="str">
        <x:v>Current chat continuation / researched 2026-08-16</x:v>
      </x:c>
      <x:c r="W467" t="str">
        <x:v>https://www.pricecharting.com/game/pokemon-dragons-exalted/blend-energy-117</x:v>
      </x:c>
    </x:row>
    <x:row r="468">
      <x:c r="A468" t="n">
        <x:v>592</x:v>
      </x:c>
      <x:c r="B468" t="str">
        <x:v>Energy / Special</x:v>
      </x:c>
      <x:c r="C468" t="str">
        <x:v>Blend Energy GFPD</x:v>
      </x:c>
      <x:c r="D468" t="str">
        <x:v>117/124</x:v>
      </x:c>
      <x:c r="E468" t="str">
        <x:v>Dragons Exalted</x:v>
      </x:c>
      <x:c r="F468" t="n">
        <x:v>2012</x:v>
      </x:c>
      <x:c r="G468" t="str">
        <x:v>Regular Special Energy</x:v>
      </x:c>
      <x:c r="H468" t="str">
        <x:v>3 of 3</x:v>
      </x:c>
      <x:c r="I468" t="n">
        <x:v>1.5</x:v>
      </x:c>
      <x:c r="J468" t="n">
        <x:v>3.25</x:v>
      </x:c>
      <x:c r="K468" t="n">
        <x:v>2.375</x:v>
      </x:c>
      <x:c r="L468" t="str">
        <x:v>$1–5</x:v>
      </x:c>
      <x:c r="M468" t="str">
        <x:v>Yes</x:v>
      </x:c>
      <x:c r="N468" t="str">
        <x:v>No</x:v>
      </x:c>
      <x:c r="O468" t="str">
        <x:v>Yes</x:v>
      </x:c>
      <x:c r="P468" t="str">
        <x:v>Clean/NM benchmark unless noted</x:v>
      </x:c>
      <x:c r="Q468" t="n">
        <x:v>1.5</x:v>
      </x:c>
      <x:c r="R468" t="n">
        <x:v>3.25</x:v>
      </x:c>
      <x:c r="S468" t="n">
        <x:v>2.375</x:v>
      </x:c>
      <x:c r="T468" t="str">
        <x:v>Third physical copy of Dragons Exalted Blend Energy GFPD 117/124 regular Special Energy. Working clean/NM range $1.50–3.25. Reverse holo and crosshatch League promo are separate variants.</x:v>
      </x:c>
      <x:c r="U468" t="n">
        <x:v>977</x:v>
      </x:c>
      <x:c r="V468" t="str">
        <x:v>Current chat continuation / researched 2026-08-16</x:v>
      </x:c>
      <x:c r="W468" t="str">
        <x:v>https://www.pricecharting.com/game/pokemon-dragons-exalted/blend-energy-117</x:v>
      </x:c>
    </x:row>
    <x:row r="469">
      <x:c r="A469" t="n">
        <x:v>593</x:v>
      </x:c>
      <x:c r="B469" t="str">
        <x:v>Energy / Special</x:v>
      </x:c>
      <x:c r="C469" t="str">
        <x:v>Rainbow Energy</x:v>
      </x:c>
      <x:c r="D469" t="str">
        <x:v>81/92</x:v>
      </x:c>
      <x:c r="E469" t="str">
        <x:v>World Championships 2007</x:v>
      </x:c>
      <x:c r="F469" t="n">
        <x:v>2007</x:v>
      </x:c>
      <x:c r="G469" t="str">
        <x:v>World Championships — Jeremy Scharff-Kim / Rambolt</x:v>
      </x:c>
      <x:c r="H469" t="str">
        <x:v>1 of 1</x:v>
      </x:c>
      <x:c r="I469" t="n">
        <x:v>2</x:v>
      </x:c>
      <x:c r="J469" t="n">
        <x:v>4</x:v>
      </x:c>
      <x:c r="K469" t="n">
        <x:v>3</x:v>
      </x:c>
      <x:c r="L469" t="str">
        <x:v>$1–5</x:v>
      </x:c>
      <x:c r="M469" t="str">
        <x:v>Yes</x:v>
      </x:c>
      <x:c r="N469" t="str">
        <x:v>No</x:v>
      </x:c>
      <x:c r="O469" t="str">
        <x:v>Yes</x:v>
      </x:c>
      <x:c r="P469" t="str">
        <x:v>Clean/NM benchmark unless noted</x:v>
      </x:c>
      <x:c r="Q469" t="n">
        <x:v>2</x:v>
      </x:c>
      <x:c r="R469" t="n">
        <x:v>4</x:v>
      </x:c>
      <x:c r="S469" t="n">
        <x:v>3</x:v>
      </x:c>
      <x:c r="T469" t="str">
        <x:v>CONFIRMED FROM USER PHOTO: 2007 World Championships Jeremy Scharff-Kim ('Rambolt') Rainbow Energy 81/92, based on the ©2007 front and exact WC card design. Current eBay listings are commonly about $2.40–$3.95; TCGplayer search results place the card in roughly the low-single-digit range. Working clean/NM range $2–4.</x:v>
      </x:c>
      <x:c r="U469" t="n">
        <x:v>979</x:v>
      </x:c>
      <x:c r="V469" t="str">
        <x:v>Current chat continuation / photo-confirmed 2026-08-16</x:v>
      </x:c>
      <x:c r="W469" t="str">
        <x:v>https://www.tcgplayer.com/product/479723/pokemon-world-championship-decks-rainbow-energy-2007-jeremy-scharff-kim</x:v>
      </x:c>
    </x:row>
    <x:row r="470">
      <x:c r="A470" t="n">
        <x:v>594</x:v>
      </x:c>
      <x:c r="B470" t="str">
        <x:v>Energy / Special</x:v>
      </x:c>
      <x:c r="C470" t="str">
        <x:v>Rainbow Energy</x:v>
      </x:c>
      <x:c r="D470" t="str">
        <x:v>17/82</x:v>
      </x:c>
      <x:c r="E470" t="str">
        <x:v>Team Rocket</x:v>
      </x:c>
      <x:c r="F470" t="n">
        <x:v>2000</x:v>
      </x:c>
      <x:c r="G470" t="str">
        <x:v>Holo Rare (Unlimited assumed)</x:v>
      </x:c>
      <x:c r="H470" t="str">
        <x:v>1 of 1</x:v>
      </x:c>
      <x:c r="I470" t="n">
        <x:v>15</x:v>
      </x:c>
      <x:c r="J470" t="n">
        <x:v>28</x:v>
      </x:c>
      <x:c r="K470" t="n">
        <x:v>21.5</x:v>
      </x:c>
      <x:c r="L470" t="str">
        <x:v>$20+</x:v>
      </x:c>
      <x:c r="M470" t="str">
        <x:v>Yes</x:v>
      </x:c>
      <x:c r="N470" t="str">
        <x:v>Yes</x:v>
      </x:c>
      <x:c r="O470" t="str">
        <x:v>Yes</x:v>
      </x:c>
      <x:c r="P470" t="str">
        <x:v>Clean/NM benchmark unless noted</x:v>
      </x:c>
      <x:c r="Q470" t="n">
        <x:v>15</x:v>
      </x:c>
      <x:c r="R470" t="n">
        <x:v>28</x:v>
      </x:c>
      <x:c r="S470" t="n">
        <x:v>21.5</x:v>
      </x:c>
      <x:c r="T470" t="str">
        <x:v>Team Rocket Rainbow Energy 17/82 holo rare, Unlimited assumed because user did not specify 1st Edition. PriceCharting currently lists ungraded around $17.02; TCGplayer pricing is materially higher, and recent raw sales range from about $10 into the high teens/20s depending on condition. Working clean/NM range $15–28.</x:v>
      </x:c>
      <x:c r="U470" t="n">
        <x:v>977</x:v>
      </x:c>
      <x:c r="V470" t="str">
        <x:v>Current chat continuation / researched 2026-08-16</x:v>
      </x:c>
      <x:c r="W470" t="str">
        <x:v>https://www.pricecharting.com/game/pokemon-team-rocket/rainbow-energy-17</x:v>
      </x:c>
    </x:row>
    <x:row r="471">
      <x:c r="A471" t="n">
        <x:v>595</x:v>
      </x:c>
      <x:c r="B471" t="str">
        <x:v>Energy / Special</x:v>
      </x:c>
      <x:c r="C471" t="str">
        <x:v>Rainbow Energy</x:v>
      </x:c>
      <x:c r="D471" t="str">
        <x:v>Unnumbered</x:v>
      </x:c>
      <x:c r="E471" t="str">
        <x:v>WotC Pokémon League Promo</x:v>
      </x:c>
      <x:c r="F471" t="n">
        <x:v>2002</x:v>
      </x:c>
      <x:c r="G471" t="str">
        <x:v>Full-Card Holo League Promo</x:v>
      </x:c>
      <x:c r="H471" t="str">
        <x:v>1 of 1</x:v>
      </x:c>
      <x:c r="I471" t="n">
        <x:v>8</x:v>
      </x:c>
      <x:c r="J471" t="n">
        <x:v>15</x:v>
      </x:c>
      <x:c r="K471" t="n">
        <x:v>11.5</x:v>
      </x:c>
      <x:c r="L471" t="str">
        <x:v>$5–20</x:v>
      </x:c>
      <x:c r="M471" t="str">
        <x:v>Yes</x:v>
      </x:c>
      <x:c r="N471" t="str">
        <x:v>No</x:v>
      </x:c>
      <x:c r="O471" t="str">
        <x:v>Yes</x:v>
      </x:c>
      <x:c r="P471" t="str">
        <x:v>Clean/NM benchmark unless noted</x:v>
      </x:c>
      <x:c r="Q471" t="n">
        <x:v>8</x:v>
      </x:c>
      <x:c r="R471" t="n">
        <x:v>15</x:v>
      </x:c>
      <x:c r="S471" t="n">
        <x:v>11.5</x:v>
      </x:c>
      <x:c r="T471" t="str">
        <x:v>Unnumbered WotC Pokémon League Rainbow Energy promo from the 2002 'Energize Your Game' cycle. This printing uses full-card holo treatment and has no set number; the 1995–2000 copyright line matches the known League promo. PriceCharting ungraded is about $10.06, with recent clean/raw sales often around $8–15.</x:v>
      </x:c>
      <x:c r="U471" t="n">
        <x:v>977</x:v>
      </x:c>
      <x:c r="V471" t="str">
        <x:v>Current chat continuation / researched 2026-08-16</x:v>
      </x:c>
      <x:c r="W471" t="str">
        <x:v>https://www.pricecharting.com/game/pokemon-promo/rainbow-energy-wotc-league</x:v>
      </x:c>
    </x:row>
    <x:row r="472">
      <x:c r="A472" t="n">
        <x:v>596</x:v>
      </x:c>
      <x:c r="B472" t="str">
        <x:v>Energy / Special</x:v>
      </x:c>
      <x:c r="C472" t="str">
        <x:v>Rainbow Energy</x:v>
      </x:c>
      <x:c r="D472" t="str">
        <x:v>104/123</x:v>
      </x:c>
      <x:c r="E472" t="str">
        <x:v>World Championships 2011</x:v>
      </x:c>
      <x:c r="F472" t="n">
        <x:v>2011</x:v>
      </x:c>
      <x:c r="G472" t="str">
        <x:v>World Championships — Ross Cawthon / The Truth</x:v>
      </x:c>
      <x:c r="H472" t="str">
        <x:v>1 of 4</x:v>
      </x:c>
      <x:c r="I472" t="n">
        <x:v>1</x:v>
      </x:c>
      <x:c r="J472" t="n">
        <x:v>3</x:v>
      </x:c>
      <x:c r="K472" t="n">
        <x:v>2</x:v>
      </x:c>
      <x:c r="L472" t="str">
        <x:v>$1–5</x:v>
      </x:c>
      <x:c r="M472" t="str">
        <x:v>Yes</x:v>
      </x:c>
      <x:c r="N472" t="str">
        <x:v>No</x:v>
      </x:c>
      <x:c r="O472" t="str">
        <x:v>Yes</x:v>
      </x:c>
      <x:c r="P472" t="str">
        <x:v>Clean/NM benchmark unless noted</x:v>
      </x:c>
      <x:c r="Q472" t="n">
        <x:v>1</x:v>
      </x:c>
      <x:c r="R472" t="n">
        <x:v>3</x:v>
      </x:c>
      <x:c r="S472" t="n">
        <x:v>2</x:v>
      </x:c>
      <x:c r="T472" t="str">
        <x:v>2011 World Championships Ross Cawthon ('The Truth') Rainbow Energy 104/123, physical copy 1 of 4. TCGplayer currently shows the normal WC printing around $1.22 market/listing level; current NM eBay listings are commonly around $2. Working clean/NM range $1–3.</x:v>
      </x:c>
      <x:c r="U472" t="n">
        <x:v>978</x:v>
      </x:c>
      <x:c r="V472" t="str">
        <x:v>Current chat continuation / researched 2026-08-16</x:v>
      </x:c>
      <x:c r="W472" t="str">
        <x:v>https://www.tcgplayer.com/product/480466/pokemon-world-championship-decks-rainbow-energy-2011-ross-cawthon</x:v>
      </x:c>
    </x:row>
    <x:row r="473">
      <x:c r="A473" t="n">
        <x:v>597</x:v>
      </x:c>
      <x:c r="B473" t="str">
        <x:v>Energy / Special</x:v>
      </x:c>
      <x:c r="C473" t="str">
        <x:v>Rainbow Energy</x:v>
      </x:c>
      <x:c r="D473" t="str">
        <x:v>104/123</x:v>
      </x:c>
      <x:c r="E473" t="str">
        <x:v>World Championships 2011</x:v>
      </x:c>
      <x:c r="F473" t="n">
        <x:v>2011</x:v>
      </x:c>
      <x:c r="G473" t="str">
        <x:v>World Championships — Ross Cawthon / The Truth</x:v>
      </x:c>
      <x:c r="H473" t="str">
        <x:v>2 of 4</x:v>
      </x:c>
      <x:c r="I473" t="n">
        <x:v>1</x:v>
      </x:c>
      <x:c r="J473" t="n">
        <x:v>3</x:v>
      </x:c>
      <x:c r="K473" t="n">
        <x:v>2</x:v>
      </x:c>
      <x:c r="L473" t="str">
        <x:v>$1–5</x:v>
      </x:c>
      <x:c r="M473" t="str">
        <x:v>Yes</x:v>
      </x:c>
      <x:c r="N473" t="str">
        <x:v>No</x:v>
      </x:c>
      <x:c r="O473" t="str">
        <x:v>Yes</x:v>
      </x:c>
      <x:c r="P473" t="str">
        <x:v>Clean/NM benchmark unless noted</x:v>
      </x:c>
      <x:c r="Q473" t="n">
        <x:v>1</x:v>
      </x:c>
      <x:c r="R473" t="n">
        <x:v>3</x:v>
      </x:c>
      <x:c r="S473" t="n">
        <x:v>2</x:v>
      </x:c>
      <x:c r="T473" t="str">
        <x:v>2011 World Championships Ross Cawthon ('The Truth') Rainbow Energy 104/123, physical copy 2 of 4. TCGplayer currently shows the normal WC printing around $1.22 market/listing level; current NM eBay listings are commonly around $2. Working clean/NM range $1–3.</x:v>
      </x:c>
      <x:c r="U473" t="n">
        <x:v>978</x:v>
      </x:c>
      <x:c r="V473" t="str">
        <x:v>Current chat continuation / researched 2026-08-16</x:v>
      </x:c>
      <x:c r="W473" t="str">
        <x:v>https://www.tcgplayer.com/product/480466/pokemon-world-championship-decks-rainbow-energy-2011-ross-cawthon</x:v>
      </x:c>
    </x:row>
    <x:row r="474">
      <x:c r="A474" t="n">
        <x:v>598</x:v>
      </x:c>
      <x:c r="B474" t="str">
        <x:v>Energy / Special</x:v>
      </x:c>
      <x:c r="C474" t="str">
        <x:v>Rainbow Energy</x:v>
      </x:c>
      <x:c r="D474" t="str">
        <x:v>104/123</x:v>
      </x:c>
      <x:c r="E474" t="str">
        <x:v>World Championships 2011</x:v>
      </x:c>
      <x:c r="F474" t="n">
        <x:v>2011</x:v>
      </x:c>
      <x:c r="G474" t="str">
        <x:v>World Championships — Ross Cawthon / The Truth</x:v>
      </x:c>
      <x:c r="H474" t="str">
        <x:v>3 of 4</x:v>
      </x:c>
      <x:c r="I474" t="n">
        <x:v>1</x:v>
      </x:c>
      <x:c r="J474" t="n">
        <x:v>3</x:v>
      </x:c>
      <x:c r="K474" t="n">
        <x:v>2</x:v>
      </x:c>
      <x:c r="L474" t="str">
        <x:v>$1–5</x:v>
      </x:c>
      <x:c r="M474" t="str">
        <x:v>Yes</x:v>
      </x:c>
      <x:c r="N474" t="str">
        <x:v>No</x:v>
      </x:c>
      <x:c r="O474" t="str">
        <x:v>Yes</x:v>
      </x:c>
      <x:c r="P474" t="str">
        <x:v>Clean/NM benchmark unless noted</x:v>
      </x:c>
      <x:c r="Q474" t="n">
        <x:v>1</x:v>
      </x:c>
      <x:c r="R474" t="n">
        <x:v>3</x:v>
      </x:c>
      <x:c r="S474" t="n">
        <x:v>2</x:v>
      </x:c>
      <x:c r="T474" t="str">
        <x:v>2011 World Championships Ross Cawthon ('The Truth') Rainbow Energy 104/123, physical copy 3 of 4. TCGplayer currently shows the normal WC printing around $1.22 market/listing level; current NM eBay listings are commonly around $2. Working clean/NM range $1–3.</x:v>
      </x:c>
      <x:c r="U474" t="n">
        <x:v>978</x:v>
      </x:c>
      <x:c r="V474" t="str">
        <x:v>Current chat continuation / researched 2026-08-16</x:v>
      </x:c>
      <x:c r="W474" t="str">
        <x:v>https://www.tcgplayer.com/product/480466/pokemon-world-championship-decks-rainbow-energy-2011-ross-cawthon</x:v>
      </x:c>
    </x:row>
    <x:row r="475">
      <x:c r="A475" t="n">
        <x:v>599</x:v>
      </x:c>
      <x:c r="B475" t="str">
        <x:v>Energy / Special</x:v>
      </x:c>
      <x:c r="C475" t="str">
        <x:v>Rainbow Energy</x:v>
      </x:c>
      <x:c r="D475" t="str">
        <x:v>104/123</x:v>
      </x:c>
      <x:c r="E475" t="str">
        <x:v>World Championships 2011</x:v>
      </x:c>
      <x:c r="F475" t="n">
        <x:v>2011</x:v>
      </x:c>
      <x:c r="G475" t="str">
        <x:v>World Championships — Ross Cawthon / The Truth</x:v>
      </x:c>
      <x:c r="H475" t="str">
        <x:v>4 of 4</x:v>
      </x:c>
      <x:c r="I475" t="n">
        <x:v>1</x:v>
      </x:c>
      <x:c r="J475" t="n">
        <x:v>3</x:v>
      </x:c>
      <x:c r="K475" t="n">
        <x:v>2</x:v>
      </x:c>
      <x:c r="L475" t="str">
        <x:v>$1–5</x:v>
      </x:c>
      <x:c r="M475" t="str">
        <x:v>Yes</x:v>
      </x:c>
      <x:c r="N475" t="str">
        <x:v>No</x:v>
      </x:c>
      <x:c r="O475" t="str">
        <x:v>Yes</x:v>
      </x:c>
      <x:c r="P475" t="str">
        <x:v>Clean/NM benchmark unless noted</x:v>
      </x:c>
      <x:c r="Q475" t="n">
        <x:v>1</x:v>
      </x:c>
      <x:c r="R475" t="n">
        <x:v>3</x:v>
      </x:c>
      <x:c r="S475" t="n">
        <x:v>2</x:v>
      </x:c>
      <x:c r="T475" t="str">
        <x:v>2011 World Championships Ross Cawthon ('The Truth') Rainbow Energy 104/123, physical copy 4 of 4. TCGplayer currently shows the normal WC printing around $1.22 market/listing level; current NM eBay listings are commonly around $2. Working clean/NM range $1–3.</x:v>
      </x:c>
      <x:c r="U475" t="n">
        <x:v>978</x:v>
      </x:c>
      <x:c r="V475" t="str">
        <x:v>Current chat continuation / researched 2026-08-16</x:v>
      </x:c>
      <x:c r="W475" t="str">
        <x:v>https://www.tcgplayer.com/product/480466/pokemon-world-championship-decks-rainbow-energy-2011-ross-cawthon</x:v>
      </x:c>
    </x:row>
    <x:row r="476">
      <x:c r="A476" t="n">
        <x:v>600</x:v>
      </x:c>
      <x:c r="B476" t="str">
        <x:v>Energy / Special</x:v>
      </x:c>
      <x:c r="C476" t="str">
        <x:v>Holon Energy GL</x:v>
      </x:c>
      <x:c r="D476" t="str">
        <x:v>Pending</x:v>
      </x:c>
      <x:c r="E476" t="str">
        <x:v>Pending exact printing</x:v>
      </x:c>
      <x:c r="F476"/>
      <x:c r="G476" t="str">
        <x:v>Regular Special Energy (user did not specify reverse)</x:v>
      </x:c>
      <x:c r="H476" t="str">
        <x:v>1 of 1</x:v>
      </x:c>
      <x:c r="I476"/>
      <x:c r="J476"/>
      <x:c r="K476"/>
      <x:c r="L476" t="str">
        <x:v>Needs ID</x:v>
      </x:c>
      <x:c r="M476" t="str">
        <x:v>Yes</x:v>
      </x:c>
      <x:c r="N476" t="str">
        <x:v>No</x:v>
      </x:c>
      <x:c r="O476" t="str">
        <x:v>Yes</x:v>
      </x:c>
      <x:c r="P476" t="str">
        <x:v>Exact printing pending</x:v>
      </x:c>
      <x:c r="Q476"/>
      <x:c r="R476"/>
      <x:c r="S476"/>
      <x:c r="T476" t="str">
        <x:v>User reports one Holon Energy GL but did not provide its collector number. Standard English candidates include EX Delta Species 105/113 and EX Dragon Frontiers 85/101. Both regular printings are around the $1+ range, so this physical card is counted, but exact value is left blank pending collector number.</x:v>
      </x:c>
      <x:c r="U476" t="n">
        <x:v>980</x:v>
      </x:c>
      <x:c r="V476" t="str">
        <x:v>Current chat continuation / pending ID 2026-08-16</x:v>
      </x:c>
      <x:c r="W476" t="str">
        <x:v>https://www.tcgplayer.com/product/86138/pokemon-ex-delta-species-holon-energy-gl</x:v>
      </x:c>
    </x:row>
    <x:row r="477">
      <x:c r="A477" t="n">
        <x:v>601</x:v>
      </x:c>
      <x:c r="B477" t="str">
        <x:v>Energy / Special</x:v>
      </x:c>
      <x:c r="C477" t="str">
        <x:v>Holon Energy FF</x:v>
      </x:c>
      <x:c r="D477" t="str">
        <x:v>105? (needs re-check)</x:v>
      </x:c>
      <x:c r="E477" t="str">
        <x:v>Pending exact printing</x:v>
      </x:c>
      <x:c r="F477"/>
      <x:c r="G477" t="str">
        <x:v>Regular Special Energy (user did not specify reverse)</x:v>
      </x:c>
      <x:c r="H477" t="str">
        <x:v>1 of 1</x:v>
      </x:c>
      <x:c r="I477"/>
      <x:c r="J477"/>
      <x:c r="K477"/>
      <x:c r="L477" t="str">
        <x:v>Needs ID</x:v>
      </x:c>
      <x:c r="M477" t="str">
        <x:v>Yes</x:v>
      </x:c>
      <x:c r="N477" t="str">
        <x:v>No</x:v>
      </x:c>
      <x:c r="O477" t="str">
        <x:v>Yes</x:v>
      </x:c>
      <x:c r="P477" t="str">
        <x:v>Collector number conflict pending</x:v>
      </x:c>
      <x:c r="Q477"/>
      <x:c r="R477"/>
      <x:c r="S477"/>
      <x:c r="T477" t="str">
        <x:v>User reports Holon Energy FF with number 105. Standard English set numbering does not match: EX Delta Species Holon Energy FF is 104/113, while 105/113 is Holon Energy GL; EX Dragon Frontiers Holon Energy FF is 84/101. Logged as a separate physical card with value pending until the printed number/name is re-checked.</x:v>
      </x:c>
      <x:c r="U477" t="n">
        <x:v>980</x:v>
      </x:c>
      <x:c r="V477" t="str">
        <x:v>Current chat continuation / pending ID 2026-08-16</x:v>
      </x:c>
      <x:c r="W477" t="str">
        <x:v>https://assets.pokemon.com/assets/cms/pdf/tcg/checklists/deltaspecies_checklist.pdf</x:v>
      </x:c>
    </x:row>
    <x:row r="478">
      <x:c r="A478" t="n">
        <x:v>602</x:v>
      </x:c>
      <x:c r="B478" t="str">
        <x:v>Energy / Special</x:v>
      </x:c>
      <x:c r="C478" t="str">
        <x:v>Holon Energy FF</x:v>
      </x:c>
      <x:c r="D478" t="str">
        <x:v>84/101</x:v>
      </x:c>
      <x:c r="E478" t="str">
        <x:v>EX Dragon Frontiers</x:v>
      </x:c>
      <x:c r="F478" t="n">
        <x:v>2006</x:v>
      </x:c>
      <x:c r="G478" t="str">
        <x:v>Regular Special Energy</x:v>
      </x:c>
      <x:c r="H478" t="str">
        <x:v>1 of 1</x:v>
      </x:c>
      <x:c r="I478" t="n">
        <x:v>1.4</x:v>
      </x:c>
      <x:c r="J478" t="n">
        <x:v>2.8</x:v>
      </x:c>
      <x:c r="K478" t="n">
        <x:v>2.1</x:v>
      </x:c>
      <x:c r="L478" t="str">
        <x:v>$1–5</x:v>
      </x:c>
      <x:c r="M478" t="str">
        <x:v>Yes</x:v>
      </x:c>
      <x:c r="N478" t="str">
        <x:v>No</x:v>
      </x:c>
      <x:c r="O478" t="str">
        <x:v>Yes</x:v>
      </x:c>
      <x:c r="P478" t="str">
        <x:v>Clean/NM benchmark unless noted</x:v>
      </x:c>
      <x:c r="Q478" t="n">
        <x:v>1.4</x:v>
      </x:c>
      <x:c r="R478" t="n">
        <x:v>2.8</x:v>
      </x:c>
      <x:c r="S478" t="n">
        <x:v>2.1</x:v>
      </x:c>
      <x:c r="T478" t="str">
        <x:v>EX Dragon Frontiers Holon Energy FF 84/101 regular rare Special Energy. TCGplayer market is about $1.62 and recent NM sales have ranged roughly $1.60–2.84. Working clean/NM range $1.40–2.80. Reverse holo is a separate, higher-value printing.</x:v>
      </x:c>
      <x:c r="U478" t="n">
        <x:v>980</x:v>
      </x:c>
      <x:c r="V478" t="str">
        <x:v>Current chat continuation / researched 2026-08-16</x:v>
      </x:c>
      <x:c r="W478" t="str">
        <x:v>https://www.tcgplayer.com/product/86137/pokemon-ex-dragon-frontiers-holon-energy-ff</x:v>
      </x:c>
    </x:row>
    <x:row r="479">
      <x:c r="A479" t="n">
        <x:v>603</x:v>
      </x:c>
      <x:c r="B479" t="str">
        <x:v>Jumbo / Oversized</x:v>
      </x:c>
      <x:c r="C479" t="str">
        <x:v>Keldeo-EX</x:v>
      </x:c>
      <x:c r="D479" t="str">
        <x:v>49/149 (jumbo)</x:v>
      </x:c>
      <x:c r="E479" t="str">
        <x:v>Boundaries Crossed / Jumbo Cards</x:v>
      </x:c>
      <x:c r="F479" t="n">
        <x:v>2012</x:v>
      </x:c>
      <x:c r="G479" t="str">
        <x:v>Oversized Holo EX</x:v>
      </x:c>
      <x:c r="H479" t="str">
        <x:v>1 of 1</x:v>
      </x:c>
      <x:c r="I479" t="n">
        <x:v>2.5</x:v>
      </x:c>
      <x:c r="J479" t="n">
        <x:v>4</x:v>
      </x:c>
      <x:c r="K479" t="n">
        <x:v>3.25</x:v>
      </x:c>
      <x:c r="L479" t="str">
        <x:v>$1–5</x:v>
      </x:c>
      <x:c r="M479" t="str">
        <x:v>No</x:v>
      </x:c>
      <x:c r="N479" t="str">
        <x:v>No</x:v>
      </x:c>
      <x:c r="O479" t="str">
        <x:v>Yes</x:v>
      </x:c>
      <x:c r="P479" t="str">
        <x:v>Clean/NM benchmark unless noted</x:v>
      </x:c>
      <x:c r="Q479" t="n">
        <x:v>2.5</x:v>
      </x:c>
      <x:c r="R479" t="n">
        <x:v>4</x:v>
      </x:c>
      <x:c r="S479" t="n">
        <x:v>3.25</x:v>
      </x:c>
      <x:c r="T479" t="str">
        <x:v>Oversized Keldeo-EX #49 from the Boundaries Crossed-era jumbo release. PriceCharting currently tracks the jumbo around $2.50 ungraded; TCGplayer market is around $3.06. Working clean/NM range $2.50–4.</x:v>
      </x:c>
      <x:c r="U479" t="n">
        <x:v>981</x:v>
      </x:c>
      <x:c r="V479" t="str">
        <x:v>Current chat continuation / jumbo researched 2026-08-16</x:v>
      </x:c>
      <x:c r="W479" t="str">
        <x:v>https://www.pricecharting.com/game/pokemon-boundaries-crossed/keldeo-ex-jumbo-49</x:v>
      </x:c>
    </x:row>
    <x:row r="480">
      <x:c r="A480" t="n">
        <x:v>604</x:v>
      </x:c>
      <x:c r="B480" t="str">
        <x:v>Jumbo / Oversized</x:v>
      </x:c>
      <x:c r="C480" t="str">
        <x:v>Garchomp-EX</x:v>
      </x:c>
      <x:c r="D480" t="str">
        <x:v>XY09 (assumed)</x:v>
      </x:c>
      <x:c r="E480" t="str">
        <x:v>XY Black Star Promos / Jumbo Cards</x:v>
      </x:c>
      <x:c r="F480" t="n">
        <x:v>2014</x:v>
      </x:c>
      <x:c r="G480" t="str">
        <x:v>Oversized Holo EX</x:v>
      </x:c>
      <x:c r="H480" t="str">
        <x:v>1 of 1</x:v>
      </x:c>
      <x:c r="I480" t="n">
        <x:v>6</x:v>
      </x:c>
      <x:c r="J480" t="n">
        <x:v>9</x:v>
      </x:c>
      <x:c r="K480" t="n">
        <x:v>7.5</x:v>
      </x:c>
      <x:c r="L480" t="str">
        <x:v>$5–20</x:v>
      </x:c>
      <x:c r="M480" t="str">
        <x:v>No</x:v>
      </x:c>
      <x:c r="N480" t="str">
        <x:v>No</x:v>
      </x:c>
      <x:c r="O480" t="str">
        <x:v>Yes</x:v>
      </x:c>
      <x:c r="P480" t="str">
        <x:v>Exact promo number assumed from era/list; confirm printed number if convenient</x:v>
      </x:c>
      <x:c r="Q480" t="n">
        <x:v>6</x:v>
      </x:c>
      <x:c r="R480" t="n">
        <x:v>9</x:v>
      </x:c>
      <x:c r="S480" t="n">
        <x:v>7.5</x:v>
      </x:c>
      <x:c r="T480" t="str">
        <x:v>Likely the Garchomp-EX XY09 oversized promo. Recent jumbo sales include about $6.69, while TCGplayer Near Mint jumbo sales have been about $9. Working clean/NM range $6–9. If the printed promo number is not XY09, re-identify.</x:v>
      </x:c>
      <x:c r="U480" t="n">
        <x:v>981</x:v>
      </x:c>
      <x:c r="V480" t="str">
        <x:v>Current chat continuation / jumbo researched 2026-08-16</x:v>
      </x:c>
      <x:c r="W480" t="str">
        <x:v>https://www.tcgplayer.com/product/173082/pokemon-jumbo-cards-garchomp-ex-xy09-xy-black-star-promo</x:v>
      </x:c>
    </x:row>
    <x:row r="481">
      <x:c r="A481" t="n">
        <x:v>605</x:v>
      </x:c>
      <x:c r="B481" t="str">
        <x:v>Jumbo / Oversized</x:v>
      </x:c>
      <x:c r="C481" t="str">
        <x:v>Charizard-EX</x:v>
      </x:c>
      <x:c r="D481" t="str">
        <x:v>XY17</x:v>
      </x:c>
      <x:c r="E481" t="str">
        <x:v>XY Black Star Promos / Jumbo Cards</x:v>
      </x:c>
      <x:c r="F481" t="n">
        <x:v>2014</x:v>
      </x:c>
      <x:c r="G481" t="str">
        <x:v>Oversized Holo EX</x:v>
      </x:c>
      <x:c r="H481" t="str">
        <x:v>1 of 1</x:v>
      </x:c>
      <x:c r="I481" t="n">
        <x:v>10</x:v>
      </x:c>
      <x:c r="J481" t="n">
        <x:v>17</x:v>
      </x:c>
      <x:c r="K481" t="n">
        <x:v>13.5</x:v>
      </x:c>
      <x:c r="L481" t="str">
        <x:v>$5–20</x:v>
      </x:c>
      <x:c r="M481" t="str">
        <x:v>No</x:v>
      </x:c>
      <x:c r="N481" t="str">
        <x:v>No</x:v>
      </x:c>
      <x:c r="O481" t="str">
        <x:v>Yes</x:v>
      </x:c>
      <x:c r="P481" t="str">
        <x:v>Clean/NM benchmark unless noted</x:v>
      </x:c>
      <x:c r="Q481" t="n">
        <x:v>10</x:v>
      </x:c>
      <x:c r="R481" t="n">
        <x:v>17</x:v>
      </x:c>
      <x:c r="S481" t="n">
        <x:v>13.5</x:v>
      </x:c>
      <x:c r="T481" t="str">
        <x:v>Charizard-EX XY17 jumbo. PriceCharting currently places the jumbo around $13.90 ungraded; recent raw sales/listings commonly sit around the low-to-mid teens. Working clean/NM range $10–17.</x:v>
      </x:c>
      <x:c r="U481" t="n">
        <x:v>981</x:v>
      </x:c>
      <x:c r="V481" t="str">
        <x:v>Current chat continuation / jumbo researched 2026-08-16</x:v>
      </x:c>
      <x:c r="W481" t="str">
        <x:v>https://www.pricecharting.com/game/pokemon-promo/charizard-ex-jumbo-xy17</x:v>
      </x:c>
    </x:row>
    <x:row r="482">
      <x:c r="A482" t="n">
        <x:v>606</x:v>
      </x:c>
      <x:c r="B482" t="str">
        <x:v>Jumbo / Oversized</x:v>
      </x:c>
      <x:c r="C482" t="str">
        <x:v>Darkrai &amp; Cresselia LEGEND</x:v>
      </x:c>
      <x:c r="D482" t="str">
        <x:v>99/102 &amp; 100/102</x:v>
      </x:c>
      <x:c r="E482" t="str">
        <x:v>Triumphant / Jumbo Promo</x:v>
      </x:c>
      <x:c r="F482" t="n">
        <x:v>2010</x:v>
      </x:c>
      <x:c r="G482" t="str">
        <x:v>Single Oversized LEGEND Promo</x:v>
      </x:c>
      <x:c r="H482" t="str">
        <x:v>1 of 1</x:v>
      </x:c>
      <x:c r="I482" t="n">
        <x:v>40</x:v>
      </x:c>
      <x:c r="J482" t="n">
        <x:v>65</x:v>
      </x:c>
      <x:c r="K482" t="n">
        <x:v>52.5</x:v>
      </x:c>
      <x:c r="L482" t="str">
        <x:v>$20+</x:v>
      </x:c>
      <x:c r="M482" t="str">
        <x:v>No</x:v>
      </x:c>
      <x:c r="N482" t="str">
        <x:v>No</x:v>
      </x:c>
      <x:c r="O482" t="str">
        <x:v>Yes</x:v>
      </x:c>
      <x:c r="P482" t="str">
        <x:v>Clean/NM benchmark unless noted</x:v>
      </x:c>
      <x:c r="Q482" t="n">
        <x:v>40</x:v>
      </x:c>
      <x:c r="R482" t="n">
        <x:v>65</x:v>
      </x:c>
      <x:c r="S482" t="n">
        <x:v>52.5</x:v>
      </x:c>
      <x:c r="T482" t="str">
        <x:v>Single oversized Darkrai &amp; Cresselia LEGEND promo combining 99/102 and 100/102. TCGplayer's direct jumbo listing recently showed a ~$37.99 market/recent sale; recent PriceCharting-tracked jumbo sales include about $55–60. Working clean/NM range $40–65. This is the standout jumbo in this group.</x:v>
      </x:c>
      <x:c r="U482" t="n">
        <x:v>981</x:v>
      </x:c>
      <x:c r="V482" t="str">
        <x:v>Current chat continuation / jumbo researched 2026-08-16</x:v>
      </x:c>
      <x:c r="W482" t="str">
        <x:v>https://www.tcgplayer.com/product/211448/pokemon-jumbo-cards-darkrai-and-cresselia-legend-99-102-and-100-102-single-oversized-promo</x:v>
      </x:c>
    </x:row>
    <x:row r="483">
      <x:c r="A483" t="n">
        <x:v>607</x:v>
      </x:c>
      <x:c r="B483" t="str">
        <x:v>Jumbo / Oversized</x:v>
      </x:c>
      <x:c r="C483" t="str">
        <x:v>Krookodile-EX</x:v>
      </x:c>
      <x:c r="D483" t="str">
        <x:v>XY25</x:v>
      </x:c>
      <x:c r="E483" t="str">
        <x:v>XY Black Star Promos / Jumbo Cards</x:v>
      </x:c>
      <x:c r="F483" t="n">
        <x:v>2014</x:v>
      </x:c>
      <x:c r="G483" t="str">
        <x:v>Oversized Holo EX</x:v>
      </x:c>
      <x:c r="H483" t="str">
        <x:v>1 of 1</x:v>
      </x:c>
      <x:c r="I483" t="n">
        <x:v>5</x:v>
      </x:c>
      <x:c r="J483" t="n">
        <x:v>12</x:v>
      </x:c>
      <x:c r="K483" t="n">
        <x:v>8.5</x:v>
      </x:c>
      <x:c r="L483" t="str">
        <x:v>$5–20</x:v>
      </x:c>
      <x:c r="M483" t="str">
        <x:v>No</x:v>
      </x:c>
      <x:c r="N483" t="str">
        <x:v>No</x:v>
      </x:c>
      <x:c r="O483" t="str">
        <x:v>Yes</x:v>
      </x:c>
      <x:c r="P483" t="str">
        <x:v>Clean/NM benchmark unless noted</x:v>
      </x:c>
      <x:c r="Q483" t="n">
        <x:v>5</x:v>
      </x:c>
      <x:c r="R483" t="n">
        <x:v>12</x:v>
      </x:c>
      <x:c r="S483" t="n">
        <x:v>8.5</x:v>
      </x:c>
      <x:c r="T483" t="str">
        <x:v>Krookodile-EX XY25 jumbo. Current jumbo market snapshots range from roughly $5 to $11+, with a recent eBay jumbo sale around $7. Working clean/NM range $5–12.</x:v>
      </x:c>
      <x:c r="U483" t="n">
        <x:v>981</x:v>
      </x:c>
      <x:c r="V483" t="str">
        <x:v>Current chat continuation / jumbo researched 2026-08-16</x:v>
      </x:c>
      <x:c r="W483" t="str">
        <x:v>https://www.tcgplayer.com/product/211458/pokemon-jumbo-cards-krookodile-ex-xy25</x:v>
      </x:c>
    </x:row>
    <x:row r="484">
      <x:c r="A484" t="n">
        <x:v>608</x:v>
      </x:c>
      <x:c r="B484" t="str">
        <x:v>Jumbo / Oversized</x:v>
      </x:c>
      <x:c r="C484" t="str">
        <x:v>Empoleon BREAK</x:v>
      </x:c>
      <x:c r="D484" t="str">
        <x:v>XY134</x:v>
      </x:c>
      <x:c r="E484" t="str">
        <x:v>XY Black Star Promos / Jumbo Cards</x:v>
      </x:c>
      <x:c r="F484" t="n">
        <x:v>2016</x:v>
      </x:c>
      <x:c r="G484" t="str">
        <x:v>Oversized BREAK Promo</x:v>
      </x:c>
      <x:c r="H484" t="str">
        <x:v>1 of 1</x:v>
      </x:c>
      <x:c r="I484" t="n">
        <x:v>8</x:v>
      </x:c>
      <x:c r="J484" t="n">
        <x:v>12</x:v>
      </x:c>
      <x:c r="K484" t="n">
        <x:v>10</x:v>
      </x:c>
      <x:c r="L484" t="str">
        <x:v>$5–20</x:v>
      </x:c>
      <x:c r="M484" t="str">
        <x:v>No</x:v>
      </x:c>
      <x:c r="N484" t="str">
        <x:v>No</x:v>
      </x:c>
      <x:c r="O484" t="str">
        <x:v>Yes</x:v>
      </x:c>
      <x:c r="P484" t="str">
        <x:v>Clean/NM benchmark unless noted</x:v>
      </x:c>
      <x:c r="Q484" t="n">
        <x:v>8</x:v>
      </x:c>
      <x:c r="R484" t="n">
        <x:v>12</x:v>
      </x:c>
      <x:c r="S484" t="n">
        <x:v>10</x:v>
      </x:c>
      <x:c r="T484" t="str">
        <x:v>Empoleon BREAK XY134 jumbo. PriceCharting currently lists the jumbo around $10 ungraded and TCGplayer market is around $9.64. Working clean/NM range $8–12.</x:v>
      </x:c>
      <x:c r="U484" t="n">
        <x:v>981</x:v>
      </x:c>
      <x:c r="V484" t="str">
        <x:v>Current chat continuation / jumbo researched 2026-08-16</x:v>
      </x:c>
      <x:c r="W484" t="str">
        <x:v>https://www.pricecharting.com/game/pokemon-promo/empoleon-break-jumbo-xy134</x:v>
      </x:c>
    </x:row>
    <x:row r="485">
      <x:c r="A485" t="n">
        <x:v>609</x:v>
      </x:c>
      <x:c r="B485" t="str">
        <x:v>Jumbo / Oversized</x:v>
      </x:c>
      <x:c r="C485" t="str">
        <x:v>M Aerodactyl-EX</x:v>
      </x:c>
      <x:c r="D485" t="str">
        <x:v>XY98</x:v>
      </x:c>
      <x:c r="E485" t="str">
        <x:v>XY Black Star Promos / Jumbo Cards</x:v>
      </x:c>
      <x:c r="F485" t="n">
        <x:v>2016</x:v>
      </x:c>
      <x:c r="G485" t="str">
        <x:v>Oversized Mega Holo EX</x:v>
      </x:c>
      <x:c r="H485" t="str">
        <x:v>1 of 1</x:v>
      </x:c>
      <x:c r="I485" t="n">
        <x:v>7</x:v>
      </x:c>
      <x:c r="J485" t="n">
        <x:v>13</x:v>
      </x:c>
      <x:c r="K485" t="n">
        <x:v>10</x:v>
      </x:c>
      <x:c r="L485" t="str">
        <x:v>$5–20</x:v>
      </x:c>
      <x:c r="M485" t="str">
        <x:v>No</x:v>
      </x:c>
      <x:c r="N485" t="str">
        <x:v>No</x:v>
      </x:c>
      <x:c r="O485" t="str">
        <x:v>Yes</x:v>
      </x:c>
      <x:c r="P485" t="str">
        <x:v>Clean/NM benchmark unless noted</x:v>
      </x:c>
      <x:c r="Q485" t="n">
        <x:v>7</x:v>
      </x:c>
      <x:c r="R485" t="n">
        <x:v>13</x:v>
      </x:c>
      <x:c r="S485" t="n">
        <x:v>10</x:v>
      </x:c>
      <x:c r="T485" t="str">
        <x:v>M Aerodactyl-EX XY98 jumbo. Current jumbo market is about $10.4, with recent listings/sales around the high single digits to low teens. Working clean/NM range $7–13.</x:v>
      </x:c>
      <x:c r="U485" t="n">
        <x:v>981</x:v>
      </x:c>
      <x:c r="V485" t="str">
        <x:v>Current chat continuation / jumbo researched 2026-08-16</x:v>
      </x:c>
      <x:c r="W485" t="str">
        <x:v>https://www.tcgplayer.com/product/147235/pokemon-jumbo-cards-m-aerodactyl-ex-xy98</x:v>
      </x:c>
    </x:row>
    <x:row r="486">
      <x:c r="A486" t="n">
        <x:v>610</x:v>
      </x:c>
      <x:c r="B486" t="str">
        <x:v>Jumbo / Oversized</x:v>
      </x:c>
      <x:c r="C486" t="str">
        <x:v>Zoroark</x:v>
      </x:c>
      <x:c r="D486" t="str">
        <x:v>BW19</x:v>
      </x:c>
      <x:c r="E486" t="str">
        <x:v>BW Black Star Promos / Jumbo Cards</x:v>
      </x:c>
      <x:c r="F486" t="n">
        <x:v>2011</x:v>
      </x:c>
      <x:c r="G486" t="str">
        <x:v>Oversized Holo Promo</x:v>
      </x:c>
      <x:c r="H486" t="str">
        <x:v>1 of 1</x:v>
      </x:c>
      <x:c r="I486" t="n">
        <x:v>10</x:v>
      </x:c>
      <x:c r="J486" t="n">
        <x:v>15</x:v>
      </x:c>
      <x:c r="K486" t="n">
        <x:v>12.5</x:v>
      </x:c>
      <x:c r="L486" t="str">
        <x:v>$5–20</x:v>
      </x:c>
      <x:c r="M486" t="str">
        <x:v>No</x:v>
      </x:c>
      <x:c r="N486" t="str">
        <x:v>No</x:v>
      </x:c>
      <x:c r="O486" t="str">
        <x:v>Yes</x:v>
      </x:c>
      <x:c r="P486" t="str">
        <x:v>Clean/NM benchmark unless noted</x:v>
      </x:c>
      <x:c r="Q486" t="n">
        <x:v>10</x:v>
      </x:c>
      <x:c r="R486" t="n">
        <x:v>15</x:v>
      </x:c>
      <x:c r="S486" t="n">
        <x:v>12.5</x:v>
      </x:c>
      <x:c r="T486" t="str">
        <x:v>Zoroark BW19 jumbo. PriceCharting currently lists the jumbo at about $11.99 ungraded and TCGplayer market is about $13.95. Working clean/NM range $10–15.</x:v>
      </x:c>
      <x:c r="U486" t="n">
        <x:v>981</x:v>
      </x:c>
      <x:c r="V486" t="str">
        <x:v>Current chat continuation / jumbo researched 2026-08-16</x:v>
      </x:c>
      <x:c r="W486" t="str">
        <x:v>https://www.pricecharting.com/game/pokemon-promo/zoroark-jumbo-bw19</x:v>
      </x:c>
    </x:row>
    <x:row r="487">
      <x:c r="A487" t="n">
        <x:v>611</x:v>
      </x:c>
      <x:c r="B487" t="str">
        <x:v>Jumbo / Oversized</x:v>
      </x:c>
      <x:c r="C487" t="str">
        <x:v>Mewtwo-EX</x:v>
      </x:c>
      <x:c r="D487" t="str">
        <x:v>54/99</x:v>
      </x:c>
      <x:c r="E487" t="str">
        <x:v>Next Destinies / Jumbo Cards</x:v>
      </x:c>
      <x:c r="F487" t="n">
        <x:v>2012</x:v>
      </x:c>
      <x:c r="G487" t="str">
        <x:v>Oversized Holo EX</x:v>
      </x:c>
      <x:c r="H487" t="str">
        <x:v>1 of 1</x:v>
      </x:c>
      <x:c r="I487" t="n">
        <x:v>20</x:v>
      </x:c>
      <x:c r="J487" t="n">
        <x:v>30</x:v>
      </x:c>
      <x:c r="K487" t="n">
        <x:v>25</x:v>
      </x:c>
      <x:c r="L487" t="str">
        <x:v>$20+</x:v>
      </x:c>
      <x:c r="M487" t="str">
        <x:v>No</x:v>
      </x:c>
      <x:c r="N487" t="str">
        <x:v>No</x:v>
      </x:c>
      <x:c r="O487" t="str">
        <x:v>Yes</x:v>
      </x:c>
      <x:c r="P487" t="str">
        <x:v>Clean/NM benchmark unless noted</x:v>
      </x:c>
      <x:c r="Q487" t="n">
        <x:v>20</x:v>
      </x:c>
      <x:c r="R487" t="n">
        <x:v>30</x:v>
      </x:c>
      <x:c r="S487" t="n">
        <x:v>25</x:v>
      </x:c>
      <x:c r="T487" t="str">
        <x:v>Mewtwo-EX 54/99 Next Destinies jumbo. Current TCGplayer-derived Near Mint market is about $29.95, with LP around the low-$20s; current eBay listings also cluster roughly from the low teens into the $20s. Working clean/NM range $20–30.</x:v>
      </x:c>
      <x:c r="U487" t="n">
        <x:v>981</x:v>
      </x:c>
      <x:c r="V487" t="str">
        <x:v>Current chat continuation / jumbo researched 2026-08-16</x:v>
      </x:c>
      <x:c r="W487" t="str">
        <x:v>https://www.tcgplayer.com/product/211501/pokemon-jumbo-cards-mewtwo-ex-54-99</x:v>
      </x:c>
    </x:row>
    <x:row r="488">
      <x:c r="A488" t="n">
        <x:v>612</x:v>
      </x:c>
      <x:c r="B488" t="str">
        <x:v>Psychic / Rares</x:v>
      </x:c>
      <x:c r="C488" t="str">
        <x:v>Espeon E4</x:v>
      </x:c>
      <x:c r="D488" t="str">
        <x:v>18/111</x:v>
      </x:c>
      <x:c r="E488" t="str">
        <x:v>Rising Rivals</x:v>
      </x:c>
      <x:c r="F488" t="n">
        <x:v>2009</x:v>
      </x:c>
      <x:c r="G488" t="str">
        <x:v>Regular Rare (LV.55)</x:v>
      </x:c>
      <x:c r="H488" t="str">
        <x:v>1 of 1</x:v>
      </x:c>
      <x:c r="I488" t="n">
        <x:v>8</x:v>
      </x:c>
      <x:c r="J488" t="n">
        <x:v>15</x:v>
      </x:c>
      <x:c r="K488" t="n">
        <x:v>11.5</x:v>
      </x:c>
      <x:c r="L488" t="str">
        <x:v>$5–20</x:v>
      </x:c>
      <x:c r="M488" t="str">
        <x:v>Yes</x:v>
      </x:c>
      <x:c r="N488" t="str">
        <x:v>No</x:v>
      </x:c>
      <x:c r="O488" t="str">
        <x:v>Yes</x:v>
      </x:c>
      <x:c r="P488" t="str">
        <x:v>Clean/NM benchmark unless noted</x:v>
      </x:c>
      <x:c r="Q488" t="n">
        <x:v>8</x:v>
      </x:c>
      <x:c r="R488" t="n">
        <x:v>15</x:v>
      </x:c>
      <x:c r="S488" t="n">
        <x:v>11.5</x:v>
      </x:c>
      <x:c r="T488" t="str">
        <x:v>Rising Rivals Espeon E4 LV.55 18/111 regular rare. PriceCharting currently lists ungraded around $8.74, while TCGplayer market is about $15.09. Working clean/NM range $8–15. Reverse holo is a separate, materially higher-value printing.</x:v>
      </x:c>
      <x:c r="U488" t="n">
        <x:v>982</x:v>
      </x:c>
      <x:c r="V488" t="str">
        <x:v>Current chat continuation / researched 2026-08-16</x:v>
      </x:c>
      <x:c r="W488" t="str">
        <x:v>https://www.pricecharting.com/game/pokemon-rising-rivals/espeon-18</x:v>
      </x:c>
    </x:row>
    <x:row r="489">
      <x:c r="A489" t="n">
        <x:v>613</x:v>
      </x:c>
      <x:c r="B489" t="str">
        <x:v>Psychic / Rares</x:v>
      </x:c>
      <x:c r="C489" t="str">
        <x:v>Espeon</x:v>
      </x:c>
      <x:c r="D489" t="str">
        <x:v>48/108</x:v>
      </x:c>
      <x:c r="E489" t="str">
        <x:v>Dark Explorers</x:v>
      </x:c>
      <x:c r="F489" t="n">
        <x:v>2012</x:v>
      </x:c>
      <x:c r="G489" t="str">
        <x:v>Regular Rare</x:v>
      </x:c>
      <x:c r="H489" t="str">
        <x:v>1 of 4</x:v>
      </x:c>
      <x:c r="I489" t="n">
        <x:v>7</x:v>
      </x:c>
      <x:c r="J489" t="n">
        <x:v>10</x:v>
      </x:c>
      <x:c r="K489" t="n">
        <x:v>8.5</x:v>
      </x:c>
      <x:c r="L489" t="str">
        <x:v>$5–20</x:v>
      </x:c>
      <x:c r="M489" t="str">
        <x:v>Yes</x:v>
      </x:c>
      <x:c r="N489" t="str">
        <x:v>No</x:v>
      </x:c>
      <x:c r="O489" t="str">
        <x:v>Yes</x:v>
      </x:c>
      <x:c r="P489" t="str">
        <x:v>Clean/NM benchmark unless noted</x:v>
      </x:c>
      <x:c r="Q489" t="n">
        <x:v>7</x:v>
      </x:c>
      <x:c r="R489" t="n">
        <x:v>10</x:v>
      </x:c>
      <x:c r="S489" t="n">
        <x:v>8.5</x:v>
      </x:c>
      <x:c r="T489" t="str">
        <x:v>Dark Explorers Espeon 48/108 regular rare, first of four physical copies. PriceCharting currently lists ungraded around $8.07 and TCGplayer market around $9.40. Working clean/NM range $7–10. If this physical card says 'Team Plasma', it is instead Plasma Freeze 48/116 and should be corrected.</x:v>
      </x:c>
      <x:c r="U489" t="n">
        <x:v>982</x:v>
      </x:c>
      <x:c r="V489" t="str">
        <x:v>Current chat continuation / researched 2026-08-16</x:v>
      </x:c>
      <x:c r="W489" t="str">
        <x:v>https://www.pricecharting.com/game/pokemon-dark-explorers/espeon-48</x:v>
      </x:c>
    </x:row>
    <x:row r="490">
      <x:c r="A490" t="n">
        <x:v>614</x:v>
      </x:c>
      <x:c r="B490" t="str">
        <x:v>Psychic / Rares</x:v>
      </x:c>
      <x:c r="C490" t="str">
        <x:v>Espeon</x:v>
      </x:c>
      <x:c r="D490" t="str">
        <x:v>48/108</x:v>
      </x:c>
      <x:c r="E490" t="str">
        <x:v>Dark Explorers</x:v>
      </x:c>
      <x:c r="F490" t="n">
        <x:v>2012</x:v>
      </x:c>
      <x:c r="G490" t="str">
        <x:v>Regular Rare</x:v>
      </x:c>
      <x:c r="H490" t="str">
        <x:v>2 of 4</x:v>
      </x:c>
      <x:c r="I490" t="n">
        <x:v>7</x:v>
      </x:c>
      <x:c r="J490" t="n">
        <x:v>10</x:v>
      </x:c>
      <x:c r="K490" t="n">
        <x:v>8.5</x:v>
      </x:c>
      <x:c r="L490" t="str">
        <x:v>$5–20</x:v>
      </x:c>
      <x:c r="M490" t="str">
        <x:v>Yes</x:v>
      </x:c>
      <x:c r="N490" t="str">
        <x:v>No</x:v>
      </x:c>
      <x:c r="O490" t="str">
        <x:v>Yes</x:v>
      </x:c>
      <x:c r="P490" t="str">
        <x:v>Clean/NM benchmark unless noted</x:v>
      </x:c>
      <x:c r="Q490" t="n">
        <x:v>7</x:v>
      </x:c>
      <x:c r="R490" t="n">
        <x:v>10</x:v>
      </x:c>
      <x:c r="S490" t="n">
        <x:v>8.5</x:v>
      </x:c>
      <x:c r="T490" t="str">
        <x:v>Second physical copy of Dark Explorers Espeon 48/108 regular rare. PriceCharting currently lists ungraded around $8.07 and TCGplayer market around $9.40. Working clean/NM range $7–10. If this physical card says 'Team Plasma', it is instead Plasma Freeze 48/116 and should be corrected.</x:v>
      </x:c>
      <x:c r="U490" t="n">
        <x:v>982</x:v>
      </x:c>
      <x:c r="V490" t="str">
        <x:v>Current chat continuation / researched 2026-08-16</x:v>
      </x:c>
      <x:c r="W490" t="str">
        <x:v>https://www.pricecharting.com/game/pokemon-dark-explorers/espeon-48</x:v>
      </x:c>
    </x:row>
    <x:row r="491">
      <x:c r="A491" t="n">
        <x:v>615</x:v>
      </x:c>
      <x:c r="B491" t="str">
        <x:v>Psychic / Rares</x:v>
      </x:c>
      <x:c r="C491" t="str">
        <x:v>Espeon</x:v>
      </x:c>
      <x:c r="D491" t="str">
        <x:v>48/108</x:v>
      </x:c>
      <x:c r="E491" t="str">
        <x:v>Dark Explorers</x:v>
      </x:c>
      <x:c r="F491" t="n">
        <x:v>2012</x:v>
      </x:c>
      <x:c r="G491" t="str">
        <x:v>Regular Rare</x:v>
      </x:c>
      <x:c r="H491" t="str">
        <x:v>3 of 4</x:v>
      </x:c>
      <x:c r="I491" t="n">
        <x:v>7</x:v>
      </x:c>
      <x:c r="J491" t="n">
        <x:v>10</x:v>
      </x:c>
      <x:c r="K491" t="n">
        <x:v>8.5</x:v>
      </x:c>
      <x:c r="L491" t="str">
        <x:v>$5–20</x:v>
      </x:c>
      <x:c r="M491" t="str">
        <x:v>Yes</x:v>
      </x:c>
      <x:c r="N491" t="str">
        <x:v>No</x:v>
      </x:c>
      <x:c r="O491" t="str">
        <x:v>Yes</x:v>
      </x:c>
      <x:c r="P491" t="str">
        <x:v>Clean/NM benchmark unless noted</x:v>
      </x:c>
      <x:c r="Q491" t="n">
        <x:v>7</x:v>
      </x:c>
      <x:c r="R491" t="n">
        <x:v>10</x:v>
      </x:c>
      <x:c r="S491" t="n">
        <x:v>8.5</x:v>
      </x:c>
      <x:c r="T491" t="str">
        <x:v>Third physical copy of Dark Explorers Espeon 48/108 regular rare. PriceCharting currently lists ungraded around $8.07 and TCGplayer market around $9.40. Working clean/NM range $7–10. If this physical card says 'Team Plasma', it is instead Plasma Freeze 48/116 and should be corrected.</x:v>
      </x:c>
      <x:c r="U491" t="n">
        <x:v>982</x:v>
      </x:c>
      <x:c r="V491" t="str">
        <x:v>Current chat continuation / researched 2026-08-16</x:v>
      </x:c>
      <x:c r="W491" t="str">
        <x:v>https://www.pricecharting.com/game/pokemon-dark-explorers/espeon-48</x:v>
      </x:c>
    </x:row>
    <x:row r="492">
      <x:c r="A492" t="n">
        <x:v>616</x:v>
      </x:c>
      <x:c r="B492" t="str">
        <x:v>Psychic / Rares</x:v>
      </x:c>
      <x:c r="C492" t="str">
        <x:v>Espeon</x:v>
      </x:c>
      <x:c r="D492" t="str">
        <x:v>48/108</x:v>
      </x:c>
      <x:c r="E492" t="str">
        <x:v>Dark Explorers</x:v>
      </x:c>
      <x:c r="F492" t="n">
        <x:v>2012</x:v>
      </x:c>
      <x:c r="G492" t="str">
        <x:v>Regular Rare</x:v>
      </x:c>
      <x:c r="H492" t="str">
        <x:v>4 of 4</x:v>
      </x:c>
      <x:c r="I492" t="n">
        <x:v>7</x:v>
      </x:c>
      <x:c r="J492" t="n">
        <x:v>10</x:v>
      </x:c>
      <x:c r="K492" t="n">
        <x:v>8.5</x:v>
      </x:c>
      <x:c r="L492" t="str">
        <x:v>$5–20</x:v>
      </x:c>
      <x:c r="M492" t="str">
        <x:v>Yes</x:v>
      </x:c>
      <x:c r="N492" t="str">
        <x:v>No</x:v>
      </x:c>
      <x:c r="O492" t="str">
        <x:v>Yes</x:v>
      </x:c>
      <x:c r="P492" t="str">
        <x:v>Clean/NM benchmark unless noted</x:v>
      </x:c>
      <x:c r="Q492" t="n">
        <x:v>7</x:v>
      </x:c>
      <x:c r="R492" t="n">
        <x:v>10</x:v>
      </x:c>
      <x:c r="S492" t="n">
        <x:v>8.5</x:v>
      </x:c>
      <x:c r="T492" t="str">
        <x:v>Fourth physical copy of Dark Explorers Espeon 48/108 regular rare. PriceCharting currently lists ungraded around $8.07 and TCGplayer market around $9.40. Working clean/NM range $7–10. If this physical card says 'Team Plasma', it is instead Plasma Freeze 48/116 and should be corrected.</x:v>
      </x:c>
      <x:c r="U492" t="n">
        <x:v>982</x:v>
      </x:c>
      <x:c r="V492" t="str">
        <x:v>Current chat continuation / researched 2026-08-16</x:v>
      </x:c>
      <x:c r="W492" t="str">
        <x:v>https://www.pricecharting.com/game/pokemon-dark-explorers/espeon-48</x:v>
      </x:c>
    </x:row>
    <x:row r="493">
      <x:c r="A493" t="n">
        <x:v>617</x:v>
      </x:c>
      <x:c r="B493" t="str">
        <x:v>Psychic / Rares</x:v>
      </x:c>
      <x:c r="C493" t="str">
        <x:v>Gardevoir</x:v>
      </x:c>
      <x:c r="D493" t="str">
        <x:v>57/99</x:v>
      </x:c>
      <x:c r="E493" t="str">
        <x:v>Next Destinies</x:v>
      </x:c>
      <x:c r="F493" t="n">
        <x:v>2012</x:v>
      </x:c>
      <x:c r="G493" t="str">
        <x:v>Holo Rare</x:v>
      </x:c>
      <x:c r="H493" t="str">
        <x:v>1 of 3</x:v>
      </x:c>
      <x:c r="I493" t="n">
        <x:v>9</x:v>
      </x:c>
      <x:c r="J493" t="n">
        <x:v>15</x:v>
      </x:c>
      <x:c r="K493" t="n">
        <x:v>12</x:v>
      </x:c>
      <x:c r="L493" t="str">
        <x:v>$5–20</x:v>
      </x:c>
      <x:c r="M493" t="str">
        <x:v>Yes</x:v>
      </x:c>
      <x:c r="N493" t="str">
        <x:v>No</x:v>
      </x:c>
      <x:c r="O493" t="str">
        <x:v>Yes</x:v>
      </x:c>
      <x:c r="P493" t="str">
        <x:v>Clean/NM benchmark unless noted</x:v>
      </x:c>
      <x:c r="Q493" t="n">
        <x:v>9</x:v>
      </x:c>
      <x:c r="R493" t="n">
        <x:v>15</x:v>
      </x:c>
      <x:c r="S493" t="n">
        <x:v>12</x:v>
      </x:c>
      <x:c r="T493" t="str">
        <x:v>Next Destinies Gardevoir 57/99 holo rare, physical copy 1 of 3. Recent 2026 raw/NM sales include about $8.99, $11.24, $12.50 and $15.00. Working clean/NM range $9–15. Reverse holo is a separate printing.</x:v>
      </x:c>
      <x:c r="U493" t="n">
        <x:v>983</x:v>
      </x:c>
      <x:c r="V493" t="str">
        <x:v>Current chat continuation / researched 2026-08-16</x:v>
      </x:c>
      <x:c r="W493" t="str">
        <x:v>https://www.pricecharting.com/game/pokemon-next-destinies/gardevoir-57</x:v>
      </x:c>
    </x:row>
    <x:row r="494">
      <x:c r="A494" t="n">
        <x:v>618</x:v>
      </x:c>
      <x:c r="B494" t="str">
        <x:v>Psychic / Rares</x:v>
      </x:c>
      <x:c r="C494" t="str">
        <x:v>Gardevoir</x:v>
      </x:c>
      <x:c r="D494" t="str">
        <x:v>57/99</x:v>
      </x:c>
      <x:c r="E494" t="str">
        <x:v>Next Destinies</x:v>
      </x:c>
      <x:c r="F494" t="n">
        <x:v>2012</x:v>
      </x:c>
      <x:c r="G494" t="str">
        <x:v>Holo Rare</x:v>
      </x:c>
      <x:c r="H494" t="str">
        <x:v>2 of 3</x:v>
      </x:c>
      <x:c r="I494" t="n">
        <x:v>9</x:v>
      </x:c>
      <x:c r="J494" t="n">
        <x:v>15</x:v>
      </x:c>
      <x:c r="K494" t="n">
        <x:v>12</x:v>
      </x:c>
      <x:c r="L494" t="str">
        <x:v>$5–20</x:v>
      </x:c>
      <x:c r="M494" t="str">
        <x:v>Yes</x:v>
      </x:c>
      <x:c r="N494" t="str">
        <x:v>No</x:v>
      </x:c>
      <x:c r="O494" t="str">
        <x:v>Yes</x:v>
      </x:c>
      <x:c r="P494" t="str">
        <x:v>Clean/NM benchmark unless noted</x:v>
      </x:c>
      <x:c r="Q494" t="n">
        <x:v>9</x:v>
      </x:c>
      <x:c r="R494" t="n">
        <x:v>15</x:v>
      </x:c>
      <x:c r="S494" t="n">
        <x:v>12</x:v>
      </x:c>
      <x:c r="T494" t="str">
        <x:v>Next Destinies Gardevoir 57/99 holo rare, physical copy 2 of 3. Recent 2026 raw/NM sales include about $8.99, $11.24, $12.50 and $15.00. Working clean/NM range $9–15. Reverse holo is a separate printing.</x:v>
      </x:c>
      <x:c r="U494" t="n">
        <x:v>983</x:v>
      </x:c>
      <x:c r="V494" t="str">
        <x:v>Current chat continuation / researched 2026-08-16</x:v>
      </x:c>
      <x:c r="W494" t="str">
        <x:v>https://www.pricecharting.com/game/pokemon-next-destinies/gardevoir-57</x:v>
      </x:c>
    </x:row>
    <x:row r="495">
      <x:c r="A495" t="n">
        <x:v>619</x:v>
      </x:c>
      <x:c r="B495" t="str">
        <x:v>Psychic / Rares</x:v>
      </x:c>
      <x:c r="C495" t="str">
        <x:v>Gardevoir</x:v>
      </x:c>
      <x:c r="D495" t="str">
        <x:v>57/99</x:v>
      </x:c>
      <x:c r="E495" t="str">
        <x:v>Next Destinies</x:v>
      </x:c>
      <x:c r="F495" t="n">
        <x:v>2012</x:v>
      </x:c>
      <x:c r="G495" t="str">
        <x:v>Holo Rare</x:v>
      </x:c>
      <x:c r="H495" t="str">
        <x:v>3 of 3</x:v>
      </x:c>
      <x:c r="I495" t="n">
        <x:v>9</x:v>
      </x:c>
      <x:c r="J495" t="n">
        <x:v>15</x:v>
      </x:c>
      <x:c r="K495" t="n">
        <x:v>12</x:v>
      </x:c>
      <x:c r="L495" t="str">
        <x:v>$5–20</x:v>
      </x:c>
      <x:c r="M495" t="str">
        <x:v>Yes</x:v>
      </x:c>
      <x:c r="N495" t="str">
        <x:v>No</x:v>
      </x:c>
      <x:c r="O495" t="str">
        <x:v>Yes</x:v>
      </x:c>
      <x:c r="P495" t="str">
        <x:v>Clean/NM benchmark unless noted</x:v>
      </x:c>
      <x:c r="Q495" t="n">
        <x:v>9</x:v>
      </x:c>
      <x:c r="R495" t="n">
        <x:v>15</x:v>
      </x:c>
      <x:c r="S495" t="n">
        <x:v>12</x:v>
      </x:c>
      <x:c r="T495" t="str">
        <x:v>Next Destinies Gardevoir 57/99 holo rare, physical copy 3 of 3. Recent 2026 raw/NM sales include about $8.99, $11.24, $12.50 and $15.00. Working clean/NM range $9–15. Reverse holo is a separate printing.</x:v>
      </x:c>
      <x:c r="U495" t="n">
        <x:v>983</x:v>
      </x:c>
      <x:c r="V495" t="str">
        <x:v>Current chat continuation / researched 2026-08-16</x:v>
      </x:c>
      <x:c r="W495" t="str">
        <x:v>https://www.pricecharting.com/game/pokemon-next-destinies/gardevoir-57</x:v>
      </x:c>
    </x:row>
    <x:row r="496">
      <x:c r="A496" t="n">
        <x:v>620</x:v>
      </x:c>
      <x:c r="B496" t="str">
        <x:v>Psychic / Rares</x:v>
      </x:c>
      <x:c r="C496" t="str">
        <x:v>Garbodor</x:v>
      </x:c>
      <x:c r="D496" t="str">
        <x:v>54/124</x:v>
      </x:c>
      <x:c r="E496" t="str">
        <x:v>Dragons Exalted</x:v>
      </x:c>
      <x:c r="F496" t="n">
        <x:v>2012</x:v>
      </x:c>
      <x:c r="G496" t="str">
        <x:v>Holo Rare</x:v>
      </x:c>
      <x:c r="H496" t="str">
        <x:v>1 of 4</x:v>
      </x:c>
      <x:c r="I496" t="n">
        <x:v>4</x:v>
      </x:c>
      <x:c r="J496" t="n">
        <x:v>7</x:v>
      </x:c>
      <x:c r="K496" t="n">
        <x:v>5.5</x:v>
      </x:c>
      <x:c r="L496" t="str">
        <x:v>$5–20</x:v>
      </x:c>
      <x:c r="M496" t="str">
        <x:v>Yes</x:v>
      </x:c>
      <x:c r="N496" t="str">
        <x:v>No</x:v>
      </x:c>
      <x:c r="O496" t="str">
        <x:v>Yes</x:v>
      </x:c>
      <x:c r="P496" t="str">
        <x:v>Clean/NM benchmark unless noted</x:v>
      </x:c>
      <x:c r="Q496" t="n">
        <x:v>4</x:v>
      </x:c>
      <x:c r="R496" t="n">
        <x:v>7</x:v>
      </x:c>
      <x:c r="S496" t="n">
        <x:v>5.5</x:v>
      </x:c>
      <x:c r="T496" t="str">
        <x:v>Dragons Exalted Garbodor 54/124 holo rare, physical copy 1 of 4. Recent 2026 NM TCGplayer sales are commonly about $4.45–5.42, with clean eBay sales around $6–7. Working clean/NM range $4–7. Reverse holo is a separate printing.</x:v>
      </x:c>
      <x:c r="U496" t="n">
        <x:v>983</x:v>
      </x:c>
      <x:c r="V496" t="str">
        <x:v>Current chat continuation / researched 2026-08-16</x:v>
      </x:c>
      <x:c r="W496" t="str">
        <x:v>https://www.pricecharting.com/game/pokemon-dragons-exalted/garbodor-54</x:v>
      </x:c>
    </x:row>
    <x:row r="497">
      <x:c r="A497" t="n">
        <x:v>621</x:v>
      </x:c>
      <x:c r="B497" t="str">
        <x:v>Psychic / Rares</x:v>
      </x:c>
      <x:c r="C497" t="str">
        <x:v>Garbodor</x:v>
      </x:c>
      <x:c r="D497" t="str">
        <x:v>54/124</x:v>
      </x:c>
      <x:c r="E497" t="str">
        <x:v>Dragons Exalted</x:v>
      </x:c>
      <x:c r="F497" t="n">
        <x:v>2012</x:v>
      </x:c>
      <x:c r="G497" t="str">
        <x:v>Holo Rare</x:v>
      </x:c>
      <x:c r="H497" t="str">
        <x:v>2 of 4</x:v>
      </x:c>
      <x:c r="I497" t="n">
        <x:v>4</x:v>
      </x:c>
      <x:c r="J497" t="n">
        <x:v>7</x:v>
      </x:c>
      <x:c r="K497" t="n">
        <x:v>5.5</x:v>
      </x:c>
      <x:c r="L497" t="str">
        <x:v>$5–20</x:v>
      </x:c>
      <x:c r="M497" t="str">
        <x:v>Yes</x:v>
      </x:c>
      <x:c r="N497" t="str">
        <x:v>No</x:v>
      </x:c>
      <x:c r="O497" t="str">
        <x:v>Yes</x:v>
      </x:c>
      <x:c r="P497" t="str">
        <x:v>Clean/NM benchmark unless noted</x:v>
      </x:c>
      <x:c r="Q497" t="n">
        <x:v>4</x:v>
      </x:c>
      <x:c r="R497" t="n">
        <x:v>7</x:v>
      </x:c>
      <x:c r="S497" t="n">
        <x:v>5.5</x:v>
      </x:c>
      <x:c r="T497" t="str">
        <x:v>Dragons Exalted Garbodor 54/124 holo rare, physical copy 2 of 4. Recent 2026 NM TCGplayer sales are commonly about $4.45–5.42, with clean eBay sales around $6–7. Working clean/NM range $4–7. Reverse holo is a separate printing.</x:v>
      </x:c>
      <x:c r="U497" t="n">
        <x:v>983</x:v>
      </x:c>
      <x:c r="V497" t="str">
        <x:v>Current chat continuation / researched 2026-08-16</x:v>
      </x:c>
      <x:c r="W497" t="str">
        <x:v>https://www.pricecharting.com/game/pokemon-dragons-exalted/garbodor-54</x:v>
      </x:c>
    </x:row>
    <x:row r="498">
      <x:c r="A498" t="n">
        <x:v>622</x:v>
      </x:c>
      <x:c r="B498" t="str">
        <x:v>Psychic / Rares</x:v>
      </x:c>
      <x:c r="C498" t="str">
        <x:v>Garbodor</x:v>
      </x:c>
      <x:c r="D498" t="str">
        <x:v>54/124</x:v>
      </x:c>
      <x:c r="E498" t="str">
        <x:v>Dragons Exalted</x:v>
      </x:c>
      <x:c r="F498" t="n">
        <x:v>2012</x:v>
      </x:c>
      <x:c r="G498" t="str">
        <x:v>Holo Rare</x:v>
      </x:c>
      <x:c r="H498" t="str">
        <x:v>3 of 4</x:v>
      </x:c>
      <x:c r="I498" t="n">
        <x:v>4</x:v>
      </x:c>
      <x:c r="J498" t="n">
        <x:v>7</x:v>
      </x:c>
      <x:c r="K498" t="n">
        <x:v>5.5</x:v>
      </x:c>
      <x:c r="L498" t="str">
        <x:v>$5–20</x:v>
      </x:c>
      <x:c r="M498" t="str">
        <x:v>Yes</x:v>
      </x:c>
      <x:c r="N498" t="str">
        <x:v>No</x:v>
      </x:c>
      <x:c r="O498" t="str">
        <x:v>Yes</x:v>
      </x:c>
      <x:c r="P498" t="str">
        <x:v>Clean/NM benchmark unless noted</x:v>
      </x:c>
      <x:c r="Q498" t="n">
        <x:v>4</x:v>
      </x:c>
      <x:c r="R498" t="n">
        <x:v>7</x:v>
      </x:c>
      <x:c r="S498" t="n">
        <x:v>5.5</x:v>
      </x:c>
      <x:c r="T498" t="str">
        <x:v>Dragons Exalted Garbodor 54/124 holo rare, physical copy 3 of 4. Recent 2026 NM TCGplayer sales are commonly about $4.45–5.42, with clean eBay sales around $6–7. Working clean/NM range $4–7. Reverse holo is a separate printing.</x:v>
      </x:c>
      <x:c r="U498" t="n">
        <x:v>983</x:v>
      </x:c>
      <x:c r="V498" t="str">
        <x:v>Current chat continuation / researched 2026-08-16</x:v>
      </x:c>
      <x:c r="W498" t="str">
        <x:v>https://www.pricecharting.com/game/pokemon-dragons-exalted/garbodor-54</x:v>
      </x:c>
    </x:row>
    <x:row r="499">
      <x:c r="A499" t="n">
        <x:v>623</x:v>
      </x:c>
      <x:c r="B499" t="str">
        <x:v>Psychic / Rares</x:v>
      </x:c>
      <x:c r="C499" t="str">
        <x:v>Garbodor</x:v>
      </x:c>
      <x:c r="D499" t="str">
        <x:v>54/124</x:v>
      </x:c>
      <x:c r="E499" t="str">
        <x:v>Dragons Exalted</x:v>
      </x:c>
      <x:c r="F499" t="n">
        <x:v>2012</x:v>
      </x:c>
      <x:c r="G499" t="str">
        <x:v>Holo Rare</x:v>
      </x:c>
      <x:c r="H499" t="str">
        <x:v>4 of 4</x:v>
      </x:c>
      <x:c r="I499" t="n">
        <x:v>4</x:v>
      </x:c>
      <x:c r="J499" t="n">
        <x:v>7</x:v>
      </x:c>
      <x:c r="K499" t="n">
        <x:v>5.5</x:v>
      </x:c>
      <x:c r="L499" t="str">
        <x:v>$5–20</x:v>
      </x:c>
      <x:c r="M499" t="str">
        <x:v>Yes</x:v>
      </x:c>
      <x:c r="N499" t="str">
        <x:v>No</x:v>
      </x:c>
      <x:c r="O499" t="str">
        <x:v>Yes</x:v>
      </x:c>
      <x:c r="P499" t="str">
        <x:v>Clean/NM benchmark unless noted</x:v>
      </x:c>
      <x:c r="Q499" t="n">
        <x:v>4</x:v>
      </x:c>
      <x:c r="R499" t="n">
        <x:v>7</x:v>
      </x:c>
      <x:c r="S499" t="n">
        <x:v>5.5</x:v>
      </x:c>
      <x:c r="T499" t="str">
        <x:v>Dragons Exalted Garbodor 54/124 holo rare, physical copy 4 of 4. Recent 2026 NM TCGplayer sales are commonly about $4.45–5.42, with clean eBay sales around $6–7. Working clean/NM range $4–7. Reverse holo is a separate printing.</x:v>
      </x:c>
      <x:c r="U499" t="n">
        <x:v>983</x:v>
      </x:c>
      <x:c r="V499" t="str">
        <x:v>Current chat continuation / researched 2026-08-16</x:v>
      </x:c>
      <x:c r="W499" t="str">
        <x:v>https://www.pricecharting.com/game/pokemon-dragons-exalted/garbodor-54</x:v>
      </x:c>
    </x:row>
    <x:row r="500">
      <x:c r="A500" t="n">
        <x:v>624</x:v>
      </x:c>
      <x:c r="B500" t="str">
        <x:v>Psychic / Rares</x:v>
      </x:c>
      <x:c r="C500" t="str">
        <x:v>Gardevoir</x:v>
      </x:c>
      <x:c r="D500" t="str">
        <x:v>8/127</x:v>
      </x:c>
      <x:c r="E500" t="str">
        <x:v>Platinum / Deck Exclusives</x:v>
      </x:c>
      <x:c r="F500" t="n">
        <x:v>2009</x:v>
      </x:c>
      <x:c r="G500" t="str">
        <x:v>Non-Holo Deck Exclusive (LV.61)</x:v>
      </x:c>
      <x:c r="H500" t="str">
        <x:v>1 of 1</x:v>
      </x:c>
      <x:c r="I500" t="n">
        <x:v>6</x:v>
      </x:c>
      <x:c r="J500" t="n">
        <x:v>10</x:v>
      </x:c>
      <x:c r="K500" t="n">
        <x:v>8</x:v>
      </x:c>
      <x:c r="L500" t="str">
        <x:v>$5–20</x:v>
      </x:c>
      <x:c r="M500" t="str">
        <x:v>Yes</x:v>
      </x:c>
      <x:c r="N500" t="str">
        <x:v>No</x:v>
      </x:c>
      <x:c r="O500" t="str">
        <x:v>Yes</x:v>
      </x:c>
      <x:c r="P500" t="str">
        <x:v>Variant inferred from user explicitly marking other cards holo; correct if this copy is holo</x:v>
      </x:c>
      <x:c r="Q500" t="n">
        <x:v>6</x:v>
      </x:c>
      <x:c r="R500" t="n">
        <x:v>10</x:v>
      </x:c>
      <x:c r="S500" t="n">
        <x:v>8</x:v>
      </x:c>
      <x:c r="T500" t="str">
        <x:v>Platinum Gardevoir LV.61 8/127 logged as the non-holo deck-exclusive printing because the user explicitly identified the other cards in this batch as holo but did not mark this one holo. Current TCGplayer deck-exclusive market is about $9.26; PriceCharting regular/raw guide is about $6.42. Working clean/NM range $6–10. IMPORTANT: if this physical copy is holo, it is the standard Platinum holo rare and is worth materially more (PriceCharting ungraded about $19.74; TCGplayer market about $48.99).</x:v>
      </x:c>
      <x:c r="U500" t="n">
        <x:v>983</x:v>
      </x:c>
      <x:c r="V500" t="str">
        <x:v>Current chat continuation / researched 2026-08-16</x:v>
      </x:c>
      <x:c r="W500" t="str">
        <x:v>https://www.tcgplayer.com/search/pokemon/product?q=Gardevoir+PL1</x:v>
      </x:c>
    </x:row>
    <x:row r="501">
      <x:c r="A501" t="n">
        <x:v>625</x:v>
      </x:c>
      <x:c r="B501" t="str">
        <x:v>EX / Full Art</x:v>
      </x:c>
      <x:c r="C501" t="str">
        <x:v>Mew-EX</x:v>
      </x:c>
      <x:c r="D501" t="str">
        <x:v>RC24/RC25</x:v>
      </x:c>
      <x:c r="E501" t="str">
        <x:v>Legendary Treasures: Radiant Collection</x:v>
      </x:c>
      <x:c r="F501" t="n">
        <x:v>2013</x:v>
      </x:c>
      <x:c r="G501" t="str">
        <x:v>Full Art Holo Ultra Rare</x:v>
      </x:c>
      <x:c r="H501" t="str">
        <x:v>1 of 2</x:v>
      </x:c>
      <x:c r="I501" t="n">
        <x:v>160</x:v>
      </x:c>
      <x:c r="J501" t="n">
        <x:v>210</x:v>
      </x:c>
      <x:c r="K501" t="n">
        <x:v>185</x:v>
      </x:c>
      <x:c r="L501" t="str">
        <x:v>$20+</x:v>
      </x:c>
      <x:c r="M501" t="str">
        <x:v>Yes</x:v>
      </x:c>
      <x:c r="N501" t="str">
        <x:v>Yes</x:v>
      </x:c>
      <x:c r="O501" t="str">
        <x:v>Yes</x:v>
      </x:c>
      <x:c r="P501" t="str">
        <x:v>Clean/NM benchmark unless noted</x:v>
      </x:c>
      <x:c r="Q501" t="n">
        <x:v>160</x:v>
      </x:c>
      <x:c r="R501" t="n">
        <x:v>210</x:v>
      </x:c>
      <x:c r="S501" t="n">
        <x:v>185</x:v>
      </x:c>
      <x:c r="T501" t="str">
        <x:v>Legendary Treasures Radiant Collection Mew-EX RC24/RC25 Full Art, first physical copy. Current market is volatile: TCGplayer market snapshots are roughly $136–173, while many 2026 NM sales tracked by PriceCharting have landed around $175–200+, with some July outliers much higher. Conservative working clean/NM range $160–210.</x:v>
      </x:c>
      <x:c r="U501" t="n">
        <x:v>984</x:v>
      </x:c>
      <x:c r="V501" t="str">
        <x:v>Current chat continuation / researched 2026-08-16</x:v>
      </x:c>
      <x:c r="W501" t="str">
        <x:v>https://www.pricecharting.com/game/pokemon-legendary-treasures/mew-ex-rc24</x:v>
      </x:c>
    </x:row>
    <x:row r="502">
      <x:c r="A502" t="n">
        <x:v>626</x:v>
      </x:c>
      <x:c r="B502" t="str">
        <x:v>EX / Full Art</x:v>
      </x:c>
      <x:c r="C502" t="str">
        <x:v>Mew-EX</x:v>
      </x:c>
      <x:c r="D502" t="str">
        <x:v>RC24/RC25</x:v>
      </x:c>
      <x:c r="E502" t="str">
        <x:v>Legendary Treasures: Radiant Collection</x:v>
      </x:c>
      <x:c r="F502" t="n">
        <x:v>2013</x:v>
      </x:c>
      <x:c r="G502" t="str">
        <x:v>Full Art Holo Ultra Rare</x:v>
      </x:c>
      <x:c r="H502" t="str">
        <x:v>2 of 2</x:v>
      </x:c>
      <x:c r="I502" t="n">
        <x:v>160</x:v>
      </x:c>
      <x:c r="J502" t="n">
        <x:v>210</x:v>
      </x:c>
      <x:c r="K502" t="n">
        <x:v>185</x:v>
      </x:c>
      <x:c r="L502" t="str">
        <x:v>$20+</x:v>
      </x:c>
      <x:c r="M502" t="str">
        <x:v>Yes</x:v>
      </x:c>
      <x:c r="N502" t="str">
        <x:v>Yes</x:v>
      </x:c>
      <x:c r="O502" t="str">
        <x:v>Yes</x:v>
      </x:c>
      <x:c r="P502" t="str">
        <x:v>Clean/NM benchmark unless noted</x:v>
      </x:c>
      <x:c r="Q502" t="n">
        <x:v>160</x:v>
      </x:c>
      <x:c r="R502" t="n">
        <x:v>210</x:v>
      </x:c>
      <x:c r="S502" t="n">
        <x:v>185</x:v>
      </x:c>
      <x:c r="T502" t="str">
        <x:v>Legendary Treasures Radiant Collection Mew-EX RC24/RC25 Full Art, second physical copy. Current market is volatile: TCGplayer market snapshots are roughly $136–173, while many 2026 NM sales tracked by PriceCharting have landed around $175–200+, with some July outliers much higher. Conservative working clean/NM range $160–210.</x:v>
      </x:c>
      <x:c r="U502" t="n">
        <x:v>984</x:v>
      </x:c>
      <x:c r="V502" t="str">
        <x:v>Current chat continuation / researched 2026-08-16</x:v>
      </x:c>
      <x:c r="W502" t="str">
        <x:v>https://www.pricecharting.com/game/pokemon-legendary-treasures/mew-ex-rc24</x:v>
      </x:c>
    </x:row>
    <x:row r="503">
      <x:c r="A503" t="n">
        <x:v>627</x:v>
      </x:c>
      <x:c r="B503" t="str">
        <x:v>EX / Full Art</x:v>
      </x:c>
      <x:c r="C503" t="str">
        <x:v>Ghetsis</x:v>
      </x:c>
      <x:c r="D503" t="str">
        <x:v>115/116</x:v>
      </x:c>
      <x:c r="E503" t="str">
        <x:v>Plasma Freeze</x:v>
      </x:c>
      <x:c r="F503" t="n">
        <x:v>2013</x:v>
      </x:c>
      <x:c r="G503" t="str">
        <x:v>Full Art Holo Ultra Rare (Team Plasma)</x:v>
      </x:c>
      <x:c r="H503" t="str">
        <x:v>1 of 2</x:v>
      </x:c>
      <x:c r="I503" t="n">
        <x:v>65</x:v>
      </x:c>
      <x:c r="J503" t="n">
        <x:v>90</x:v>
      </x:c>
      <x:c r="K503" t="n">
        <x:v>77.5</x:v>
      </x:c>
      <x:c r="L503" t="str">
        <x:v>$20+</x:v>
      </x:c>
      <x:c r="M503" t="str">
        <x:v>Yes</x:v>
      </x:c>
      <x:c r="N503" t="str">
        <x:v>Yes</x:v>
      </x:c>
      <x:c r="O503" t="str">
        <x:v>Yes</x:v>
      </x:c>
      <x:c r="P503" t="str">
        <x:v>Clean/NM benchmark unless noted</x:v>
      </x:c>
      <x:c r="Q503" t="n">
        <x:v>65</x:v>
      </x:c>
      <x:c r="R503" t="n">
        <x:v>90</x:v>
      </x:c>
      <x:c r="S503" t="n">
        <x:v>77.5</x:v>
      </x:c>
      <x:c r="T503" t="str">
        <x:v>Plasma Freeze Ghetsis 115/116 Full Art Team Plasma Ultra Rare. Current TCGplayer market is about $79.87 with most recent sale about $84.99; PriceCharting also shows recent raw sales around $70. Working clean/NM range $65–90.</x:v>
      </x:c>
      <x:c r="U503" t="n">
        <x:v>985</x:v>
      </x:c>
      <x:c r="V503" t="str">
        <x:v>Current chat continuation / researched 2026-08-16</x:v>
      </x:c>
      <x:c r="W503" t="str">
        <x:v>https://www.tcgplayer.com/product/85695/pokemon-plasma-freeze-ghetsis-team-plasma-full-art</x:v>
      </x:c>
    </x:row>
    <x:row r="504">
      <x:c r="A504" t="n">
        <x:v>628</x:v>
      </x:c>
      <x:c r="B504" t="str">
        <x:v>EX / Full Art</x:v>
      </x:c>
      <x:c r="C504" t="str">
        <x:v>Emolga</x:v>
      </x:c>
      <x:c r="D504" t="str">
        <x:v>RC23/RC25</x:v>
      </x:c>
      <x:c r="E504" t="str">
        <x:v>Legendary Treasures: Radiant Collection</x:v>
      </x:c>
      <x:c r="F504" t="n">
        <x:v>2013</x:v>
      </x:c>
      <x:c r="G504" t="str">
        <x:v>Full Art Holo Ultra Rare</x:v>
      </x:c>
      <x:c r="H504" t="str">
        <x:v>1 of 4</x:v>
      </x:c>
      <x:c r="I504" t="n">
        <x:v>45</x:v>
      </x:c>
      <x:c r="J504" t="n">
        <x:v>90</x:v>
      </x:c>
      <x:c r="K504" t="n">
        <x:v>67.5</x:v>
      </x:c>
      <x:c r="L504" t="str">
        <x:v>$20+</x:v>
      </x:c>
      <x:c r="M504" t="str">
        <x:v>Yes</x:v>
      </x:c>
      <x:c r="N504" t="str">
        <x:v>Yes</x:v>
      </x:c>
      <x:c r="O504" t="str">
        <x:v>Yes</x:v>
      </x:c>
      <x:c r="P504" t="str">
        <x:v>Clean/NM benchmark unless noted</x:v>
      </x:c>
      <x:c r="Q504" t="n">
        <x:v>45</x:v>
      </x:c>
      <x:c r="R504" t="n">
        <x:v>90</x:v>
      </x:c>
      <x:c r="S504" t="n">
        <x:v>67.5</x:v>
      </x:c>
      <x:c r="T504" t="str">
        <x:v>Legendary Treasures Radiant Collection Emolga RC23/RC25 Full Art Ultra Rare. PriceCharting currently lists ungraded around $49.39, with a recent TCGplayer NM sale at $89.99; TCGplayer's current NM price-guide figure is around $85.55. Working clean/NM range $45–90.</x:v>
      </x:c>
      <x:c r="U504" t="n">
        <x:v>985</x:v>
      </x:c>
      <x:c r="V504" t="str">
        <x:v>Current chat continuation / researched 2026-08-16</x:v>
      </x:c>
      <x:c r="W504" t="str">
        <x:v>https://www.pricecharting.com/game/pokemon-legendary-treasures/emolga-rc23</x:v>
      </x:c>
    </x:row>
    <x:row r="505">
      <x:c r="A505" t="n">
        <x:v>629</x:v>
      </x:c>
      <x:c r="B505" t="str">
        <x:v>EX / Full Art</x:v>
      </x:c>
      <x:c r="C505" t="str">
        <x:v>Reshiram</x:v>
      </x:c>
      <x:c r="D505" t="str">
        <x:v>RC22/RC25</x:v>
      </x:c>
      <x:c r="E505" t="str">
        <x:v>Legendary Treasures: Radiant Collection</x:v>
      </x:c>
      <x:c r="F505" t="n">
        <x:v>2013</x:v>
      </x:c>
      <x:c r="G505" t="str">
        <x:v>Full Art Holo Ultra Rare</x:v>
      </x:c>
      <x:c r="H505" t="str">
        <x:v>1 of 1</x:v>
      </x:c>
      <x:c r="I505" t="n">
        <x:v>80</x:v>
      </x:c>
      <x:c r="J505" t="n">
        <x:v>150</x:v>
      </x:c>
      <x:c r="K505" t="n">
        <x:v>115</x:v>
      </x:c>
      <x:c r="L505" t="str">
        <x:v>$20+</x:v>
      </x:c>
      <x:c r="M505" t="str">
        <x:v>Yes</x:v>
      </x:c>
      <x:c r="N505" t="str">
        <x:v>Yes</x:v>
      </x:c>
      <x:c r="O505" t="str">
        <x:v>Yes</x:v>
      </x:c>
      <x:c r="P505" t="str">
        <x:v>Clean/NM benchmark unless noted</x:v>
      </x:c>
      <x:c r="Q505" t="n">
        <x:v>80</x:v>
      </x:c>
      <x:c r="R505" t="n">
        <x:v>150</x:v>
      </x:c>
      <x:c r="S505" t="n">
        <x:v>115</x:v>
      </x:c>
      <x:c r="T505" t="str">
        <x:v>Legendary Treasures Radiant Collection Reshiram RC22/RC25 Full Art Ultra Rare. Current TCGplayer price-guide figures are around $170–176, but recent raw sales are highly dispersed, including roughly $60–100 and occasional $175+ sales. Conservative clean/NM range $80–150.</x:v>
      </x:c>
      <x:c r="U505" t="n">
        <x:v>985</x:v>
      </x:c>
      <x:c r="V505" t="str">
        <x:v>Current chat continuation / researched 2026-08-16</x:v>
      </x:c>
      <x:c r="W505" t="str">
        <x:v>https://www.pricecharting.com/game/pokemon-legendary-treasures/reshiram-rc22</x:v>
      </x:c>
    </x:row>
    <x:row r="506">
      <x:c r="A506" t="n">
        <x:v>630</x:v>
      </x:c>
      <x:c r="B506" t="str">
        <x:v>EX / Full Art</x:v>
      </x:c>
      <x:c r="C506" t="str">
        <x:v>Charizard-EX</x:v>
      </x:c>
      <x:c r="D506" t="str">
        <x:v>100/106</x:v>
      </x:c>
      <x:c r="E506" t="str">
        <x:v>XY—Flashfire</x:v>
      </x:c>
      <x:c r="F506" t="n">
        <x:v>2014</x:v>
      </x:c>
      <x:c r="G506" t="str">
        <x:v>Full Art Holo Ultra Rare</x:v>
      </x:c>
      <x:c r="H506" t="str">
        <x:v>1 of 2</x:v>
      </x:c>
      <x:c r="I506" t="n">
        <x:v>100</x:v>
      </x:c>
      <x:c r="J506" t="n">
        <x:v>180</x:v>
      </x:c>
      <x:c r="K506" t="n">
        <x:v>140</x:v>
      </x:c>
      <x:c r="L506" t="str">
        <x:v>$20+</x:v>
      </x:c>
      <x:c r="M506" t="str">
        <x:v>Yes</x:v>
      </x:c>
      <x:c r="N506" t="str">
        <x:v>Yes</x:v>
      </x:c>
      <x:c r="O506" t="str">
        <x:v>Yes</x:v>
      </x:c>
      <x:c r="P506" t="str">
        <x:v>Clean/NM benchmark unless noted</x:v>
      </x:c>
      <x:c r="Q506" t="n">
        <x:v>100</x:v>
      </x:c>
      <x:c r="R506" t="n">
        <x:v>180</x:v>
      </x:c>
      <x:c r="S506" t="n">
        <x:v>140</x:v>
      </x:c>
      <x:c r="T506" t="str">
        <x:v>XY—Flashfire Charizard-EX 100/106 Full Art Ultra Rare. The raw market is unusually volatile: PriceCharting's current ungraded guide is around $117.50 and recent raw sales span roughly $84–250; TCGplayer snapshots have also varied sharply. Conservative working clean/NM range $100–180.</x:v>
      </x:c>
      <x:c r="U506" t="n">
        <x:v>985</x:v>
      </x:c>
      <x:c r="V506" t="str">
        <x:v>Current chat continuation / researched 2026-08-16</x:v>
      </x:c>
      <x:c r="W506" t="str">
        <x:v>https://www.pricecharting.com/game/pokemon-flashfire/charizard-ex-100</x:v>
      </x:c>
    </x:row>
    <x:row r="507">
      <x:c r="A507" t="n">
        <x:v>631</x:v>
      </x:c>
      <x:c r="B507" t="str">
        <x:v>EX / Full Art</x:v>
      </x:c>
      <x:c r="C507" t="str">
        <x:v>Genesect-EX</x:v>
      </x:c>
      <x:c r="D507" t="str">
        <x:v>97/101</x:v>
      </x:c>
      <x:c r="E507" t="str">
        <x:v>Plasma Blast</x:v>
      </x:c>
      <x:c r="F507" t="n">
        <x:v>2013</x:v>
      </x:c>
      <x:c r="G507" t="str">
        <x:v>Full Art Holo Ultra Rare (Team Plasma)</x:v>
      </x:c>
      <x:c r="H507" t="str">
        <x:v>1 of 2</x:v>
      </x:c>
      <x:c r="I507" t="n">
        <x:v>90</x:v>
      </x:c>
      <x:c r="J507" t="n">
        <x:v>160</x:v>
      </x:c>
      <x:c r="K507" t="n">
        <x:v>125</x:v>
      </x:c>
      <x:c r="L507" t="str">
        <x:v>$20+</x:v>
      </x:c>
      <x:c r="M507" t="str">
        <x:v>Yes</x:v>
      </x:c>
      <x:c r="N507" t="str">
        <x:v>Yes</x:v>
      </x:c>
      <x:c r="O507" t="str">
        <x:v>Yes</x:v>
      </x:c>
      <x:c r="P507" t="str">
        <x:v>Clean/NM benchmark unless noted</x:v>
      </x:c>
      <x:c r="Q507" t="n">
        <x:v>90</x:v>
      </x:c>
      <x:c r="R507" t="n">
        <x:v>160</x:v>
      </x:c>
      <x:c r="S507" t="n">
        <x:v>125</x:v>
      </x:c>
      <x:c r="T507" t="str">
        <x:v>Plasma Blast Genesect-EX 97/101 Team Plasma Full Art Ultra Rare. PriceCharting currently lists ungraded around $137.76; recent raw sales vary substantially, from roughly $60 TCGplayer sales to $200+ clean eBay sales. Conservative working clean/NM range $90–160.</x:v>
      </x:c>
      <x:c r="U507" t="n">
        <x:v>985</x:v>
      </x:c>
      <x:c r="V507" t="str">
        <x:v>Current chat continuation / researched 2026-08-16</x:v>
      </x:c>
      <x:c r="W507" t="str">
        <x:v>https://www.pricecharting.com/game/pokemon-plasma-blast/genesect-ex-97</x:v>
      </x:c>
    </x:row>
    <x:row r="508">
      <x:c r="A508" t="n">
        <x:v>632</x:v>
      </x:c>
      <x:c r="B508" t="str">
        <x:v>EX / Full Art</x:v>
      </x:c>
      <x:c r="C508" t="str">
        <x:v>White Kyurem-EX</x:v>
      </x:c>
      <x:c r="D508" t="str">
        <x:v>146/149</x:v>
      </x:c>
      <x:c r="E508" t="str">
        <x:v>Boundaries Crossed</x:v>
      </x:c>
      <x:c r="F508" t="n">
        <x:v>2012</x:v>
      </x:c>
      <x:c r="G508" t="str">
        <x:v>Full Art Holo Ultra Rare</x:v>
      </x:c>
      <x:c r="H508" t="str">
        <x:v>1 of 2</x:v>
      </x:c>
      <x:c r="I508" t="n">
        <x:v>150</x:v>
      </x:c>
      <x:c r="J508" t="n">
        <x:v>225</x:v>
      </x:c>
      <x:c r="K508" t="n">
        <x:v>187.5</x:v>
      </x:c>
      <x:c r="L508" t="str">
        <x:v>$20+</x:v>
      </x:c>
      <x:c r="M508" t="str">
        <x:v>Yes</x:v>
      </x:c>
      <x:c r="N508" t="str">
        <x:v>Yes</x:v>
      </x:c>
      <x:c r="O508" t="str">
        <x:v>Yes</x:v>
      </x:c>
      <x:c r="P508" t="str">
        <x:v>Clean/NM benchmark unless noted</x:v>
      </x:c>
      <x:c r="Q508" t="n">
        <x:v>150</x:v>
      </x:c>
      <x:c r="R508" t="n">
        <x:v>225</x:v>
      </x:c>
      <x:c r="S508" t="n">
        <x:v>187.5</x:v>
      </x:c>
      <x:c r="T508" t="str">
        <x:v>Boundaries Crossed White Kyurem-EX 146/149 Full Art Ultra Rare, first physical copy. PriceCharting current ungraded guide is about $163.49; recent raw sales include roughly $150, $200, and $225, with some higher outliers. Working clean/NM range $150–225.</x:v>
      </x:c>
      <x:c r="U508" t="n">
        <x:v>986</x:v>
      </x:c>
      <x:c r="V508" t="str">
        <x:v>Current chat continuation / researched 2026-08-16</x:v>
      </x:c>
      <x:c r="W508" t="str">
        <x:v>https://www.pricecharting.com/game/pokemon-boundaries-crossed/white-kyurem-ex-146</x:v>
      </x:c>
    </x:row>
    <x:row r="509">
      <x:c r="A509" t="n">
        <x:v>633</x:v>
      </x:c>
      <x:c r="B509" t="str">
        <x:v>EX / Full Art</x:v>
      </x:c>
      <x:c r="C509" t="str">
        <x:v>White Kyurem-EX</x:v>
      </x:c>
      <x:c r="D509" t="str">
        <x:v>146/149</x:v>
      </x:c>
      <x:c r="E509" t="str">
        <x:v>Boundaries Crossed</x:v>
      </x:c>
      <x:c r="F509" t="n">
        <x:v>2012</x:v>
      </x:c>
      <x:c r="G509" t="str">
        <x:v>Full Art Holo Ultra Rare</x:v>
      </x:c>
      <x:c r="H509" t="str">
        <x:v>2 of 2</x:v>
      </x:c>
      <x:c r="I509" t="n">
        <x:v>150</x:v>
      </x:c>
      <x:c r="J509" t="n">
        <x:v>225</x:v>
      </x:c>
      <x:c r="K509" t="n">
        <x:v>187.5</x:v>
      </x:c>
      <x:c r="L509" t="str">
        <x:v>$20+</x:v>
      </x:c>
      <x:c r="M509" t="str">
        <x:v>Yes</x:v>
      </x:c>
      <x:c r="N509" t="str">
        <x:v>Yes</x:v>
      </x:c>
      <x:c r="O509" t="str">
        <x:v>Yes</x:v>
      </x:c>
      <x:c r="P509" t="str">
        <x:v>Clean/NM benchmark unless noted</x:v>
      </x:c>
      <x:c r="Q509" t="n">
        <x:v>150</x:v>
      </x:c>
      <x:c r="R509" t="n">
        <x:v>225</x:v>
      </x:c>
      <x:c r="S509" t="n">
        <x:v>187.5</x:v>
      </x:c>
      <x:c r="T509" t="str">
        <x:v>Second physical copy of Boundaries Crossed White Kyurem-EX 146/149 Full Art Ultra Rare. PriceCharting current ungraded guide is about $163.49; recent raw sales include roughly $150, $200, and $225, with some higher outliers. Working clean/NM range $150–225.</x:v>
      </x:c>
      <x:c r="U509" t="n">
        <x:v>986</x:v>
      </x:c>
      <x:c r="V509" t="str">
        <x:v>Current chat continuation / researched 2026-08-16</x:v>
      </x:c>
      <x:c r="W509" t="str">
        <x:v>https://www.pricecharting.com/game/pokemon-boundaries-crossed/white-kyurem-ex-146</x:v>
      </x:c>
    </x:row>
    <x:row r="510">
      <x:c r="A510" t="n">
        <x:v>634</x:v>
      </x:c>
      <x:c r="B510" t="str">
        <x:v>EX / Full Art</x:v>
      </x:c>
      <x:c r="C510" t="str">
        <x:v>Thundurus</x:v>
      </x:c>
      <x:c r="D510" t="str">
        <x:v>97/98</x:v>
      </x:c>
      <x:c r="E510" t="str">
        <x:v>Emerging Powers</x:v>
      </x:c>
      <x:c r="F510" t="n">
        <x:v>2011</x:v>
      </x:c>
      <x:c r="G510" t="str">
        <x:v>Full Art Holo Ultra Rare</x:v>
      </x:c>
      <x:c r="H510" t="str">
        <x:v>1 of 1</x:v>
      </x:c>
      <x:c r="I510" t="n">
        <x:v>20</x:v>
      </x:c>
      <x:c r="J510" t="n">
        <x:v>28</x:v>
      </x:c>
      <x:c r="K510" t="n">
        <x:v>24</x:v>
      </x:c>
      <x:c r="L510" t="str">
        <x:v>$20+</x:v>
      </x:c>
      <x:c r="M510" t="str">
        <x:v>Yes</x:v>
      </x:c>
      <x:c r="N510" t="str">
        <x:v>Yes</x:v>
      </x:c>
      <x:c r="O510" t="str">
        <x:v>Yes</x:v>
      </x:c>
      <x:c r="P510" t="str">
        <x:v>Clean/NM benchmark unless noted</x:v>
      </x:c>
      <x:c r="Q510" t="n">
        <x:v>20</x:v>
      </x:c>
      <x:c r="R510" t="n">
        <x:v>28</x:v>
      </x:c>
      <x:c r="S510" t="n">
        <x:v>24</x:v>
      </x:c>
      <x:c r="T510" t="str">
        <x:v>Emerging Powers Thundurus 97/98 Full Art Ultra Rare. Recent 2026 TCGplayer Near Mint sales are mostly about $19.55–27.28; PriceCharting current ungraded guide is about $19. Working clean/NM range $20–28.</x:v>
      </x:c>
      <x:c r="U510" t="n">
        <x:v>986</x:v>
      </x:c>
      <x:c r="V510" t="str">
        <x:v>Current chat continuation / researched 2026-08-16</x:v>
      </x:c>
      <x:c r="W510" t="str">
        <x:v>https://www.pricecharting.com/game/pokemon-emerging-powers/thundurus-97</x:v>
      </x:c>
    </x:row>
    <x:row r="511">
      <x:c r="A511" t="n">
        <x:v>635</x:v>
      </x:c>
      <x:c r="B511" t="str">
        <x:v>EX / Full Art</x:v>
      </x:c>
      <x:c r="C511" t="str">
        <x:v>Zekrom</x:v>
      </x:c>
      <x:c r="D511" t="str">
        <x:v>114/114</x:v>
      </x:c>
      <x:c r="E511" t="str">
        <x:v>Black &amp; White</x:v>
      </x:c>
      <x:c r="F511" t="n">
        <x:v>2011</x:v>
      </x:c>
      <x:c r="G511" t="str">
        <x:v>Full Art Holo Ultra Rare</x:v>
      </x:c>
      <x:c r="H511" t="str">
        <x:v>1 of 4</x:v>
      </x:c>
      <x:c r="I511" t="n">
        <x:v>90</x:v>
      </x:c>
      <x:c r="J511" t="n">
        <x:v>180</x:v>
      </x:c>
      <x:c r="K511" t="n">
        <x:v>135</x:v>
      </x:c>
      <x:c r="L511" t="str">
        <x:v>$20+</x:v>
      </x:c>
      <x:c r="M511" t="str">
        <x:v>Yes</x:v>
      </x:c>
      <x:c r="N511" t="str">
        <x:v>Yes</x:v>
      </x:c>
      <x:c r="O511" t="str">
        <x:v>Yes</x:v>
      </x:c>
      <x:c r="P511" t="str">
        <x:v>Clean/NM benchmark unless noted</x:v>
      </x:c>
      <x:c r="Q511" t="n">
        <x:v>90</x:v>
      </x:c>
      <x:c r="R511" t="n">
        <x:v>180</x:v>
      </x:c>
      <x:c r="S511" t="n">
        <x:v>135</x:v>
      </x:c>
      <x:c r="T511" t="str">
        <x:v>Black &amp; White Zekrom 114/114 Full Art Ultra Rare. PriceCharting current ungraded guide is about $89.93; recent raw sales range from roughly $55–100 for played/average copies to about $178 for NM. Working clean/NM range $90–180.</x:v>
      </x:c>
      <x:c r="U511" t="n">
        <x:v>986</x:v>
      </x:c>
      <x:c r="V511" t="str">
        <x:v>Current chat continuation / researched 2026-08-16</x:v>
      </x:c>
      <x:c r="W511" t="str">
        <x:v>https://www.pricecharting.com/game/pokemon-black-%26-white/zekrom-114</x:v>
      </x:c>
    </x:row>
    <x:row r="512">
      <x:c r="A512" t="n">
        <x:v>636</x:v>
      </x:c>
      <x:c r="B512" t="str">
        <x:v>LEGEND / Special</x:v>
      </x:c>
      <x:c r="C512" t="str">
        <x:v>Palkia &amp; Dialga LEGEND</x:v>
      </x:c>
      <x:c r="D512" t="str">
        <x:v>101/102</x:v>
      </x:c>
      <x:c r="E512" t="str">
        <x:v>HS—Triumphant</x:v>
      </x:c>
      <x:c r="F512" t="n">
        <x:v>2010</x:v>
      </x:c>
      <x:c r="G512" t="str">
        <x:v>LEGEND Top Half Holo Ultra Rare</x:v>
      </x:c>
      <x:c r="H512" t="str">
        <x:v>1 of 2</x:v>
      </x:c>
      <x:c r="I512" t="n">
        <x:v>100</x:v>
      </x:c>
      <x:c r="J512" t="n">
        <x:v>140</x:v>
      </x:c>
      <x:c r="K512" t="n">
        <x:v>120</x:v>
      </x:c>
      <x:c r="L512" t="str">
        <x:v>$20+</x:v>
      </x:c>
      <x:c r="M512" t="str">
        <x:v>Yes</x:v>
      </x:c>
      <x:c r="N512" t="str">
        <x:v>Yes</x:v>
      </x:c>
      <x:c r="O512" t="str">
        <x:v>Yes</x:v>
      </x:c>
      <x:c r="P512" t="str">
        <x:v>Clean/NM benchmark unless noted</x:v>
      </x:c>
      <x:c r="Q512" t="n">
        <x:v>100</x:v>
      </x:c>
      <x:c r="R512" t="n">
        <x:v>140</x:v>
      </x:c>
      <x:c r="S512" t="n">
        <x:v>120</x:v>
      </x:c>
      <x:c r="T512" t="str">
        <x:v>HS—Triumphant Palkia &amp; Dialga LEGEND 101/102 top half. PriceCharting current ungraded guide is about $115.68; recent raw sales include about $100–107.50, while recent TCGplayer NM sales were $124.99–140. Working clean/NM range $100–140.</x:v>
      </x:c>
      <x:c r="U512" t="n">
        <x:v>986</x:v>
      </x:c>
      <x:c r="V512" t="str">
        <x:v>Current chat continuation / researched 2026-08-16</x:v>
      </x:c>
      <x:c r="W512" t="str">
        <x:v>https://www.pricecharting.com/game/pokemon-triumphant/palkia-%26-dialga-legend-101</x:v>
      </x:c>
    </x:row>
    <x:row r="513">
      <x:c r="A513" t="n">
        <x:v>637</x:v>
      </x:c>
      <x:c r="B513" t="str">
        <x:v>EX / Full Art</x:v>
      </x:c>
      <x:c r="C513" t="str">
        <x:v>Primal Kyogre-EX</x:v>
      </x:c>
      <x:c r="D513" t="str">
        <x:v>96/98</x:v>
      </x:c>
      <x:c r="E513" t="str">
        <x:v>Ancient Origins</x:v>
      </x:c>
      <x:c r="F513" t="n">
        <x:v>2015</x:v>
      </x:c>
      <x:c r="G513" t="str">
        <x:v>Shiny Full Art Holo Secret Rare</x:v>
      </x:c>
      <x:c r="H513" t="str">
        <x:v>1 of 2</x:v>
      </x:c>
      <x:c r="I513" t="n">
        <x:v>180</x:v>
      </x:c>
      <x:c r="J513" t="n">
        <x:v>450</x:v>
      </x:c>
      <x:c r="K513" t="n">
        <x:v>315</x:v>
      </x:c>
      <x:c r="L513" t="str">
        <x:v>$20+</x:v>
      </x:c>
      <x:c r="M513" t="str">
        <x:v>Yes</x:v>
      </x:c>
      <x:c r="N513" t="str">
        <x:v>Yes</x:v>
      </x:c>
      <x:c r="O513" t="str">
        <x:v>Yes</x:v>
      </x:c>
      <x:c r="P513" t="str">
        <x:v>Clean/NM benchmark unless noted</x:v>
      </x:c>
      <x:c r="Q513" t="n">
        <x:v>180</x:v>
      </x:c>
      <x:c r="R513" t="n">
        <x:v>450</x:v>
      </x:c>
      <x:c r="S513" t="n">
        <x:v>315</x:v>
      </x:c>
      <x:c r="T513" t="str">
        <x:v>Ancient Origins Primal Kyogre-EX 96/98 Shiny Full Art Secret Rare. Current PriceCharting ungraded guide is about $183.28, but recent 2026 Near Mint/raw sales have reached roughly $300–450+; condition drives this card very heavily. Working clean/NM range intentionally wide at $180–450 pending inspection.</x:v>
      </x:c>
      <x:c r="U513" t="n">
        <x:v>986</x:v>
      </x:c>
      <x:c r="V513" t="str">
        <x:v>Current chat continuation / researched 2026-08-16</x:v>
      </x:c>
      <x:c r="W513" t="str">
        <x:v>https://www.pricecharting.com/game/pokemon-ancient-origins/primal-kyogre-ex-96</x:v>
      </x:c>
    </x:row>
    <x:row r="514">
      <x:c r="A514" t="n">
        <x:v>638</x:v>
      </x:c>
      <x:c r="B514" t="str">
        <x:v>EX / Full Art</x:v>
      </x:c>
      <x:c r="C514" t="str">
        <x:v>Shaymin-EX</x:v>
      </x:c>
      <x:c r="D514" t="str">
        <x:v>RC21/RC25</x:v>
      </x:c>
      <x:c r="E514" t="str">
        <x:v>Legendary Treasures: Radiant Collection</x:v>
      </x:c>
      <x:c r="F514" t="n">
        <x:v>2013</x:v>
      </x:c>
      <x:c r="G514" t="str">
        <x:v>Full Art Holo Ultra Rare</x:v>
      </x:c>
      <x:c r="H514" t="str">
        <x:v>1 of 1</x:v>
      </x:c>
      <x:c r="I514" t="n">
        <x:v>30</x:v>
      </x:c>
      <x:c r="J514" t="n">
        <x:v>45</x:v>
      </x:c>
      <x:c r="K514" t="n">
        <x:v>37.5</x:v>
      </x:c>
      <x:c r="L514" t="str">
        <x:v>$20+</x:v>
      </x:c>
      <x:c r="M514" t="str">
        <x:v>Yes</x:v>
      </x:c>
      <x:c r="N514" t="str">
        <x:v>Yes</x:v>
      </x:c>
      <x:c r="O514" t="str">
        <x:v>Yes</x:v>
      </x:c>
      <x:c r="P514" t="str">
        <x:v>Clean/NM benchmark unless noted</x:v>
      </x:c>
      <x:c r="Q514" t="n">
        <x:v>30</x:v>
      </x:c>
      <x:c r="R514" t="n">
        <x:v>45</x:v>
      </x:c>
      <x:c r="S514" t="n">
        <x:v>37.5</x:v>
      </x:c>
      <x:c r="T514" t="str">
        <x:v>Legendary Treasures Radiant Collection Shaymin-EX RC21/RC25 Full Art. PriceCharting current ungraded guide is about $34.97. Working clean/NM range $30–45.</x:v>
      </x:c>
      <x:c r="U514" t="n">
        <x:v>986</x:v>
      </x:c>
      <x:c r="V514" t="str">
        <x:v>Current chat continuation / researched 2026-08-16</x:v>
      </x:c>
      <x:c r="W514" t="str">
        <x:v>https://www.pricecharting.com/game/pokemon-legendary-treasures/shaymin-ex-rc21</x:v>
      </x:c>
    </x:row>
    <x:row r="515">
      <x:c r="A515" t="n">
        <x:v>639</x:v>
      </x:c>
      <x:c r="B515" t="str">
        <x:v>EX / Full Art</x:v>
      </x:c>
      <x:c r="C515" t="str">
        <x:v>Terrakion</x:v>
      </x:c>
      <x:c r="D515" t="str">
        <x:v>99/101</x:v>
      </x:c>
      <x:c r="E515" t="str">
        <x:v>Noble Victories</x:v>
      </x:c>
      <x:c r="F515" t="n">
        <x:v>2011</x:v>
      </x:c>
      <x:c r="G515" t="str">
        <x:v>Full Art Holo Ultra Rare</x:v>
      </x:c>
      <x:c r="H515" t="str">
        <x:v>1 of 1</x:v>
      </x:c>
      <x:c r="I515" t="n">
        <x:v>30</x:v>
      </x:c>
      <x:c r="J515" t="n">
        <x:v>45</x:v>
      </x:c>
      <x:c r="K515" t="n">
        <x:v>37.5</x:v>
      </x:c>
      <x:c r="L515" t="str">
        <x:v>$20+</x:v>
      </x:c>
      <x:c r="M515" t="str">
        <x:v>Yes</x:v>
      </x:c>
      <x:c r="N515" t="str">
        <x:v>Yes</x:v>
      </x:c>
      <x:c r="O515" t="str">
        <x:v>Yes</x:v>
      </x:c>
      <x:c r="P515" t="str">
        <x:v>Clean/NM benchmark unless noted</x:v>
      </x:c>
      <x:c r="Q515" t="n">
        <x:v>30</x:v>
      </x:c>
      <x:c r="R515" t="n">
        <x:v>45</x:v>
      </x:c>
      <x:c r="S515" t="n">
        <x:v>37.5</x:v>
      </x:c>
      <x:c r="T515" t="str">
        <x:v>Noble Victories Terrakion 99/101 Full Art Ultra Rare. PriceCharting current ungraded guide is about $37.90. Working clean/NM range $30–45.</x:v>
      </x:c>
      <x:c r="U515" t="n">
        <x:v>986</x:v>
      </x:c>
      <x:c r="V515" t="str">
        <x:v>Current chat continuation / researched 2026-08-16</x:v>
      </x:c>
      <x:c r="W515" t="str">
        <x:v>https://www.pricecharting.com/game/pokemon-noble-victories/terrakion-99</x:v>
      </x:c>
    </x:row>
    <x:row r="516">
      <x:c r="A516" t="n">
        <x:v>640</x:v>
      </x:c>
      <x:c r="B516" t="str">
        <x:v>EX / Full Art</x:v>
      </x:c>
      <x:c r="C516" t="str">
        <x:v>Cresselia-EX</x:v>
      </x:c>
      <x:c r="D516" t="str">
        <x:v>143/149</x:v>
      </x:c>
      <x:c r="E516" t="str">
        <x:v>Boundaries Crossed</x:v>
      </x:c>
      <x:c r="F516" t="n">
        <x:v>2012</x:v>
      </x:c>
      <x:c r="G516" t="str">
        <x:v>Full Art Holo Ultra Rare</x:v>
      </x:c>
      <x:c r="H516" t="str">
        <x:v>1 of 2</x:v>
      </x:c>
      <x:c r="I516" t="n">
        <x:v>60</x:v>
      </x:c>
      <x:c r="J516" t="n">
        <x:v>110</x:v>
      </x:c>
      <x:c r="K516" t="n">
        <x:v>85</x:v>
      </x:c>
      <x:c r="L516" t="str">
        <x:v>$20+</x:v>
      </x:c>
      <x:c r="M516" t="str">
        <x:v>Yes</x:v>
      </x:c>
      <x:c r="N516" t="str">
        <x:v>Yes</x:v>
      </x:c>
      <x:c r="O516" t="str">
        <x:v>Yes</x:v>
      </x:c>
      <x:c r="P516" t="str">
        <x:v>Clean/NM benchmark unless noted</x:v>
      </x:c>
      <x:c r="Q516" t="n">
        <x:v>60</x:v>
      </x:c>
      <x:c r="R516" t="n">
        <x:v>110</x:v>
      </x:c>
      <x:c r="S516" t="n">
        <x:v>85</x:v>
      </x:c>
      <x:c r="T516" t="str">
        <x:v>Boundaries Crossed Cresselia-EX 143/149 Full Art Ultra Rare. Current PriceCharting ungraded guide is about $60, while TCGplayer market is around $108 and recent raw sales include roughly $60–110. Working clean/NM range $60–110.</x:v>
      </x:c>
      <x:c r="U516" t="n">
        <x:v>987</x:v>
      </x:c>
      <x:c r="V516" t="str">
        <x:v>Current chat continuation / researched 2026-08-16</x:v>
      </x:c>
      <x:c r="W516" t="str">
        <x:v>https://www.pricecharting.com/game/pokemon-boundaries-crossed/cresselia-ex-143</x:v>
      </x:c>
    </x:row>
    <x:row r="517">
      <x:c r="A517" t="n">
        <x:v>641</x:v>
      </x:c>
      <x:c r="B517" t="str">
        <x:v>EX / Full Art</x:v>
      </x:c>
      <x:c r="C517" t="str">
        <x:v>Meloetta-EX</x:v>
      </x:c>
      <x:c r="D517" t="str">
        <x:v>RC25/RC25</x:v>
      </x:c>
      <x:c r="E517" t="str">
        <x:v>Legendary Treasures: Radiant Collection</x:v>
      </x:c>
      <x:c r="F517" t="n">
        <x:v>2013</x:v>
      </x:c>
      <x:c r="G517" t="str">
        <x:v>Full Art Holo Ultra Rare</x:v>
      </x:c>
      <x:c r="H517" t="str">
        <x:v>1 of 1</x:v>
      </x:c>
      <x:c r="I517" t="n">
        <x:v>30</x:v>
      </x:c>
      <x:c r="J517" t="n">
        <x:v>45</x:v>
      </x:c>
      <x:c r="K517" t="n">
        <x:v>37.5</x:v>
      </x:c>
      <x:c r="L517" t="str">
        <x:v>$20+</x:v>
      </x:c>
      <x:c r="M517" t="str">
        <x:v>Yes</x:v>
      </x:c>
      <x:c r="N517" t="str">
        <x:v>Yes</x:v>
      </x:c>
      <x:c r="O517" t="str">
        <x:v>Yes</x:v>
      </x:c>
      <x:c r="P517" t="str">
        <x:v>Clean/NM benchmark unless noted</x:v>
      </x:c>
      <x:c r="Q517" t="n">
        <x:v>30</x:v>
      </x:c>
      <x:c r="R517" t="n">
        <x:v>45</x:v>
      </x:c>
      <x:c r="S517" t="n">
        <x:v>37.5</x:v>
      </x:c>
      <x:c r="T517" t="str">
        <x:v>Legendary Treasures Radiant Collection Meloetta-EX RC25/RC25 Full Art. Current TCGplayer market is about $39–40; recent NM TCGplayer sales are commonly about $35–49. Working clean/NM range $30–45.</x:v>
      </x:c>
      <x:c r="U517" t="n">
        <x:v>987</x:v>
      </x:c>
      <x:c r="V517" t="str">
        <x:v>Current chat continuation / researched 2026-08-16</x:v>
      </x:c>
      <x:c r="W517" t="str">
        <x:v>https://www.pricecharting.com/game/pokemon-legendary-treasures/meloetta-ex-rc25</x:v>
      </x:c>
    </x:row>
    <x:row r="518">
      <x:c r="A518" t="n">
        <x:v>642</x:v>
      </x:c>
      <x:c r="B518" t="str">
        <x:v>EX / Full Art</x:v>
      </x:c>
      <x:c r="C518" t="str">
        <x:v>Landorus</x:v>
      </x:c>
      <x:c r="D518" t="str">
        <x:v>BW43</x:v>
      </x:c>
      <x:c r="E518" t="str">
        <x:v>BW Black Star Promos</x:v>
      </x:c>
      <x:c r="F518" t="n">
        <x:v>2012</x:v>
      </x:c>
      <x:c r="G518" t="str">
        <x:v>Full Art Holo Promo</x:v>
      </x:c>
      <x:c r="H518" t="str">
        <x:v>1 of 2</x:v>
      </x:c>
      <x:c r="I518" t="n">
        <x:v>15</x:v>
      </x:c>
      <x:c r="J518" t="n">
        <x:v>35</x:v>
      </x:c>
      <x:c r="K518" t="n">
        <x:v>25</x:v>
      </x:c>
      <x:c r="L518" t="str">
        <x:v>$20+</x:v>
      </x:c>
      <x:c r="M518" t="str">
        <x:v>Yes</x:v>
      </x:c>
      <x:c r="N518" t="str">
        <x:v>Yes</x:v>
      </x:c>
      <x:c r="O518" t="str">
        <x:v>Yes</x:v>
      </x:c>
      <x:c r="P518" t="str">
        <x:v>Clean/NM benchmark unless noted</x:v>
      </x:c>
      <x:c r="Q518" t="n">
        <x:v>15</x:v>
      </x:c>
      <x:c r="R518" t="n">
        <x:v>35</x:v>
      </x:c>
      <x:c r="S518" t="n">
        <x:v>25</x:v>
      </x:c>
      <x:c r="T518" t="str">
        <x:v>Landorus BW43 Black &amp; White Black Star Promo full-art holo, first physical copy. PriceCharting ungraded is about $13.70, TCGplayer market is about $35.9, and recent NM/raw sales include roughly $15–28. Working clean/NM range $15–35.</x:v>
      </x:c>
      <x:c r="U518" t="n">
        <x:v>987</x:v>
      </x:c>
      <x:c r="V518" t="str">
        <x:v>Current chat continuation / researched 2026-08-16</x:v>
      </x:c>
      <x:c r="W518" t="str">
        <x:v>https://www.pricecharting.com/game/pokemon-promo/landorus-bw43</x:v>
      </x:c>
    </x:row>
    <x:row r="519">
      <x:c r="A519" t="n">
        <x:v>643</x:v>
      </x:c>
      <x:c r="B519" t="str">
        <x:v>LEGEND / Special</x:v>
      </x:c>
      <x:c r="C519" t="str">
        <x:v>Suicune &amp; Entei LEGEND</x:v>
      </x:c>
      <x:c r="D519" t="str">
        <x:v>95/95</x:v>
      </x:c>
      <x:c r="E519" t="str">
        <x:v>HS—Unleashed</x:v>
      </x:c>
      <x:c r="F519" t="n">
        <x:v>2010</x:v>
      </x:c>
      <x:c r="G519" t="str">
        <x:v>LEGEND Bottom Half Holo Ultra Rare</x:v>
      </x:c>
      <x:c r="H519" t="str">
        <x:v>1 of 2</x:v>
      </x:c>
      <x:c r="I519" t="n">
        <x:v>90</x:v>
      </x:c>
      <x:c r="J519" t="n">
        <x:v>130</x:v>
      </x:c>
      <x:c r="K519" t="n">
        <x:v>110</x:v>
      </x:c>
      <x:c r="L519" t="str">
        <x:v>$20+</x:v>
      </x:c>
      <x:c r="M519" t="str">
        <x:v>Yes</x:v>
      </x:c>
      <x:c r="N519" t="str">
        <x:v>Yes</x:v>
      </x:c>
      <x:c r="O519" t="str">
        <x:v>Yes</x:v>
      </x:c>
      <x:c r="P519" t="str">
        <x:v>Bad condition / user specifically reports poor condition</x:v>
      </x:c>
      <x:c r="Q519" t="n">
        <x:v>40</x:v>
      </x:c>
      <x:c r="R519" t="n">
        <x:v>85</x:v>
      </x:c>
      <x:c r="S519" t="n">
        <x:v>62.5</x:v>
      </x:c>
      <x:c r="T519" t="str">
        <x:v>HS—Unleashed Suicune &amp; Entei LEGEND 95/95 bottom half. Clean benchmark is roughly $90–130; current PriceCharting ungraded guide is about $91.50 and recent clean/LP sales commonly range around $70–125+. User reports this copy is in bad condition, so provisional as-is range is $40–85 pending photos.</x:v>
      </x:c>
      <x:c r="U519" t="n">
        <x:v>987</x:v>
      </x:c>
      <x:c r="V519" t="str">
        <x:v>Current chat continuation / condition-adjusted 2026-08-16</x:v>
      </x:c>
      <x:c r="W519" t="str">
        <x:v>https://www.pricecharting.com/game/pokemon-unleashed/suicune-%26-entei-legend-95</x:v>
      </x:c>
    </x:row>
    <x:row r="520">
      <x:c r="A520" t="n">
        <x:v>644</x:v>
      </x:c>
      <x:c r="B520" t="str">
        <x:v>LEGEND / Special</x:v>
      </x:c>
      <x:c r="C520" t="str">
        <x:v>Suicune &amp; Entei LEGEND</x:v>
      </x:c>
      <x:c r="D520" t="str">
        <x:v>95/95</x:v>
      </x:c>
      <x:c r="E520" t="str">
        <x:v>World Championships 2011</x:v>
      </x:c>
      <x:c r="F520" t="n">
        <x:v>2011</x:v>
      </x:c>
      <x:c r="G520" t="str">
        <x:v>World Championships — Ross Cawthon / The Truth (Bottom Half)</x:v>
      </x:c>
      <x:c r="H520" t="str">
        <x:v>1 of 1</x:v>
      </x:c>
      <x:c r="I520" t="n">
        <x:v>20</x:v>
      </x:c>
      <x:c r="J520" t="n">
        <x:v>30</x:v>
      </x:c>
      <x:c r="K520" t="n">
        <x:v>25</x:v>
      </x:c>
      <x:c r="L520" t="str">
        <x:v>$20+</x:v>
      </x:c>
      <x:c r="M520" t="str">
        <x:v>Yes</x:v>
      </x:c>
      <x:c r="N520" t="str">
        <x:v>Yes</x:v>
      </x:c>
      <x:c r="O520" t="str">
        <x:v>Yes</x:v>
      </x:c>
      <x:c r="P520" t="str">
        <x:v>Looks very good per user</x:v>
      </x:c>
      <x:c r="Q520" t="n">
        <x:v>20</x:v>
      </x:c>
      <x:c r="R520" t="n">
        <x:v>30</x:v>
      </x:c>
      <x:c r="S520" t="n">
        <x:v>25</x:v>
      </x:c>
      <x:c r="T520" t="str">
        <x:v>2011 World Championships Ross Cawthon ('The Truth') Suicune &amp; Entei LEGEND 95/95 bottom half. TCGplayer market is currently about $24.8–25.7. User says this copy looks really good, so working as-is/clean range is $20–30.</x:v>
      </x:c>
      <x:c r="U520" t="n">
        <x:v>987</x:v>
      </x:c>
      <x:c r="V520" t="str">
        <x:v>Current chat continuation / researched 2026-08-16</x:v>
      </x:c>
      <x:c r="W520" t="str">
        <x:v>https://www.tcgplayer.com/search/pokemon/product?q=Suicune+%26+Entei+LEGEND&amp;view=grid</x:v>
      </x:c>
    </x:row>
    <x:row r="521">
      <x:c r="A521" t="n">
        <x:v>645</x:v>
      </x:c>
      <x:c r="B521" t="str">
        <x:v>EX / Full Art</x:v>
      </x:c>
      <x:c r="C521" t="str">
        <x:v>Zekrom</x:v>
      </x:c>
      <x:c r="D521" t="str">
        <x:v>114/114</x:v>
      </x:c>
      <x:c r="E521" t="str">
        <x:v>Black &amp; White</x:v>
      </x:c>
      <x:c r="F521" t="n">
        <x:v>2011</x:v>
      </x:c>
      <x:c r="G521" t="str">
        <x:v>Full Art Holo Ultra Rare</x:v>
      </x:c>
      <x:c r="H521" t="str">
        <x:v>2 of 4</x:v>
      </x:c>
      <x:c r="I521" t="n">
        <x:v>90</x:v>
      </x:c>
      <x:c r="J521" t="n">
        <x:v>180</x:v>
      </x:c>
      <x:c r="K521" t="n">
        <x:v>135</x:v>
      </x:c>
      <x:c r="L521" t="str">
        <x:v>$20+</x:v>
      </x:c>
      <x:c r="M521" t="str">
        <x:v>Yes</x:v>
      </x:c>
      <x:c r="N521" t="str">
        <x:v>Yes</x:v>
      </x:c>
      <x:c r="O521" t="str">
        <x:v>Yes</x:v>
      </x:c>
      <x:c r="P521" t="str">
        <x:v>Clean/NM benchmark unless noted</x:v>
      </x:c>
      <x:c r="Q521" t="n">
        <x:v>90</x:v>
      </x:c>
      <x:c r="R521" t="n">
        <x:v>180</x:v>
      </x:c>
      <x:c r="S521" t="n">
        <x:v>135</x:v>
      </x:c>
      <x:c r="T521" t="str">
        <x:v>Second physical copy of Black &amp; White Zekrom 114/114 Full Art Ultra Rare. PriceCharting current ungraded guide is about $89.93; recent raw sales range widely and clean/NM copies can approach $180. Working clean/NM range $90–180.</x:v>
      </x:c>
      <x:c r="U521" t="n">
        <x:v>987</x:v>
      </x:c>
      <x:c r="V521" t="str">
        <x:v>Current chat continuation / researched 2026-08-16</x:v>
      </x:c>
      <x:c r="W521" t="str">
        <x:v>https://www.pricecharting.com/game/pokemon-black-%26-white/zekrom-114</x:v>
      </x:c>
    </x:row>
    <x:row r="522">
      <x:c r="A522" t="n">
        <x:v>646</x:v>
      </x:c>
      <x:c r="B522" t="str">
        <x:v>EX / Full Art</x:v>
      </x:c>
      <x:c r="C522" t="str">
        <x:v>Landorus</x:v>
      </x:c>
      <x:c r="D522" t="str">
        <x:v>BW43</x:v>
      </x:c>
      <x:c r="E522" t="str">
        <x:v>BW Black Star Promos</x:v>
      </x:c>
      <x:c r="F522" t="n">
        <x:v>2012</x:v>
      </x:c>
      <x:c r="G522" t="str">
        <x:v>Full Art Holo Promo</x:v>
      </x:c>
      <x:c r="H522" t="str">
        <x:v>2 of 2</x:v>
      </x:c>
      <x:c r="I522" t="n">
        <x:v>15</x:v>
      </x:c>
      <x:c r="J522" t="n">
        <x:v>35</x:v>
      </x:c>
      <x:c r="K522" t="n">
        <x:v>25</x:v>
      </x:c>
      <x:c r="L522" t="str">
        <x:v>$20+</x:v>
      </x:c>
      <x:c r="M522" t="str">
        <x:v>Yes</x:v>
      </x:c>
      <x:c r="N522" t="str">
        <x:v>Yes</x:v>
      </x:c>
      <x:c r="O522" t="str">
        <x:v>Yes</x:v>
      </x:c>
      <x:c r="P522" t="str">
        <x:v>Clean/NM benchmark unless noted</x:v>
      </x:c>
      <x:c r="Q522" t="n">
        <x:v>15</x:v>
      </x:c>
      <x:c r="R522" t="n">
        <x:v>35</x:v>
      </x:c>
      <x:c r="S522" t="n">
        <x:v>25</x:v>
      </x:c>
      <x:c r="T522" t="str">
        <x:v>Second physical copy of Landorus BW43 Black &amp; White Black Star Promo full-art holo. PriceCharting ungraded is about $13.70, TCGplayer market about $35.9, and recent NM/raw sales roughly $15–28. Working clean/NM range $15–35.</x:v>
      </x:c>
      <x:c r="U522" t="n">
        <x:v>987</x:v>
      </x:c>
      <x:c r="V522" t="str">
        <x:v>Current chat continuation / researched 2026-08-16</x:v>
      </x:c>
      <x:c r="W522" t="str">
        <x:v>https://www.pricecharting.com/game/pokemon-promo/landorus-bw43</x:v>
      </x:c>
    </x:row>
    <x:row r="523">
      <x:c r="A523" t="n">
        <x:v>647</x:v>
      </x:c>
      <x:c r="B523" t="str">
        <x:v>EX / Full Art</x:v>
      </x:c>
      <x:c r="C523" t="str">
        <x:v>Magnezone-EX</x:v>
      </x:c>
      <x:c r="D523" t="str">
        <x:v>101/106</x:v>
      </x:c>
      <x:c r="E523" t="str">
        <x:v>XY—Flashfire</x:v>
      </x:c>
      <x:c r="F523" t="n">
        <x:v>2014</x:v>
      </x:c>
      <x:c r="G523" t="str">
        <x:v>Full Art Holo Ultra Rare</x:v>
      </x:c>
      <x:c r="H523" t="str">
        <x:v>1 of 1</x:v>
      </x:c>
      <x:c r="I523" t="n">
        <x:v>13</x:v>
      </x:c>
      <x:c r="J523" t="n">
        <x:v>18</x:v>
      </x:c>
      <x:c r="K523" t="n">
        <x:v>15.5</x:v>
      </x:c>
      <x:c r="L523" t="str">
        <x:v>$5–20</x:v>
      </x:c>
      <x:c r="M523" t="str">
        <x:v>Yes</x:v>
      </x:c>
      <x:c r="N523" t="str">
        <x:v>No</x:v>
      </x:c>
      <x:c r="O523" t="str">
        <x:v>Yes</x:v>
      </x:c>
      <x:c r="P523" t="str">
        <x:v>Clean/NM benchmark unless noted</x:v>
      </x:c>
      <x:c r="Q523" t="n">
        <x:v>13</x:v>
      </x:c>
      <x:c r="R523" t="n">
        <x:v>18</x:v>
      </x:c>
      <x:c r="S523" t="n">
        <x:v>15.5</x:v>
      </x:c>
      <x:c r="T523" t="str">
        <x:v>XY—Flashfire Magnezone-EX 101/106 Full Art Ultra Rare. TCGplayer market is about $16.5–17.7 and recent Near Mint sales have been about $15.69–16.99. Working clean/NM range $13–18.</x:v>
      </x:c>
      <x:c r="U523" t="n">
        <x:v>987</x:v>
      </x:c>
      <x:c r="V523" t="str">
        <x:v>Current chat continuation / researched 2026-08-16</x:v>
      </x:c>
      <x:c r="W523" t="str">
        <x:v>https://www.pricecharting.com/game/pokemon-flashfire/magnezone-ex-101</x:v>
      </x:c>
    </x:row>
    <x:row r="524">
      <x:c r="A524" t="n">
        <x:v>648</x:v>
      </x:c>
      <x:c r="B524" t="str">
        <x:v>EX / Full Art</x:v>
      </x:c>
      <x:c r="C524" t="str">
        <x:v>Iris</x:v>
      </x:c>
      <x:c r="D524" t="str">
        <x:v>101/101</x:v>
      </x:c>
      <x:c r="E524" t="str">
        <x:v>Plasma Blast</x:v>
      </x:c>
      <x:c r="F524" t="n">
        <x:v>2013</x:v>
      </x:c>
      <x:c r="G524" t="str">
        <x:v>Full Art Holo Ultra Rare Trainer</x:v>
      </x:c>
      <x:c r="H524" t="str">
        <x:v>1 of 2</x:v>
      </x:c>
      <x:c r="I524" t="n">
        <x:v>90</x:v>
      </x:c>
      <x:c r="J524" t="n">
        <x:v>125</x:v>
      </x:c>
      <x:c r="K524" t="n">
        <x:v>107.5</x:v>
      </x:c>
      <x:c r="L524" t="str">
        <x:v>$20+</x:v>
      </x:c>
      <x:c r="M524" t="str">
        <x:v>Yes</x:v>
      </x:c>
      <x:c r="N524" t="str">
        <x:v>Yes</x:v>
      </x:c>
      <x:c r="O524" t="str">
        <x:v>Yes</x:v>
      </x:c>
      <x:c r="P524" t="str">
        <x:v>Clean/NM benchmark unless noted</x:v>
      </x:c>
      <x:c r="Q524" t="n">
        <x:v>90</x:v>
      </x:c>
      <x:c r="R524" t="n">
        <x:v>125</x:v>
      </x:c>
      <x:c r="S524" t="n">
        <x:v>107.5</x:v>
      </x:c>
      <x:c r="T524" t="str">
        <x:v>Plasma Blast Iris 101/101 Full Art Trainer. TCGplayer market is currently about $116–125; a recent mint raw eBay sale was about $99. Working clean/NM range $90–125.</x:v>
      </x:c>
      <x:c r="U524" t="n">
        <x:v>987</x:v>
      </x:c>
      <x:c r="V524" t="str">
        <x:v>Current chat continuation / researched 2026-08-16</x:v>
      </x:c>
      <x:c r="W524" t="str">
        <x:v>https://www.pricecharting.com/game/pokemon-plasma-blast/iris-101</x:v>
      </x:c>
    </x:row>
    <x:row r="525">
      <x:c r="A525" t="n">
        <x:v>649</x:v>
      </x:c>
      <x:c r="B525" t="str">
        <x:v>EX / Full Art</x:v>
      </x:c>
      <x:c r="C525" t="str">
        <x:v>M Gyarados-EX</x:v>
      </x:c>
      <x:c r="D525" t="str">
        <x:v>115/122</x:v>
      </x:c>
      <x:c r="E525" t="str">
        <x:v>XY—BREAKpoint</x:v>
      </x:c>
      <x:c r="F525" t="n">
        <x:v>2016</x:v>
      </x:c>
      <x:c r="G525" t="str">
        <x:v>Shiny Full Art Holo Ultra Rare</x:v>
      </x:c>
      <x:c r="H525" t="str">
        <x:v>1 of 2</x:v>
      </x:c>
      <x:c r="I525" t="n">
        <x:v>90</x:v>
      </x:c>
      <x:c r="J525" t="n">
        <x:v>125</x:v>
      </x:c>
      <x:c r="K525" t="n">
        <x:v>107.5</x:v>
      </x:c>
      <x:c r="L525" t="str">
        <x:v>$20+</x:v>
      </x:c>
      <x:c r="M525" t="str">
        <x:v>Yes</x:v>
      </x:c>
      <x:c r="N525" t="str">
        <x:v>Yes</x:v>
      </x:c>
      <x:c r="O525" t="str">
        <x:v>Yes</x:v>
      </x:c>
      <x:c r="P525" t="str">
        <x:v>Clean/NM benchmark unless noted</x:v>
      </x:c>
      <x:c r="Q525" t="n">
        <x:v>90</x:v>
      </x:c>
      <x:c r="R525" t="n">
        <x:v>125</x:v>
      </x:c>
      <x:c r="S525" t="n">
        <x:v>107.5</x:v>
      </x:c>
      <x:c r="T525" t="str">
        <x:v>XY—BREAKpoint M Gyarados-EX 115/122 Shiny Full Art Ultra Rare. TCGplayer market is about $111 and recent Near Mint/raw sales include roughly $99–125, with condition-driven outliers. Working clean/NM range $90–125.</x:v>
      </x:c>
      <x:c r="U525" t="n">
        <x:v>987</x:v>
      </x:c>
      <x:c r="V525" t="str">
        <x:v>Current chat continuation / researched 2026-08-16</x:v>
      </x:c>
      <x:c r="W525" t="str">
        <x:v>https://www.pricecharting.com/game/pokemon-breakpoint/m-gyarados-ex-115</x:v>
      </x:c>
    </x:row>
    <x:row r="526">
      <x:c r="A526" t="n">
        <x:v>650</x:v>
      </x:c>
      <x:c r="B526" t="str">
        <x:v>EX / Full Art</x:v>
      </x:c>
      <x:c r="C526" t="str">
        <x:v>Thundurus-EX</x:v>
      </x:c>
      <x:c r="D526" t="str">
        <x:v>110/116</x:v>
      </x:c>
      <x:c r="E526" t="str">
        <x:v>Plasma Freeze</x:v>
      </x:c>
      <x:c r="F526" t="n">
        <x:v>2013</x:v>
      </x:c>
      <x:c r="G526" t="str">
        <x:v>Full Art Holo Ultra Rare (Team Plasma)</x:v>
      </x:c>
      <x:c r="H526" t="str">
        <x:v>1 of 2</x:v>
      </x:c>
      <x:c r="I526" t="n">
        <x:v>95</x:v>
      </x:c>
      <x:c r="J526" t="n">
        <x:v>130</x:v>
      </x:c>
      <x:c r="K526" t="n">
        <x:v>112.5</x:v>
      </x:c>
      <x:c r="L526" t="str">
        <x:v>$20+</x:v>
      </x:c>
      <x:c r="M526" t="str">
        <x:v>Yes</x:v>
      </x:c>
      <x:c r="N526" t="str">
        <x:v>Yes</x:v>
      </x:c>
      <x:c r="O526" t="str">
        <x:v>Yes</x:v>
      </x:c>
      <x:c r="P526" t="str">
        <x:v>Clean/NM benchmark unless noted</x:v>
      </x:c>
      <x:c r="Q526" t="n">
        <x:v>95</x:v>
      </x:c>
      <x:c r="R526" t="n">
        <x:v>130</x:v>
      </x:c>
      <x:c r="S526" t="n">
        <x:v>112.5</x:v>
      </x:c>
      <x:c r="T526" t="str">
        <x:v>Plasma Freeze Thundurus-EX 110/116 Team Plasma Full Art Ultra Rare. TCGplayer market is about $122; recent raw/NM sales include roughly $100–127, with a May TCGplayer NM sale much higher. Working clean/NM range $95–130.</x:v>
      </x:c>
      <x:c r="U526" t="n">
        <x:v>987</x:v>
      </x:c>
      <x:c r="V526" t="str">
        <x:v>Current chat continuation / researched 2026-08-16</x:v>
      </x:c>
      <x:c r="W526" t="str">
        <x:v>https://www.pricecharting.com/game/pokemon-plasma-freeze/thundurus-ex-110</x:v>
      </x:c>
    </x:row>
    <x:row r="527">
      <x:c r="A527" t="n">
        <x:v>651</x:v>
      </x:c>
      <x:c r="B527" t="str">
        <x:v>EX / Full Art</x:v>
      </x:c>
      <x:c r="C527" t="str">
        <x:v>Registeel-EX</x:v>
      </x:c>
      <x:c r="D527" t="str">
        <x:v>122/124</x:v>
      </x:c>
      <x:c r="E527" t="str">
        <x:v>Dragons Exalted</x:v>
      </x:c>
      <x:c r="F527" t="n">
        <x:v>2012</x:v>
      </x:c>
      <x:c r="G527" t="str">
        <x:v>Full Art Holo Ultra Rare</x:v>
      </x:c>
      <x:c r="H527" t="str">
        <x:v>1 of 2</x:v>
      </x:c>
      <x:c r="I527" t="n">
        <x:v>45</x:v>
      </x:c>
      <x:c r="J527" t="n">
        <x:v>70</x:v>
      </x:c>
      <x:c r="K527" t="n">
        <x:v>57.5</x:v>
      </x:c>
      <x:c r="L527" t="str">
        <x:v>$20+</x:v>
      </x:c>
      <x:c r="M527" t="str">
        <x:v>Yes</x:v>
      </x:c>
      <x:c r="N527" t="str">
        <x:v>Yes</x:v>
      </x:c>
      <x:c r="O527" t="str">
        <x:v>Yes</x:v>
      </x:c>
      <x:c r="P527" t="str">
        <x:v>Clean/NM benchmark unless noted</x:v>
      </x:c>
      <x:c r="Q527" t="n">
        <x:v>45</x:v>
      </x:c>
      <x:c r="R527" t="n">
        <x:v>70</x:v>
      </x:c>
      <x:c r="S527" t="n">
        <x:v>57.5</x:v>
      </x:c>
      <x:c r="T527" t="str">
        <x:v>Dragons Exalted Registeel-EX 122/124 Full Art Ultra Rare. TCGplayer market is about $69; recent raw sales include roughly $48–58. Working clean/NM range $45–70.</x:v>
      </x:c>
      <x:c r="U527" t="n">
        <x:v>987</x:v>
      </x:c>
      <x:c r="V527" t="str">
        <x:v>Current chat continuation / researched 2026-08-16</x:v>
      </x:c>
      <x:c r="W527" t="str">
        <x:v>https://www.pricecharting.com/game/pokemon-dragons-exalted/registeel-ex-122</x:v>
      </x:c>
    </x:row>
    <x:row r="528">
      <x:c r="A528" t="n">
        <x:v>652</x:v>
      </x:c>
      <x:c r="B528" t="str">
        <x:v>EX / Full Art</x:v>
      </x:c>
      <x:c r="C528" t="str">
        <x:v>Latios-EX</x:v>
      </x:c>
      <x:c r="D528" t="str">
        <x:v>113/116</x:v>
      </x:c>
      <x:c r="E528" t="str">
        <x:v>Plasma Freeze</x:v>
      </x:c>
      <x:c r="F528" t="n">
        <x:v>2013</x:v>
      </x:c>
      <x:c r="G528" t="str">
        <x:v>Full Art Holo Ultra Rare</x:v>
      </x:c>
      <x:c r="H528" t="str">
        <x:v>1 of 2</x:v>
      </x:c>
      <x:c r="I528" t="n">
        <x:v>120</x:v>
      </x:c>
      <x:c r="J528" t="n">
        <x:v>230</x:v>
      </x:c>
      <x:c r="K528" t="n">
        <x:v>175</x:v>
      </x:c>
      <x:c r="L528" t="str">
        <x:v>$20+</x:v>
      </x:c>
      <x:c r="M528" t="str">
        <x:v>Yes</x:v>
      </x:c>
      <x:c r="N528" t="str">
        <x:v>Yes</x:v>
      </x:c>
      <x:c r="O528" t="str">
        <x:v>Yes</x:v>
      </x:c>
      <x:c r="P528" t="str">
        <x:v>Clean/NM benchmark unless noted</x:v>
      </x:c>
      <x:c r="Q528" t="n">
        <x:v>120</x:v>
      </x:c>
      <x:c r="R528" t="n">
        <x:v>230</x:v>
      </x:c>
      <x:c r="S528" t="n">
        <x:v>175</x:v>
      </x:c>
      <x:c r="T528" t="str">
        <x:v>Plasma Freeze Latios-EX 113/116 Full Art Ultra Rare. TCGplayer market is currently about $230; recent raw/NM sales have ranged from roughly $100–200+, including NM sales around $122.50–159.50 and higher. Working clean/NM range $120–230.</x:v>
      </x:c>
      <x:c r="U528" t="n">
        <x:v>987</x:v>
      </x:c>
      <x:c r="V528" t="str">
        <x:v>Current chat continuation / researched 2026-08-16</x:v>
      </x:c>
      <x:c r="W528" t="str">
        <x:v>https://www.pricecharting.com/game/pokemon-plasma-freeze/latios-ex-113</x:v>
      </x:c>
    </x:row>
    <x:row r="529">
      <x:c r="A529" t="n">
        <x:v>653</x:v>
      </x:c>
      <x:c r="B529" t="str">
        <x:v>EX / Full Art</x:v>
      </x:c>
      <x:c r="C529" t="str">
        <x:v>Emolga</x:v>
      </x:c>
      <x:c r="D529" t="str">
        <x:v>RC23/RC25</x:v>
      </x:c>
      <x:c r="E529" t="str">
        <x:v>Legendary Treasures: Radiant Collection</x:v>
      </x:c>
      <x:c r="F529" t="n">
        <x:v>2013</x:v>
      </x:c>
      <x:c r="G529" t="str">
        <x:v>Full Art Holo Ultra Rare</x:v>
      </x:c>
      <x:c r="H529" t="str">
        <x:v>2 of 4</x:v>
      </x:c>
      <x:c r="I529" t="n">
        <x:v>45</x:v>
      </x:c>
      <x:c r="J529" t="n">
        <x:v>90</x:v>
      </x:c>
      <x:c r="K529" t="n">
        <x:v>67.5</x:v>
      </x:c>
      <x:c r="L529" t="str">
        <x:v>$20+</x:v>
      </x:c>
      <x:c r="M529" t="str">
        <x:v>Yes</x:v>
      </x:c>
      <x:c r="N529" t="str">
        <x:v>Yes</x:v>
      </x:c>
      <x:c r="O529" t="str">
        <x:v>Yes</x:v>
      </x:c>
      <x:c r="P529" t="str">
        <x:v>Clean/NM benchmark unless noted</x:v>
      </x:c>
      <x:c r="Q529" t="n">
        <x:v>45</x:v>
      </x:c>
      <x:c r="R529" t="n">
        <x:v>90</x:v>
      </x:c>
      <x:c r="S529" t="n">
        <x:v>67.5</x:v>
      </x:c>
      <x:c r="T529" t="str">
        <x:v>Second physical copy of Legendary Treasures Radiant Collection Emolga RC23/RC25 Full Art Ultra Rare. Using the same current clean/NM benchmark as the first copy: $45–90.</x:v>
      </x:c>
      <x:c r="U529" t="n">
        <x:v>988</x:v>
      </x:c>
      <x:c r="V529" t="str">
        <x:v>Current chat continuation / duplicate addition 2026-08-16</x:v>
      </x:c>
      <x:c r="W529" t="str">
        <x:v>https://www.pricecharting.com/game/pokemon-legendary-treasures/emolga-rc23</x:v>
      </x:c>
    </x:row>
    <x:row r="530">
      <x:c r="A530" t="n">
        <x:v>654</x:v>
      </x:c>
      <x:c r="B530" t="str">
        <x:v>LEGEND / Special</x:v>
      </x:c>
      <x:c r="C530" t="str">
        <x:v>Suicune &amp; Entei LEGEND</x:v>
      </x:c>
      <x:c r="D530" t="str">
        <x:v>94/95</x:v>
      </x:c>
      <x:c r="E530" t="str">
        <x:v>World Championships 2011</x:v>
      </x:c>
      <x:c r="F530" t="n">
        <x:v>2011</x:v>
      </x:c>
      <x:c r="G530" t="str">
        <x:v>World Championships — Ross Cawthon / The Truth (Top Half)</x:v>
      </x:c>
      <x:c r="H530" t="str">
        <x:v>1 of 1</x:v>
      </x:c>
      <x:c r="I530" t="n">
        <x:v>30</x:v>
      </x:c>
      <x:c r="J530" t="n">
        <x:v>45</x:v>
      </x:c>
      <x:c r="K530" t="n">
        <x:v>37.5</x:v>
      </x:c>
      <x:c r="L530" t="str">
        <x:v>$20+</x:v>
      </x:c>
      <x:c r="M530" t="str">
        <x:v>Yes</x:v>
      </x:c>
      <x:c r="N530" t="str">
        <x:v>Yes</x:v>
      </x:c>
      <x:c r="O530" t="str">
        <x:v>Yes</x:v>
      </x:c>
      <x:c r="P530" t="str">
        <x:v>Clean/NM benchmark unless noted</x:v>
      </x:c>
      <x:c r="Q530" t="n">
        <x:v>30</x:v>
      </x:c>
      <x:c r="R530" t="n">
        <x:v>45</x:v>
      </x:c>
      <x:c r="S530" t="n">
        <x:v>37.5</x:v>
      </x:c>
      <x:c r="T530" t="str">
        <x:v>2011 World Championships Ross Cawthon ('The Truth') Suicune &amp; Entei LEGEND 94/95 top half. This completes the user's WC pair with the already-logged 95/95 bottom half. PriceCharting currently estimates ungraded around $36 and TCGplayer market is about $36.93. Working clean/NM range $30–45.</x:v>
      </x:c>
      <x:c r="U530" t="n">
        <x:v>989</x:v>
      </x:c>
      <x:c r="V530" t="str">
        <x:v>Current chat continuation / researched 2026-08-16</x:v>
      </x:c>
      <x:c r="W530" t="str">
        <x:v>https://www.pricecharting.com/game/pokemon-world-championships-2011/suicune-%26-entei-legend-ross-cawthon-94</x:v>
      </x:c>
    </x:row>
    <x:row r="531">
      <x:c r="A531" t="n">
        <x:v>655</x:v>
      </x:c>
      <x:c r="B531" t="str">
        <x:v>Post-Dragon / Mixed Pokémon</x:v>
      </x:c>
      <x:c r="C531" t="str">
        <x:v>Pikachu δ</x:v>
      </x:c>
      <x:c r="D531" t="str">
        <x:v>93/92</x:v>
      </x:c>
      <x:c r="E531" t="str">
        <x:v>EX Legend Maker</x:v>
      </x:c>
      <x:c r="F531" t="n">
        <x:v>2006</x:v>
      </x:c>
      <x:c r="G531" t="str">
        <x:v>Holo Secret Rare (Delta Species — Metal type)</x:v>
      </x:c>
      <x:c r="H531" t="str">
        <x:v>1 of 1</x:v>
      </x:c>
      <x:c r="I531" t="n">
        <x:v>180</x:v>
      </x:c>
      <x:c r="J531" t="n">
        <x:v>325</x:v>
      </x:c>
      <x:c r="K531" t="n">
        <x:v>252.5</x:v>
      </x:c>
      <x:c r="L531" t="str">
        <x:v>$20+</x:v>
      </x:c>
      <x:c r="M531" t="str">
        <x:v>Yes</x:v>
      </x:c>
      <x:c r="N531" t="str">
        <x:v>Yes</x:v>
      </x:c>
      <x:c r="O531" t="str">
        <x:v>Yes</x:v>
      </x:c>
      <x:c r="P531" t="str">
        <x:v>Damaged / absolutely mangled per user</x:v>
      </x:c>
      <x:c r="Q531" t="n">
        <x:v>75</x:v>
      </x:c>
      <x:c r="R531" t="n">
        <x:v>110</x:v>
      </x:c>
      <x:c r="S531" t="n">
        <x:v>92.5</x:v>
      </x:c>
      <x:c r="T531" t="str">
        <x:v>EX Legend Maker Pikachu δ 93/92 secret rare holo. Current PriceCharting ungraded guide is about $194, while recent 2026 NM/NM-LP raw sales include roughly $300–350. Recent damaged/heavily-played sales include about $100 DMG and roughly $100–150 HP. Because the user describes this copy as absolutely mangled, working as-is range is set conservatively at $75–110 pending photos.</x:v>
      </x:c>
      <x:c r="U531" t="n">
        <x:v>990</x:v>
      </x:c>
      <x:c r="V531" t="str">
        <x:v>Current chat continuation / researched 2026-08-16</x:v>
      </x:c>
      <x:c r="W531" t="str">
        <x:v>https://www.pricecharting.com/game/pokemon-legend-maker/pikachu-93</x:v>
      </x:c>
    </x:row>
    <x:row r="532">
      <x:c r="A532" t="n">
        <x:v>656</x:v>
      </x:c>
      <x:c r="B532" t="str">
        <x:v>PDF Import / Added Cards</x:v>
      </x:c>
      <x:c r="C532" t="str">
        <x:v>Rayquaza-EX</x:v>
      </x:c>
      <x:c r="D532" t="str">
        <x:v>BW47</x:v>
      </x:c>
      <x:c r="E532" t="str">
        <x:v>Promo</x:v>
      </x:c>
      <x:c r="F532"/>
      <x:c r="G532" t="str">
        <x:v>Holo EX</x:v>
      </x:c>
      <x:c r="H532" t="str">
        <x:v>1 of 2</x:v>
      </x:c>
      <x:c r="I532" t="n">
        <x:v>35</x:v>
      </x:c>
      <x:c r="J532" t="n">
        <x:v>45</x:v>
      </x:c>
      <x:c r="K532" t="n">
        <x:v>40</x:v>
      </x:c>
      <x:c r="L532" t="str">
        <x:v>$20+</x:v>
      </x:c>
      <x:c r="M532" t="str">
        <x:v>Yes</x:v>
      </x:c>
      <x:c r="N532" t="str">
        <x:v>Yes</x:v>
      </x:c>
      <x:c r="O532" t="str">
        <x:v>Yes</x:v>
      </x:c>
      <x:c r="P532" t="str">
        <x:v>Manual pre-grade: PSA 8 most likely</x:v>
      </x:c>
      <x:c r="Q532" t="n">
        <x:v>35</x:v>
      </x:c>
      <x:c r="R532" t="n">
        <x:v>45</x:v>
      </x:c>
      <x:c r="S532" t="n">
        <x:v>40</x:v>
      </x:c>
      <x:c r="T532" t="str">
        <x:v>Rayquaza-EX BW47 copy 1 of 2. Centering 10; corners 8–9; edges 8; surface 9. Overall PSA 8 most likely. Odds: PSA 7 ~24%, PSA 8 ~72%, PSA 9 ~4%, PSA 10 ~0%.</x:v>
      </x:c>
      <x:c r="U532" t="n">
        <x:v>991</x:v>
      </x:c>
      <x:c r="V532" t="str">
        <x:v>TCGplayer + PriceCharting + PSA/Collectors, researched 2026-08-18</x:v>
      </x:c>
      <x:c r="W532" t="str">
        <x:v>https://www.pricecharting.com/game/pokemon-promo/rayquaza-ex-bw47</x:v>
      </x:c>
    </x:row>
    <x:row r="533">
      <x:c r="A533" t="n">
        <x:v>657</x:v>
      </x:c>
      <x:c r="B533" t="str">
        <x:v>PDF Import / Added Cards</x:v>
      </x:c>
      <x:c r="C533" t="str">
        <x:v>Rayquaza-EX</x:v>
      </x:c>
      <x:c r="D533" t="str">
        <x:v>BW47</x:v>
      </x:c>
      <x:c r="E533" t="str">
        <x:v>Promo</x:v>
      </x:c>
      <x:c r="F533"/>
      <x:c r="G533" t="str">
        <x:v>Holo EX</x:v>
      </x:c>
      <x:c r="H533" t="str">
        <x:v>2 of 2</x:v>
      </x:c>
      <x:c r="I533" t="n">
        <x:v>35</x:v>
      </x:c>
      <x:c r="J533" t="n">
        <x:v>45</x:v>
      </x:c>
      <x:c r="K533" t="n">
        <x:v>40</x:v>
      </x:c>
      <x:c r="L533" t="str">
        <x:v>$20+</x:v>
      </x:c>
      <x:c r="M533" t="str">
        <x:v>Yes</x:v>
      </x:c>
      <x:c r="N533" t="str">
        <x:v>Yes</x:v>
      </x:c>
      <x:c r="O533" t="str">
        <x:v>Yes</x:v>
      </x:c>
      <x:c r="P533" t="str">
        <x:v>Manual pre-grade: PSA 6 most likely</x:v>
      </x:c>
      <x:c r="Q533" t="n">
        <x:v>35</x:v>
      </x:c>
      <x:c r="R533" t="n">
        <x:v>45</x:v>
      </x:c>
      <x:c r="S533" t="n">
        <x:v>40</x:v>
      </x:c>
      <x:c r="T533" t="str">
        <x:v>Rayquaza-EX BW47 copy 2 of 2. Centering 9 provisional; corners 7; edges 6; surface 9. Overall PSA 6 most likely. Odds: PSA 5 ~25%, PSA 6 ~55%, PSA 7 ~18%, PSA 8 ~2%, PSA 9/10 ~0%.</x:v>
      </x:c>
      <x:c r="U533" t="n">
        <x:v>991</x:v>
      </x:c>
      <x:c r="V533" t="str">
        <x:v>TCGplayer + PriceCharting + PSA/Collectors, researched 2026-08-18</x:v>
      </x:c>
      <x:c r="W533" t="str">
        <x:v>https://www.pricecharting.com/game/pokemon-promo/rayquaza-ex-bw47</x:v>
      </x:c>
    </x:row>
    <x:row r="534">
      <x:c r="A534" t="n">
        <x:v>658</x:v>
      </x:c>
      <x:c r="B534" t="str">
        <x:v>PDF Import / Added Cards</x:v>
      </x:c>
      <x:c r="C534" t="str">
        <x:v>Crobat</x:v>
      </x:c>
      <x:c r="D534" t="str">
        <x:v>84/95</x:v>
      </x:c>
      <x:c r="E534" t="str">
        <x:v>Unleashed</x:v>
      </x:c>
      <x:c r="F534" t="n">
        <x:v>2010</x:v>
      </x:c>
      <x:c r="G534" t="str">
        <x:v>Prime Holo</x:v>
      </x:c>
      <x:c r="H534" t="str">
        <x:v>1 of 1</x:v>
      </x:c>
      <x:c r="I534" t="n">
        <x:v>55</x:v>
      </x:c>
      <x:c r="J534" t="n">
        <x:v>80</x:v>
      </x:c>
      <x:c r="K534" t="n">
        <x:v>67.5</x:v>
      </x:c>
      <x:c r="L534" t="str">
        <x:v>$20+</x:v>
      </x:c>
      <x:c r="M534" t="str">
        <x:v>Yes</x:v>
      </x:c>
      <x:c r="N534" t="str">
        <x:v>Yes</x:v>
      </x:c>
      <x:c r="O534" t="str">
        <x:v>Yes</x:v>
      </x:c>
      <x:c r="P534" t="str">
        <x:v>Condition not yet reviewed</x:v>
      </x:c>
      <x:c r="Q534" t="n">
        <x:v>55</x:v>
      </x:c>
      <x:c r="R534" t="n">
        <x:v>80</x:v>
      </x:c>
      <x:c r="S534" t="n">
        <x:v>67.5</x:v>
      </x:c>
      <x:c r="T534" t="str">
        <x:v>Imported from user's PriceCharting Collection.pdf, page 2. PDF row value $48.50; quantity 1; per-card allocation $48.50. Imported value is carried exactly from the PDF and has not been independently repriced. EXTERNAL REPRICE (2026-08-17): TCGplayer market about $61; recent NM sale near $85; working range avoids anchoring to one sale.</x:v>
      </x:c>
      <x:c r="U534" t="n">
        <x:v>991</x:v>
      </x:c>
      <x:c r="V534" t="str">
        <x:v>Collection.pdf + current TCGplayer/cross-market research 2026-08-17</x:v>
      </x:c>
      <x:c r="W534" t="str">
        <x:v>https://www.tcgplayer.com/search/pokemon/product?q=Crobat+%2384+Unleashed</x:v>
      </x:c>
    </x:row>
    <x:row r="535">
      <x:c r="A535" t="n">
        <x:v>659</x:v>
      </x:c>
      <x:c r="B535" t="str">
        <x:v>PDF Import / Added Cards</x:v>
      </x:c>
      <x:c r="C535" t="str">
        <x:v>Darkrai LV.X</x:v>
      </x:c>
      <x:c r="D535" t="str">
        <x:v>104/106</x:v>
      </x:c>
      <x:c r="E535" t="str">
        <x:v>Great Encounters</x:v>
      </x:c>
      <x:c r="F535" t="n">
        <x:v>2008</x:v>
      </x:c>
      <x:c r="G535" t="str">
        <x:v>Holofoil LV.X</x:v>
      </x:c>
      <x:c r="H535" t="str">
        <x:v>1 of 1</x:v>
      </x:c>
      <x:c r="I535" t="n">
        <x:v>60</x:v>
      </x:c>
      <x:c r="J535" t="n">
        <x:v>130</x:v>
      </x:c>
      <x:c r="K535" t="n">
        <x:v>95</x:v>
      </x:c>
      <x:c r="L535" t="str">
        <x:v>$20+</x:v>
      </x:c>
      <x:c r="M535" t="str">
        <x:v>Yes</x:v>
      </x:c>
      <x:c r="N535" t="str">
        <x:v>Yes</x:v>
      </x:c>
      <x:c r="O535" t="str">
        <x:v>Yes</x:v>
      </x:c>
      <x:c r="P535" t="str">
        <x:v>Condition not yet reviewed</x:v>
      </x:c>
      <x:c r="Q535" t="n">
        <x:v>60</x:v>
      </x:c>
      <x:c r="R535" t="n">
        <x:v>130</x:v>
      </x:c>
      <x:c r="S535" t="n">
        <x:v>95</x:v>
      </x:c>
      <x:c r="T535" t="str">
        <x:v>Imported from user's PriceCharting Collection.pdf, page 2. PDF row value $50.00; quantity 1; per-card allocation $50.00. Imported value is carried exactly from the PDF and has not been independently repriced. EXTERNAL REPRICE (2026-08-17): Market is unusually split: TCGplayer headline near $184, other current cross-market signals around the low-$60s; deliberately wide range.</x:v>
      </x:c>
      <x:c r="U535" t="n">
        <x:v>991</x:v>
      </x:c>
      <x:c r="V535" t="str">
        <x:v>Collection.pdf + current TCGplayer/cross-market research 2026-08-17</x:v>
      </x:c>
      <x:c r="W535" t="str">
        <x:v>https://www.tcgplayer.com/search/pokemon/product?q=Darkrai+LV.+X+%23104+Great+Encounters</x:v>
      </x:c>
    </x:row>
    <x:row r="536">
      <x:c r="A536" t="n">
        <x:v>660</x:v>
      </x:c>
      <x:c r="B536" t="str">
        <x:v>PDF Import / Added Cards</x:v>
      </x:c>
      <x:c r="C536" t="str">
        <x:v>Krookodile-EX</x:v>
      </x:c>
      <x:c r="D536" t="str">
        <x:v>XY25</x:v>
      </x:c>
      <x:c r="E536" t="str">
        <x:v>Promo</x:v>
      </x:c>
      <x:c r="F536"/>
      <x:c r="G536" t="str">
        <x:v>Holo EX</x:v>
      </x:c>
      <x:c r="H536" t="str">
        <x:v>1 of 1</x:v>
      </x:c>
      <x:c r="I536" t="n">
        <x:v>9</x:v>
      </x:c>
      <x:c r="J536" t="n">
        <x:v>13</x:v>
      </x:c>
      <x:c r="K536" t="n">
        <x:v>11</x:v>
      </x:c>
      <x:c r="L536" t="str">
        <x:v>$5–20</x:v>
      </x:c>
      <x:c r="M536" t="str">
        <x:v>Yes</x:v>
      </x:c>
      <x:c r="N536" t="str">
        <x:v>No</x:v>
      </x:c>
      <x:c r="O536" t="str">
        <x:v>Yes</x:v>
      </x:c>
      <x:c r="P536" t="str">
        <x:v>Condition not yet reviewed</x:v>
      </x:c>
      <x:c r="Q536" t="n">
        <x:v>9</x:v>
      </x:c>
      <x:c r="R536" t="n">
        <x:v>13</x:v>
      </x:c>
      <x:c r="S536" t="n">
        <x:v>11</x:v>
      </x:c>
      <x:c r="T536" t="str">
        <x:v>Imported from user's PriceCharting Collection.pdf, page 2. PDF row value $3.99; quantity 1; per-card allocation $3.99. Imported value is carried exactly from the PDF and has not been independently repriced. EXTERNAL REPRICE (2026-08-17): Current TCGplayer/PokeScope signals roughly $10–13.</x:v>
      </x:c>
      <x:c r="U536" t="n">
        <x:v>991</x:v>
      </x:c>
      <x:c r="V536" t="str">
        <x:v>Collection.pdf + current TCGplayer/cross-market research 2026-08-17</x:v>
      </x:c>
      <x:c r="W536" t="str">
        <x:v>https://www.tcgplayer.com/search/pokemon/product?q=Krookodile+EX+%23XY25+Promo</x:v>
      </x:c>
    </x:row>
    <x:row r="537">
      <x:c r="A537" t="n">
        <x:v>661</x:v>
      </x:c>
      <x:c r="B537" t="str">
        <x:v>PDF Import / Added Cards</x:v>
      </x:c>
      <x:c r="C537" t="str">
        <x:v>Articuno</x:v>
      </x:c>
      <x:c r="D537" t="str">
        <x:v>16/147</x:v>
      </x:c>
      <x:c r="E537" t="str">
        <x:v>Supreme Victors</x:v>
      </x:c>
      <x:c r="F537" t="n">
        <x:v>2009</x:v>
      </x:c>
      <x:c r="G537" t="str">
        <x:v>As listed in PriceCharting PDF; foil unspecified</x:v>
      </x:c>
      <x:c r="H537" t="str">
        <x:v>1 of 1</x:v>
      </x:c>
      <x:c r="I537" t="n">
        <x:v>9</x:v>
      </x:c>
      <x:c r="J537" t="n">
        <x:v>13</x:v>
      </x:c>
      <x:c r="K537" t="n">
        <x:v>11</x:v>
      </x:c>
      <x:c r="L537" t="str">
        <x:v>$5–20</x:v>
      </x:c>
      <x:c r="M537" t="str">
        <x:v>Yes</x:v>
      </x:c>
      <x:c r="N537" t="str">
        <x:v>No</x:v>
      </x:c>
      <x:c r="O537" t="str">
        <x:v>Yes</x:v>
      </x:c>
      <x:c r="P537" t="str">
        <x:v>Condition not yet reviewed</x:v>
      </x:c>
      <x:c r="Q537" t="n">
        <x:v>9</x:v>
      </x:c>
      <x:c r="R537" t="n">
        <x:v>13</x:v>
      </x:c>
      <x:c r="S537" t="n">
        <x:v>11</x:v>
      </x:c>
      <x:c r="T537" t="str">
        <x:v>Imported from user's PriceCharting Collection.pdf, page 2. PDF row value $9.00; quantity 1; per-card allocation $9.00. Imported value is carried exactly from the PDF and has not been independently repriced. EXTERNAL REPRICE (2026-08-17): Current TCGplayer/PokeScope/PokeData signals roughly $10–12.</x:v>
      </x:c>
      <x:c r="U537" t="n">
        <x:v>991</x:v>
      </x:c>
      <x:c r="V537" t="str">
        <x:v>Collection.pdf + current TCGplayer/cross-market research 2026-08-17</x:v>
      </x:c>
      <x:c r="W537" t="str">
        <x:v>https://www.tcgplayer.com/search/pokemon/product?q=Articuno+%2316+Supreme+Victors</x:v>
      </x:c>
    </x:row>
    <x:row r="538">
      <x:c r="A538" t="n">
        <x:v>662</x:v>
      </x:c>
      <x:c r="B538" t="str">
        <x:v>PDF Import / Added Cards</x:v>
      </x:c>
      <x:c r="C538" t="str">
        <x:v>Registeel-EX</x:v>
      </x:c>
      <x:c r="D538" t="str">
        <x:v>81/124</x:v>
      </x:c>
      <x:c r="E538" t="str">
        <x:v>Dragons Exalted</x:v>
      </x:c>
      <x:c r="F538" t="n">
        <x:v>2012</x:v>
      </x:c>
      <x:c r="G538" t="str">
        <x:v>Holo EX</x:v>
      </x:c>
      <x:c r="H538" t="str">
        <x:v>1 of 1</x:v>
      </x:c>
      <x:c r="I538" t="n">
        <x:v>11</x:v>
      </x:c>
      <x:c r="J538" t="n">
        <x:v>15</x:v>
      </x:c>
      <x:c r="K538" t="n">
        <x:v>13</x:v>
      </x:c>
      <x:c r="L538" t="str">
        <x:v>$5–20</x:v>
      </x:c>
      <x:c r="M538" t="str">
        <x:v>Yes</x:v>
      </x:c>
      <x:c r="N538" t="str">
        <x:v>No</x:v>
      </x:c>
      <x:c r="O538" t="str">
        <x:v>Yes</x:v>
      </x:c>
      <x:c r="P538" t="str">
        <x:v>Condition not yet reviewed</x:v>
      </x:c>
      <x:c r="Q538" t="n">
        <x:v>11</x:v>
      </x:c>
      <x:c r="R538" t="n">
        <x:v>15</x:v>
      </x:c>
      <x:c r="S538" t="n">
        <x:v>13</x:v>
      </x:c>
      <x:c r="T538" t="str">
        <x:v>Imported from user's PriceCharting Collection.pdf, page 2. PDF row value $7.81; quantity 1; per-card allocation $7.81. Imported value is carried exactly from the PDF and has not been independently repriced. EXTERNAL REPRICE (2026-08-17): Current TCGplayer/PokeScope roughly $12–14.</x:v>
      </x:c>
      <x:c r="U538" t="n">
        <x:v>991</x:v>
      </x:c>
      <x:c r="V538" t="str">
        <x:v>Collection.pdf + current TCGplayer/cross-market research 2026-08-17</x:v>
      </x:c>
      <x:c r="W538" t="str">
        <x:v>https://www.tcgplayer.com/search/pokemon/product?q=Registeel+EX+%2381+Dragons+Exalted</x:v>
      </x:c>
    </x:row>
    <x:row r="539">
      <x:c r="A539" t="n">
        <x:v>663</x:v>
      </x:c>
      <x:c r="B539" t="str">
        <x:v>PDF Import / Added Cards</x:v>
      </x:c>
      <x:c r="C539" t="str">
        <x:v>Charizard</x:v>
      </x:c>
      <x:c r="D539" t="str">
        <x:v>20/149</x:v>
      </x:c>
      <x:c r="E539" t="str">
        <x:v>Boundaries Crossed</x:v>
      </x:c>
      <x:c r="F539" t="n">
        <x:v>2012</x:v>
      </x:c>
      <x:c r="G539" t="str">
        <x:v>As listed in PriceCharting PDF; foil unspecified</x:v>
      </x:c>
      <x:c r="H539" t="str">
        <x:v>1 of 1</x:v>
      </x:c>
      <x:c r="I539" t="n">
        <x:v>35</x:v>
      </x:c>
      <x:c r="J539" t="n">
        <x:v>55</x:v>
      </x:c>
      <x:c r="K539" t="n">
        <x:v>45</x:v>
      </x:c>
      <x:c r="L539" t="str">
        <x:v>$20+</x:v>
      </x:c>
      <x:c r="M539" t="str">
        <x:v>Yes</x:v>
      </x:c>
      <x:c r="N539" t="str">
        <x:v>Yes</x:v>
      </x:c>
      <x:c r="O539" t="str">
        <x:v>Yes</x:v>
      </x:c>
      <x:c r="P539" t="str">
        <x:v>Condition not yet reviewed</x:v>
      </x:c>
      <x:c r="Q539" t="n">
        <x:v>35</x:v>
      </x:c>
      <x:c r="R539" t="n">
        <x:v>55</x:v>
      </x:c>
      <x:c r="S539" t="n">
        <x:v>45</x:v>
      </x:c>
      <x:c r="T539" t="str">
        <x:v>Imported from user's PriceCharting Collection.pdf, page 3. PDF row value $25.13; quantity 1; per-card allocation $25.13. Imported value is carried exactly from the PDF and has not been independently repriced. EXTERNAL REPRICE (2026-08-17): Current TCGplayer market in the low/mid-$40s with recent NM sales spanning roughly $30–65.</x:v>
      </x:c>
      <x:c r="U539" t="n">
        <x:v>991</x:v>
      </x:c>
      <x:c r="V539" t="str">
        <x:v>Collection.pdf + current TCGplayer/cross-market research 2026-08-17</x:v>
      </x:c>
      <x:c r="W539" t="str">
        <x:v>https://www.tcgplayer.com/search/pokemon/product?q=Charizard+%2320+Boundaries+Crossed</x:v>
      </x:c>
    </x:row>
    <x:row r="540">
      <x:c r="A540" t="n">
        <x:v>664</x:v>
      </x:c>
      <x:c r="B540" t="str">
        <x:v>PDF Import / Added Cards</x:v>
      </x:c>
      <x:c r="C540" t="str">
        <x:v>Kingdra</x:v>
      </x:c>
      <x:c r="D540" t="str">
        <x:v>8/111</x:v>
      </x:c>
      <x:c r="E540" t="str">
        <x:v>Neo Genesis</x:v>
      </x:c>
      <x:c r="F540" t="n">
        <x:v>2000</x:v>
      </x:c>
      <x:c r="G540" t="str">
        <x:v>As listed in PriceCharting PDF; foil unspecified</x:v>
      </x:c>
      <x:c r="H540" t="str">
        <x:v>1 of 1</x:v>
      </x:c>
      <x:c r="I540" t="n">
        <x:v>18</x:v>
      </x:c>
      <x:c r="J540" t="n">
        <x:v>28</x:v>
      </x:c>
      <x:c r="K540" t="n">
        <x:v>23</x:v>
      </x:c>
      <x:c r="L540" t="str">
        <x:v>$20+</x:v>
      </x:c>
      <x:c r="M540" t="str">
        <x:v>Yes</x:v>
      </x:c>
      <x:c r="N540" t="str">
        <x:v>Yes</x:v>
      </x:c>
      <x:c r="O540" t="str">
        <x:v>Yes</x:v>
      </x:c>
      <x:c r="P540" t="str">
        <x:v>Condition not yet reviewed</x:v>
      </x:c>
      <x:c r="Q540" t="n">
        <x:v>18</x:v>
      </x:c>
      <x:c r="R540" t="n">
        <x:v>28</x:v>
      </x:c>
      <x:c r="S540" t="n">
        <x:v>23</x:v>
      </x:c>
      <x:c r="T540" t="str">
        <x:v>Imported from user's PriceCharting Collection.pdf, page 3. PDF row value $15.60; quantity 1; per-card allocation $15.60. Imported value is carried exactly from the PDF and has not been independently repriced. EXTERNAL REPRICE (2026-08-17): Recent NM sales and current secondary-market checks cluster around low/mid-$20s.</x:v>
      </x:c>
      <x:c r="U540" t="n">
        <x:v>991</x:v>
      </x:c>
      <x:c r="V540" t="str">
        <x:v>Collection.pdf + current TCGplayer/cross-market research 2026-08-17</x:v>
      </x:c>
      <x:c r="W540" t="str">
        <x:v>https://www.tcgplayer.com/search/pokemon/product?q=Kingdra+%238+Neo+Genesis</x:v>
      </x:c>
    </x:row>
    <x:row r="541">
      <x:c r="A541" t="n">
        <x:v>665</x:v>
      </x:c>
      <x:c r="B541" t="str">
        <x:v>PDF Import / Added Cards</x:v>
      </x:c>
      <x:c r="C541" t="str">
        <x:v>Light Togetic</x:v>
      </x:c>
      <x:c r="D541" t="str">
        <x:v>15/105</x:v>
      </x:c>
      <x:c r="E541" t="str">
        <x:v>Neo Destiny</x:v>
      </x:c>
      <x:c r="F541" t="n">
        <x:v>2002</x:v>
      </x:c>
      <x:c r="G541" t="str">
        <x:v>As listed in PriceCharting PDF; foil unspecified</x:v>
      </x:c>
      <x:c r="H541" t="str">
        <x:v>1 of 1</x:v>
      </x:c>
      <x:c r="I541" t="n">
        <x:v>55</x:v>
      </x:c>
      <x:c r="J541" t="n">
        <x:v>85</x:v>
      </x:c>
      <x:c r="K541" t="n">
        <x:v>70</x:v>
      </x:c>
      <x:c r="L541" t="str">
        <x:v>$20+</x:v>
      </x:c>
      <x:c r="M541" t="str">
        <x:v>Yes</x:v>
      </x:c>
      <x:c r="N541" t="str">
        <x:v>Yes</x:v>
      </x:c>
      <x:c r="O541" t="str">
        <x:v>Yes</x:v>
      </x:c>
      <x:c r="P541" t="str">
        <x:v>Condition not yet reviewed</x:v>
      </x:c>
      <x:c r="Q541" t="n">
        <x:v>55</x:v>
      </x:c>
      <x:c r="R541" t="n">
        <x:v>85</x:v>
      </x:c>
      <x:c r="S541" t="n">
        <x:v>70</x:v>
      </x:c>
      <x:c r="T541" t="str">
        <x:v>Imported from user's PriceCharting Collection.pdf, page 3. PDF row value $71.00; quantity 1; per-card allocation $71.00. Imported value is carried exactly from the PDF and has not been independently repriced. EXTERNAL REPRICE (2026-08-17): Current market near $70 with recent raw sales roughly $60–100; range trimmed for clean/NM.</x:v>
      </x:c>
      <x:c r="U541" t="n">
        <x:v>991</x:v>
      </x:c>
      <x:c r="V541" t="str">
        <x:v>Collection.pdf + current TCGplayer/cross-market research 2026-08-17</x:v>
      </x:c>
      <x:c r="W541" t="str">
        <x:v>https://www.tcgplayer.com/search/pokemon/product?q=Light+Togetic+%2315+Neo+Destiny</x:v>
      </x:c>
    </x:row>
    <x:row r="542">
      <x:c r="A542" t="n">
        <x:v>666</x:v>
      </x:c>
      <x:c r="B542" t="str">
        <x:v>PDF Import / Added Cards</x:v>
      </x:c>
      <x:c r="C542" t="str">
        <x:v>Palkia</x:v>
      </x:c>
      <x:c r="D542" t="str">
        <x:v>19/95</x:v>
      </x:c>
      <x:c r="E542" t="str">
        <x:v>Call of Legends</x:v>
      </x:c>
      <x:c r="F542" t="n">
        <x:v>2011</x:v>
      </x:c>
      <x:c r="G542" t="str">
        <x:v>As listed in PriceCharting PDF; foil unspecified</x:v>
      </x:c>
      <x:c r="H542" t="str">
        <x:v>1 of 1</x:v>
      </x:c>
      <x:c r="I542" t="n">
        <x:v>12</x:v>
      </x:c>
      <x:c r="J542" t="n">
        <x:v>22</x:v>
      </x:c>
      <x:c r="K542" t="n">
        <x:v>17</x:v>
      </x:c>
      <x:c r="L542" t="str">
        <x:v>$5–20</x:v>
      </x:c>
      <x:c r="M542" t="str">
        <x:v>Yes</x:v>
      </x:c>
      <x:c r="N542" t="str">
        <x:v>No</x:v>
      </x:c>
      <x:c r="O542" t="str">
        <x:v>Yes</x:v>
      </x:c>
      <x:c r="P542" t="str">
        <x:v>Condition not yet reviewed</x:v>
      </x:c>
      <x:c r="Q542" t="n">
        <x:v>12</x:v>
      </x:c>
      <x:c r="R542" t="n">
        <x:v>22</x:v>
      </x:c>
      <x:c r="S542" t="n">
        <x:v>17</x:v>
      </x:c>
      <x:c r="T542" t="str">
        <x:v>Imported from user's PriceCharting Collection.pdf, page 3. PDF row value $10.00; quantity 1; per-card allocation $10.00. Imported value is carried exactly from the PDF and has not been independently repriced. EXTERNAL REPRICE (2026-08-17): Current TCGplayer/PokeScope market around $19 with recent sales in the low-to-high teens.</x:v>
      </x:c>
      <x:c r="U542" t="n">
        <x:v>991</x:v>
      </x:c>
      <x:c r="V542" t="str">
        <x:v>Collection.pdf + current TCGplayer/cross-market research 2026-08-17</x:v>
      </x:c>
      <x:c r="W542" t="str">
        <x:v>https://www.tcgplayer.com/search/pokemon/product?q=Palkia+%2319+Call+of+Legends</x:v>
      </x:c>
    </x:row>
    <x:row r="543">
      <x:c r="A543" t="n">
        <x:v>667</x:v>
      </x:c>
      <x:c r="B543" t="str">
        <x:v>PDF Import / Added Cards</x:v>
      </x:c>
      <x:c r="C543" t="str">
        <x:v>Jirachi</x:v>
      </x:c>
      <x:c r="D543" t="str">
        <x:v>11/95</x:v>
      </x:c>
      <x:c r="E543" t="str">
        <x:v>Call of Legends</x:v>
      </x:c>
      <x:c r="F543" t="n">
        <x:v>2011</x:v>
      </x:c>
      <x:c r="G543" t="str">
        <x:v>As listed in PriceCharting PDF; foil unspecified</x:v>
      </x:c>
      <x:c r="H543" t="str">
        <x:v>1 of 1</x:v>
      </x:c>
      <x:c r="I543" t="n">
        <x:v>28</x:v>
      </x:c>
      <x:c r="J543" t="n">
        <x:v>40</x:v>
      </x:c>
      <x:c r="K543" t="n">
        <x:v>34</x:v>
      </x:c>
      <x:c r="L543" t="str">
        <x:v>$20+</x:v>
      </x:c>
      <x:c r="M543" t="str">
        <x:v>Yes</x:v>
      </x:c>
      <x:c r="N543" t="str">
        <x:v>Yes</x:v>
      </x:c>
      <x:c r="O543" t="str">
        <x:v>Yes</x:v>
      </x:c>
      <x:c r="P543" t="str">
        <x:v>Condition not yet reviewed</x:v>
      </x:c>
      <x:c r="Q543" t="n">
        <x:v>28</x:v>
      </x:c>
      <x:c r="R543" t="n">
        <x:v>40</x:v>
      </x:c>
      <x:c r="S543" t="n">
        <x:v>34</x:v>
      </x:c>
      <x:c r="T543" t="str">
        <x:v>Imported from user's PriceCharting Collection.pdf, page 3. PDF row value $21.43; quantity 1; per-card allocation $21.43. Imported value is carried exactly from the PDF and has not been independently repriced. EXTERNAL REPRICE (2026-08-17): Current TCGplayer/PokeScope market around mid-$30s; recent NM sales roughly $22–45.</x:v>
      </x:c>
      <x:c r="U543" t="n">
        <x:v>991</x:v>
      </x:c>
      <x:c r="V543" t="str">
        <x:v>Collection.pdf + current TCGplayer/cross-market research 2026-08-17</x:v>
      </x:c>
      <x:c r="W543" t="str">
        <x:v>https://www.tcgplayer.com/search/pokemon/product?q=Jirachi+%2311+Call+of+Legends</x:v>
      </x:c>
    </x:row>
    <x:row r="544">
      <x:c r="A544" t="n">
        <x:v>668</x:v>
      </x:c>
      <x:c r="B544" t="str">
        <x:v>PDF Import / Added Cards</x:v>
      </x:c>
      <x:c r="C544" t="str">
        <x:v>Noctowl BREAK</x:v>
      </x:c>
      <x:c r="D544" t="str">
        <x:v>XY136</x:v>
      </x:c>
      <x:c r="E544" t="str">
        <x:v>Promo</x:v>
      </x:c>
      <x:c r="F544"/>
      <x:c r="G544" t="str">
        <x:v>BREAK Holo</x:v>
      </x:c>
      <x:c r="H544" t="str">
        <x:v>1 of 1</x:v>
      </x:c>
      <x:c r="I544" t="n">
        <x:v>10</x:v>
      </x:c>
      <x:c r="J544" t="n">
        <x:v>16</x:v>
      </x:c>
      <x:c r="K544" t="n">
        <x:v>13</x:v>
      </x:c>
      <x:c r="L544" t="str">
        <x:v>$5–20</x:v>
      </x:c>
      <x:c r="M544" t="str">
        <x:v>Yes</x:v>
      </x:c>
      <x:c r="N544" t="str">
        <x:v>No</x:v>
      </x:c>
      <x:c r="O544" t="str">
        <x:v>Yes</x:v>
      </x:c>
      <x:c r="P544" t="str">
        <x:v>Condition not yet reviewed</x:v>
      </x:c>
      <x:c r="Q544" t="n">
        <x:v>10</x:v>
      </x:c>
      <x:c r="R544" t="n">
        <x:v>16</x:v>
      </x:c>
      <x:c r="S544" t="n">
        <x:v>13</x:v>
      </x:c>
      <x:c r="T544" t="str">
        <x:v>Imported from user's PriceCharting Collection.pdf, page 3. PDF row value $9.24; quantity 1; per-card allocation $9.24. Imported value is carried exactly from the PDF and has not been independently repriced. EXTERNAL REPRICE (2026-08-17): Current TCGplayer holo market around mid-teens.</x:v>
      </x:c>
      <x:c r="U544" t="n">
        <x:v>991</x:v>
      </x:c>
      <x:c r="V544" t="str">
        <x:v>Collection.pdf + current TCGplayer/cross-market research 2026-08-17</x:v>
      </x:c>
      <x:c r="W544" t="str">
        <x:v>https://www.tcgplayer.com/search/pokemon/product?q=Noctowl+BREAK+%23XY136+Promo</x:v>
      </x:c>
    </x:row>
    <x:row r="545">
      <x:c r="A545" t="n">
        <x:v>669</x:v>
      </x:c>
      <x:c r="B545" t="str">
        <x:v>PDF Import / Added Cards</x:v>
      </x:c>
      <x:c r="C545" t="str">
        <x:v>Garchomp-EX</x:v>
      </x:c>
      <x:c r="D545" t="str">
        <x:v>XY09</x:v>
      </x:c>
      <x:c r="E545" t="str">
        <x:v>Promo</x:v>
      </x:c>
      <x:c r="F545"/>
      <x:c r="G545" t="str">
        <x:v>Holo EX</x:v>
      </x:c>
      <x:c r="H545" t="str">
        <x:v>1 of 1</x:v>
      </x:c>
      <x:c r="I545" t="n">
        <x:v>8</x:v>
      </x:c>
      <x:c r="J545" t="n">
        <x:v>15</x:v>
      </x:c>
      <x:c r="K545" t="n">
        <x:v>11.5</x:v>
      </x:c>
      <x:c r="L545" t="str">
        <x:v>$5–20</x:v>
      </x:c>
      <x:c r="M545" t="str">
        <x:v>Yes</x:v>
      </x:c>
      <x:c r="N545" t="str">
        <x:v>No</x:v>
      </x:c>
      <x:c r="O545" t="str">
        <x:v>Yes</x:v>
      </x:c>
      <x:c r="P545" t="str">
        <x:v>Condition not yet reviewed</x:v>
      </x:c>
      <x:c r="Q545" t="n">
        <x:v>8</x:v>
      </x:c>
      <x:c r="R545" t="n">
        <x:v>15</x:v>
      </x:c>
      <x:c r="S545" t="n">
        <x:v>11.5</x:v>
      </x:c>
      <x:c r="T545" t="str">
        <x:v>Imported from user's PriceCharting Collection.pdf, page 3. PDF row value $4.50; quantity 1; per-card allocation $4.50. Imported value is carried exactly from the PDF and has not been independently repriced. EXTERNAL REPRICE (2026-08-17): Current TCGplayer and secondary checks roughly $8–15.</x:v>
      </x:c>
      <x:c r="U545" t="n">
        <x:v>991</x:v>
      </x:c>
      <x:c r="V545" t="str">
        <x:v>Collection.pdf + current TCGplayer/cross-market research 2026-08-17</x:v>
      </x:c>
      <x:c r="W545" t="str">
        <x:v>https://www.tcgplayer.com/search/pokemon/product?q=Garchomp+EX+%23XY09+Promo</x:v>
      </x:c>
    </x:row>
    <x:row r="546">
      <x:c r="A546" t="n">
        <x:v>670</x:v>
      </x:c>
      <x:c r="B546" t="str">
        <x:v>PDF Import / Added Cards</x:v>
      </x:c>
      <x:c r="C546" t="str">
        <x:v>Chandelure-EX</x:v>
      </x:c>
      <x:c r="D546" t="str">
        <x:v>77/113</x:v>
      </x:c>
      <x:c r="E546" t="str">
        <x:v>Legendary Treasures</x:v>
      </x:c>
      <x:c r="F546" t="n">
        <x:v>2013</x:v>
      </x:c>
      <x:c r="G546" t="str">
        <x:v>Holo EX</x:v>
      </x:c>
      <x:c r="H546" t="str">
        <x:v>1 of 1</x:v>
      </x:c>
      <x:c r="I546" t="n">
        <x:v>9</x:v>
      </x:c>
      <x:c r="J546" t="n">
        <x:v>12</x:v>
      </x:c>
      <x:c r="K546" t="n">
        <x:v>10.5</x:v>
      </x:c>
      <x:c r="L546" t="str">
        <x:v>$5–20</x:v>
      </x:c>
      <x:c r="M546" t="str">
        <x:v>Yes</x:v>
      </x:c>
      <x:c r="N546" t="str">
        <x:v>No</x:v>
      </x:c>
      <x:c r="O546" t="str">
        <x:v>Yes</x:v>
      </x:c>
      <x:c r="P546" t="str">
        <x:v>Condition not yet reviewed</x:v>
      </x:c>
      <x:c r="Q546" t="n">
        <x:v>9</x:v>
      </x:c>
      <x:c r="R546" t="n">
        <x:v>12</x:v>
      </x:c>
      <x:c r="S546" t="n">
        <x:v>10.5</x:v>
      </x:c>
      <x:c r="T546" t="str">
        <x:v>Imported from user's PriceCharting Collection.pdf, page 4. PDF row value $9.54; quantity 1; per-card allocation $9.54. Imported value is carried exactly from the PDF and has not been independently repriced. EXTERNAL REPRICE (2026-08-17): Current PokeScope/TCGplayer market around $10–11.</x:v>
      </x:c>
      <x:c r="U546" t="n">
        <x:v>991</x:v>
      </x:c>
      <x:c r="V546" t="str">
        <x:v>Collection.pdf + current TCGplayer/cross-market research 2026-08-17</x:v>
      </x:c>
      <x:c r="W546" t="str">
        <x:v>https://www.tcgplayer.com/search/pokemon/product?q=Chandelure+EX+%2377+Legendary+Treasures</x:v>
      </x:c>
    </x:row>
    <x:row r="547">
      <x:c r="A547" t="n">
        <x:v>671</x:v>
      </x:c>
      <x:c r="B547" t="str">
        <x:v>PDF Import / Added Cards</x:v>
      </x:c>
      <x:c r="C547" t="str">
        <x:v>Kyurem-EX</x:v>
      </x:c>
      <x:c r="D547" t="str">
        <x:v>BW37</x:v>
      </x:c>
      <x:c r="E547" t="str">
        <x:v>Promo</x:v>
      </x:c>
      <x:c r="F547"/>
      <x:c r="G547" t="str">
        <x:v>Holo EX</x:v>
      </x:c>
      <x:c r="H547" t="str">
        <x:v>1 of 1</x:v>
      </x:c>
      <x:c r="I547" t="n">
        <x:v>4.5</x:v>
      </x:c>
      <x:c r="J547" t="n">
        <x:v>7</x:v>
      </x:c>
      <x:c r="K547" t="n">
        <x:v>5.75</x:v>
      </x:c>
      <x:c r="L547" t="str">
        <x:v>$5–20</x:v>
      </x:c>
      <x:c r="M547" t="str">
        <x:v>Yes</x:v>
      </x:c>
      <x:c r="N547" t="str">
        <x:v>No</x:v>
      </x:c>
      <x:c r="O547" t="str">
        <x:v>Yes</x:v>
      </x:c>
      <x:c r="P547" t="str">
        <x:v>Condition not yet reviewed</x:v>
      </x:c>
      <x:c r="Q547" t="n">
        <x:v>4.5</x:v>
      </x:c>
      <x:c r="R547" t="n">
        <x:v>7</x:v>
      </x:c>
      <x:c r="S547" t="n">
        <x:v>5.75</x:v>
      </x:c>
      <x:c r="T547" t="str">
        <x:v>Imported from user's PriceCharting Collection.pdf, page 4. PDF row value $5.56; quantity 1; per-card allocation $5.56. Imported value is carried exactly from the PDF and has not been independently repriced. EXTERNAL REPRICE (2026-08-17): Current TCGplayer/PokeScope around $5–6.</x:v>
      </x:c>
      <x:c r="U547" t="n">
        <x:v>991</x:v>
      </x:c>
      <x:c r="V547" t="str">
        <x:v>Collection.pdf + current TCGplayer/cross-market research 2026-08-17</x:v>
      </x:c>
      <x:c r="W547" t="str">
        <x:v>https://www.tcgplayer.com/search/pokemon/product?q=Kyurem+EX+%23BW37+Promo</x:v>
      </x:c>
    </x:row>
    <x:row r="548">
      <x:c r="A548" t="n">
        <x:v>672</x:v>
      </x:c>
      <x:c r="B548" t="str">
        <x:v>PDF Import / Added Cards</x:v>
      </x:c>
      <x:c r="C548" t="str">
        <x:v>Dialga</x:v>
      </x:c>
      <x:c r="D548" t="str">
        <x:v>DP49</x:v>
      </x:c>
      <x:c r="E548" t="str">
        <x:v>Promo</x:v>
      </x:c>
      <x:c r="F548"/>
      <x:c r="G548" t="str">
        <x:v>As listed in PriceCharting PDF; foil unspecified</x:v>
      </x:c>
      <x:c r="H548" t="str">
        <x:v>1 of 1</x:v>
      </x:c>
      <x:c r="I548" t="n">
        <x:v>10</x:v>
      </x:c>
      <x:c r="J548" t="n">
        <x:v>18</x:v>
      </x:c>
      <x:c r="K548" t="n">
        <x:v>14</x:v>
      </x:c>
      <x:c r="L548" t="str">
        <x:v>$5–20</x:v>
      </x:c>
      <x:c r="M548" t="str">
        <x:v>Yes</x:v>
      </x:c>
      <x:c r="N548" t="str">
        <x:v>No</x:v>
      </x:c>
      <x:c r="O548" t="str">
        <x:v>Yes</x:v>
      </x:c>
      <x:c r="P548" t="str">
        <x:v>Condition not yet reviewed</x:v>
      </x:c>
      <x:c r="Q548" t="n">
        <x:v>10</x:v>
      </x:c>
      <x:c r="R548" t="n">
        <x:v>18</x:v>
      </x:c>
      <x:c r="S548" t="n">
        <x:v>14</x:v>
      </x:c>
      <x:c r="T548" t="str">
        <x:v>Imported from user's PriceCharting Collection.pdf, page 4. PDF row value $12.00; quantity 1; per-card allocation $12.00. Imported value is carried exactly from the PDF and has not been independently repriced. EXTERNAL REPRICE (2026-08-17): Current TCGplayer market mid-teens; recent NM sale data can run higher.</x:v>
      </x:c>
      <x:c r="U548" t="n">
        <x:v>991</x:v>
      </x:c>
      <x:c r="V548" t="str">
        <x:v>Collection.pdf + current TCGplayer/cross-market research 2026-08-17</x:v>
      </x:c>
      <x:c r="W548" t="str">
        <x:v>https://www.tcgplayer.com/search/pokemon/product?q=Dialga+%23DP49+Promo</x:v>
      </x:c>
    </x:row>
    <x:row r="549">
      <x:c r="A549" t="n">
        <x:v>673</x:v>
      </x:c>
      <x:c r="B549" t="str">
        <x:v>PDF Import / Added Cards</x:v>
      </x:c>
      <x:c r="C549" t="str">
        <x:v>Thundurus-EX</x:v>
      </x:c>
      <x:c r="D549" t="str">
        <x:v>38/116</x:v>
      </x:c>
      <x:c r="E549" t="str">
        <x:v>Plasma Freeze</x:v>
      </x:c>
      <x:c r="F549" t="n">
        <x:v>2013</x:v>
      </x:c>
      <x:c r="G549" t="str">
        <x:v>Holo EX</x:v>
      </x:c>
      <x:c r="H549" t="str">
        <x:v>1 of 1</x:v>
      </x:c>
      <x:c r="I549" t="n">
        <x:v>10</x:v>
      </x:c>
      <x:c r="J549" t="n">
        <x:v>16</x:v>
      </x:c>
      <x:c r="K549" t="n">
        <x:v>13</x:v>
      </x:c>
      <x:c r="L549" t="str">
        <x:v>$5–20</x:v>
      </x:c>
      <x:c r="M549" t="str">
        <x:v>Yes</x:v>
      </x:c>
      <x:c r="N549" t="str">
        <x:v>No</x:v>
      </x:c>
      <x:c r="O549" t="str">
        <x:v>Yes</x:v>
      </x:c>
      <x:c r="P549" t="str">
        <x:v>Condition not yet reviewed</x:v>
      </x:c>
      <x:c r="Q549" t="n">
        <x:v>10</x:v>
      </x:c>
      <x:c r="R549" t="n">
        <x:v>16</x:v>
      </x:c>
      <x:c r="S549" t="n">
        <x:v>13</x:v>
      </x:c>
      <x:c r="T549" t="str">
        <x:v>Imported from user's PriceCharting Collection.pdf, page 4. PDF row value $9.02; quantity 1; per-card allocation $9.02. Imported value is carried exactly from the PDF and has not been independently repriced. EXTERNAL REPRICE (2026-08-17): Current TCGplayer/PokeScope around $14.</x:v>
      </x:c>
      <x:c r="U549" t="n">
        <x:v>991</x:v>
      </x:c>
      <x:c r="V549" t="str">
        <x:v>Collection.pdf + current TCGplayer/cross-market research 2026-08-17</x:v>
      </x:c>
      <x:c r="W549" t="str">
        <x:v>https://www.tcgplayer.com/search/pokemon/product?q=Thundurus+EX+%2338+Plasma+Freeze</x:v>
      </x:c>
    </x:row>
    <x:row r="550">
      <x:c r="A550" t="n">
        <x:v>674</x:v>
      </x:c>
      <x:c r="B550" t="str">
        <x:v>PDF Import / Added Cards</x:v>
      </x:c>
      <x:c r="C550" t="str">
        <x:v>Zapdos-EX</x:v>
      </x:c>
      <x:c r="D550" t="str">
        <x:v>48/135</x:v>
      </x:c>
      <x:c r="E550" t="str">
        <x:v>Plasma Storm</x:v>
      </x:c>
      <x:c r="F550" t="n">
        <x:v>2013</x:v>
      </x:c>
      <x:c r="G550" t="str">
        <x:v>Holo EX</x:v>
      </x:c>
      <x:c r="H550" t="str">
        <x:v>1 of 1</x:v>
      </x:c>
      <x:c r="I550" t="n">
        <x:v>10</x:v>
      </x:c>
      <x:c r="J550" t="n">
        <x:v>14</x:v>
      </x:c>
      <x:c r="K550" t="n">
        <x:v>12</x:v>
      </x:c>
      <x:c r="L550" t="str">
        <x:v>$5–20</x:v>
      </x:c>
      <x:c r="M550" t="str">
        <x:v>Yes</x:v>
      </x:c>
      <x:c r="N550" t="str">
        <x:v>No</x:v>
      </x:c>
      <x:c r="O550" t="str">
        <x:v>Yes</x:v>
      </x:c>
      <x:c r="P550" t="str">
        <x:v>Condition not yet reviewed</x:v>
      </x:c>
      <x:c r="Q550" t="n">
        <x:v>10</x:v>
      </x:c>
      <x:c r="R550" t="n">
        <x:v>14</x:v>
      </x:c>
      <x:c r="S550" t="n">
        <x:v>12</x:v>
      </x:c>
      <x:c r="T550" t="str">
        <x:v>Imported from user's PriceCharting Collection.pdf, page 4. PDF row value $10.09; quantity 1; per-card allocation $10.09. Imported value is carried exactly from the PDF and has not been independently repriced. EXTERNAL REPRICE (2026-08-17): Current TCGplayer/PokeScope around $11–12; recent NM sales roughly $10–14.</x:v>
      </x:c>
      <x:c r="U550" t="n">
        <x:v>991</x:v>
      </x:c>
      <x:c r="V550" t="str">
        <x:v>Collection.pdf + current TCGplayer/cross-market research 2026-08-17</x:v>
      </x:c>
      <x:c r="W550" t="str">
        <x:v>https://www.tcgplayer.com/search/pokemon/product?q=Zapdos+EX+%2348+Plasma+Storm</x:v>
      </x:c>
    </x:row>
    <x:row r="551">
      <x:c r="A551" t="n">
        <x:v>675</x:v>
      </x:c>
      <x:c r="B551" t="str">
        <x:v>PDF Import / Added Cards</x:v>
      </x:c>
      <x:c r="C551" t="str">
        <x:v>Terrakion-EX</x:v>
      </x:c>
      <x:c r="D551" t="str">
        <x:v>71/124</x:v>
      </x:c>
      <x:c r="E551" t="str">
        <x:v>Dragons Exalted</x:v>
      </x:c>
      <x:c r="F551" t="n">
        <x:v>2012</x:v>
      </x:c>
      <x:c r="G551" t="str">
        <x:v>Holo EX</x:v>
      </x:c>
      <x:c r="H551" t="str">
        <x:v>1 of 1</x:v>
      </x:c>
      <x:c r="I551" t="n">
        <x:v>5.5</x:v>
      </x:c>
      <x:c r="J551" t="n">
        <x:v>8</x:v>
      </x:c>
      <x:c r="K551" t="n">
        <x:v>6.75</x:v>
      </x:c>
      <x:c r="L551" t="str">
        <x:v>$5–20</x:v>
      </x:c>
      <x:c r="M551" t="str">
        <x:v>Yes</x:v>
      </x:c>
      <x:c r="N551" t="str">
        <x:v>No</x:v>
      </x:c>
      <x:c r="O551" t="str">
        <x:v>Yes</x:v>
      </x:c>
      <x:c r="P551" t="str">
        <x:v>Condition not yet reviewed</x:v>
      </x:c>
      <x:c r="Q551" t="n">
        <x:v>5.5</x:v>
      </x:c>
      <x:c r="R551" t="n">
        <x:v>8</x:v>
      </x:c>
      <x:c r="S551" t="n">
        <x:v>6.75</x:v>
      </x:c>
      <x:c r="T551" t="str">
        <x:v>Imported from user's PriceCharting Collection.pdf, page 4. PDF row value $6.00; quantity 1; per-card allocation $6.00. Imported value is carried exactly from the PDF and has not been independently repriced. EXTERNAL REPRICE (2026-08-17): Current TCGplayer market around $6.8–7.</x:v>
      </x:c>
      <x:c r="U551" t="n">
        <x:v>991</x:v>
      </x:c>
      <x:c r="V551" t="str">
        <x:v>Collection.pdf + current TCGplayer/cross-market research 2026-08-17</x:v>
      </x:c>
      <x:c r="W551" t="str">
        <x:v>https://www.tcgplayer.com/search/pokemon/product?q=Terrakion+EX+%2371+Dragons+Exalted</x:v>
      </x:c>
    </x:row>
    <x:row r="552">
      <x:c r="A552" t="n">
        <x:v>676</x:v>
      </x:c>
      <x:c r="B552" t="str">
        <x:v>PDF Import / Added Cards</x:v>
      </x:c>
      <x:c r="C552" t="str">
        <x:v>Beeheyem BREAK</x:v>
      </x:c>
      <x:c r="D552" t="str">
        <x:v>XY135</x:v>
      </x:c>
      <x:c r="E552" t="str">
        <x:v>Promo</x:v>
      </x:c>
      <x:c r="F552"/>
      <x:c r="G552" t="str">
        <x:v>BREAK Holo</x:v>
      </x:c>
      <x:c r="H552" t="str">
        <x:v>1 of 1</x:v>
      </x:c>
      <x:c r="I552" t="n">
        <x:v>8</x:v>
      </x:c>
      <x:c r="J552" t="n">
        <x:v>13</x:v>
      </x:c>
      <x:c r="K552" t="n">
        <x:v>10.5</x:v>
      </x:c>
      <x:c r="L552" t="str">
        <x:v>$5–20</x:v>
      </x:c>
      <x:c r="M552" t="str">
        <x:v>Yes</x:v>
      </x:c>
      <x:c r="N552" t="str">
        <x:v>No</x:v>
      </x:c>
      <x:c r="O552" t="str">
        <x:v>Yes</x:v>
      </x:c>
      <x:c r="P552" t="str">
        <x:v>Condition not yet reviewed</x:v>
      </x:c>
      <x:c r="Q552" t="n">
        <x:v>8</x:v>
      </x:c>
      <x:c r="R552" t="n">
        <x:v>13</x:v>
      </x:c>
      <x:c r="S552" t="n">
        <x:v>10.5</x:v>
      </x:c>
      <x:c r="T552" t="str">
        <x:v>Imported from user's PriceCharting Collection.pdf, page 4. PDF row value $0.99; quantity 1; per-card allocation $0.99. Imported value is carried exactly from the PDF and has not been independently repriced. EXTERNAL REPRICE (2026-08-17): Current TCGplayer/search and PokeScope signals around $9–12; PDF value was materially stale.</x:v>
      </x:c>
      <x:c r="U552" t="n">
        <x:v>991</x:v>
      </x:c>
      <x:c r="V552" t="str">
        <x:v>Collection.pdf + current TCGplayer/cross-market research 2026-08-17</x:v>
      </x:c>
      <x:c r="W552" t="str">
        <x:v>https://www.tcgplayer.com/search/pokemon/product?q=Beeheyem+BREAK+%23XY135+Promo</x:v>
      </x:c>
    </x:row>
    <x:row r="553">
      <x:c r="A553" t="n">
        <x:v>677</x:v>
      </x:c>
      <x:c r="B553" t="str">
        <x:v>PDF Import / Added Cards</x:v>
      </x:c>
      <x:c r="C553" t="str">
        <x:v>Black Kyurem-EX</x:v>
      </x:c>
      <x:c r="D553" t="str">
        <x:v>100/113</x:v>
      </x:c>
      <x:c r="E553" t="str">
        <x:v>Legendary Treasures</x:v>
      </x:c>
      <x:c r="F553" t="n">
        <x:v>2013</x:v>
      </x:c>
      <x:c r="G553" t="str">
        <x:v>Holo EX</x:v>
      </x:c>
      <x:c r="H553" t="str">
        <x:v>1 of 1</x:v>
      </x:c>
      <x:c r="I553" t="n">
        <x:v>5.5</x:v>
      </x:c>
      <x:c r="J553" t="n">
        <x:v>8</x:v>
      </x:c>
      <x:c r="K553" t="n">
        <x:v>6.75</x:v>
      </x:c>
      <x:c r="L553" t="str">
        <x:v>$5–20</x:v>
      </x:c>
      <x:c r="M553" t="str">
        <x:v>Yes</x:v>
      </x:c>
      <x:c r="N553" t="str">
        <x:v>No</x:v>
      </x:c>
      <x:c r="O553" t="str">
        <x:v>Yes</x:v>
      </x:c>
      <x:c r="P553" t="str">
        <x:v>Condition not yet reviewed</x:v>
      </x:c>
      <x:c r="Q553" t="n">
        <x:v>5.5</x:v>
      </x:c>
      <x:c r="R553" t="n">
        <x:v>8</x:v>
      </x:c>
      <x:c r="S553" t="n">
        <x:v>6.75</x:v>
      </x:c>
      <x:c r="T553" t="str">
        <x:v>Imported from user's PriceCharting Collection.pdf, page 5. PDF row value $6.25; quantity 1; per-card allocation $6.25. Imported value is carried exactly from the PDF and has not been independently repriced. EXTERNAL REPRICE (2026-08-17): Current TCGplayer/PokeScope around $6–7.</x:v>
      </x:c>
      <x:c r="U553" t="n">
        <x:v>991</x:v>
      </x:c>
      <x:c r="V553" t="str">
        <x:v>Collection.pdf + current TCGplayer/cross-market research 2026-08-17</x:v>
      </x:c>
      <x:c r="W553" t="str">
        <x:v>https://www.tcgplayer.com/search/pokemon/product?q=Black+Kyurem+EX+%23100+Legendary+Treasures</x:v>
      </x:c>
    </x:row>
    <x:row r="554">
      <x:c r="A554" t="n">
        <x:v>678</x:v>
      </x:c>
      <x:c r="B554" t="str">
        <x:v>PDF Import / Added Cards</x:v>
      </x:c>
      <x:c r="C554" t="str">
        <x:v>Reshiram-EX</x:v>
      </x:c>
      <x:c r="D554" t="str">
        <x:v>22/99</x:v>
      </x:c>
      <x:c r="E554" t="str">
        <x:v>Next Destinies</x:v>
      </x:c>
      <x:c r="F554" t="n">
        <x:v>2012</x:v>
      </x:c>
      <x:c r="G554" t="str">
        <x:v>Holo EX</x:v>
      </x:c>
      <x:c r="H554" t="str">
        <x:v>1 of 1</x:v>
      </x:c>
      <x:c r="I554" t="n">
        <x:v>16</x:v>
      </x:c>
      <x:c r="J554" t="n">
        <x:v>22</x:v>
      </x:c>
      <x:c r="K554" t="n">
        <x:v>19</x:v>
      </x:c>
      <x:c r="L554" t="str">
        <x:v>$5–20</x:v>
      </x:c>
      <x:c r="M554" t="str">
        <x:v>Yes</x:v>
      </x:c>
      <x:c r="N554" t="str">
        <x:v>No</x:v>
      </x:c>
      <x:c r="O554" t="str">
        <x:v>Yes</x:v>
      </x:c>
      <x:c r="P554" t="str">
        <x:v>Condition not yet reviewed</x:v>
      </x:c>
      <x:c r="Q554" t="n">
        <x:v>16</x:v>
      </x:c>
      <x:c r="R554" t="n">
        <x:v>22</x:v>
      </x:c>
      <x:c r="S554" t="n">
        <x:v>19</x:v>
      </x:c>
      <x:c r="T554" t="str">
        <x:v>Imported from user's PriceCharting Collection.pdf, page 5. PDF row value $12.47; quantity 1; per-card allocation $12.47. Imported value is carried exactly from the PDF and has not been independently repriced. EXTERNAL REPRICE (2026-08-17): Current TCGplayer/PokeScope roughly $18–20; recent NM sales around high teens/low $20s.</x:v>
      </x:c>
      <x:c r="U554" t="n">
        <x:v>991</x:v>
      </x:c>
      <x:c r="V554" t="str">
        <x:v>Collection.pdf + current TCGplayer/cross-market research 2026-08-17</x:v>
      </x:c>
      <x:c r="W554" t="str">
        <x:v>https://www.tcgplayer.com/search/pokemon/product?q=Reshiram+EX+%2322+Next+Destinies</x:v>
      </x:c>
    </x:row>
    <x:row r="555">
      <x:c r="A555" t="n">
        <x:v>679</x:v>
      </x:c>
      <x:c r="B555" t="str">
        <x:v>PDF Import / Added Cards</x:v>
      </x:c>
      <x:c r="C555" t="str">
        <x:v>Keldeo-EX</x:v>
      </x:c>
      <x:c r="D555" t="str">
        <x:v>49/149</x:v>
      </x:c>
      <x:c r="E555" t="str">
        <x:v>Boundaries Crossed</x:v>
      </x:c>
      <x:c r="F555" t="n">
        <x:v>2012</x:v>
      </x:c>
      <x:c r="G555" t="str">
        <x:v>Holo EX</x:v>
      </x:c>
      <x:c r="H555" t="str">
        <x:v>3 of 3</x:v>
      </x:c>
      <x:c r="I555" t="n">
        <x:v>1.25</x:v>
      </x:c>
      <x:c r="J555" t="n">
        <x:v>2.5</x:v>
      </x:c>
      <x:c r="K555" t="n">
        <x:v>1.875</x:v>
      </x:c>
      <x:c r="L555" t="str">
        <x:v>$1–5</x:v>
      </x:c>
      <x:c r="M555" t="str">
        <x:v>Yes</x:v>
      </x:c>
      <x:c r="N555" t="str">
        <x:v>No</x:v>
      </x:c>
      <x:c r="O555" t="str">
        <x:v>Yes</x:v>
      </x:c>
      <x:c r="P555" t="str">
        <x:v>Condition not yet reviewed</x:v>
      </x:c>
      <x:c r="Q555" t="n">
        <x:v>1.25</x:v>
      </x:c>
      <x:c r="R555" t="n">
        <x:v>2.5</x:v>
      </x:c>
      <x:c r="S555" t="n">
        <x:v>1.875</x:v>
      </x:c>
      <x:c r="T555" t="str">
        <x:v>Imported from user's PriceCharting Collection.pdf, page 5. PDF row value $1.92; quantity 1; per-card allocation $1.92. Imported value is carried exactly from the PDF and has not been independently repriced. EXTERNAL REPRICE (2026-08-17): Current TCGplayer market around $1.7–2.</x:v>
      </x:c>
      <x:c r="U555" t="n">
        <x:v>991</x:v>
      </x:c>
      <x:c r="V555" t="str">
        <x:v>Collection.pdf + current TCGplayer/cross-market research 2026-08-17</x:v>
      </x:c>
      <x:c r="W555" t="str">
        <x:v>https://www.tcgplayer.com/search/pokemon/product?q=Keldeo+EX+%2349+Boundaries+Crossed</x:v>
      </x:c>
    </x:row>
    <x:row r="556">
      <x:c r="A556" t="n">
        <x:v>680</x:v>
      </x:c>
      <x:c r="B556" t="str">
        <x:v>PDF Import / Added Cards</x:v>
      </x:c>
      <x:c r="C556" t="str">
        <x:v>Eevee</x:v>
      </x:c>
      <x:c r="D556" t="str">
        <x:v>51/64</x:v>
      </x:c>
      <x:c r="E556" t="str">
        <x:v>Jungle</x:v>
      </x:c>
      <x:c r="F556" t="n">
        <x:v>1999</x:v>
      </x:c>
      <x:c r="G556" t="str">
        <x:v>As listed in PriceCharting PDF; foil unspecified</x:v>
      </x:c>
      <x:c r="H556" t="str">
        <x:v>1 of 1</x:v>
      </x:c>
      <x:c r="I556" t="n">
        <x:v>1.5</x:v>
      </x:c>
      <x:c r="J556" t="n">
        <x:v>3</x:v>
      </x:c>
      <x:c r="K556" t="n">
        <x:v>2.25</x:v>
      </x:c>
      <x:c r="L556" t="str">
        <x:v>$1–5</x:v>
      </x:c>
      <x:c r="M556" t="str">
        <x:v>Yes</x:v>
      </x:c>
      <x:c r="N556" t="str">
        <x:v>No</x:v>
      </x:c>
      <x:c r="O556" t="str">
        <x:v>Yes</x:v>
      </x:c>
      <x:c r="P556" t="str">
        <x:v>Condition not yet reviewed</x:v>
      </x:c>
      <x:c r="Q556" t="n">
        <x:v>1.5</x:v>
      </x:c>
      <x:c r="R556" t="n">
        <x:v>3</x:v>
      </x:c>
      <x:c r="S556" t="n">
        <x:v>2.25</x:v>
      </x:c>
      <x:c r="T556" t="str">
        <x:v>Imported from user's PriceCharting Collection.pdf, page 5. PDF row value $2.05; quantity 1; per-card allocation $2.05. Imported value is carried exactly from the PDF and has not been independently repriced. EXTERNAL REPRICE (2026-08-17): Current TCGplayer/PokeScope/PokeData around $2–3 for unlimited.</x:v>
      </x:c>
      <x:c r="U556" t="n">
        <x:v>991</x:v>
      </x:c>
      <x:c r="V556" t="str">
        <x:v>Collection.pdf + current TCGplayer/cross-market research 2026-08-17</x:v>
      </x:c>
      <x:c r="W556" t="str">
        <x:v>https://www.tcgplayer.com/search/pokemon/product?q=Eevee+%2351+Jungle</x:v>
      </x:c>
    </x:row>
    <x:row r="557">
      <x:c r="A557" t="n">
        <x:v>681</x:v>
      </x:c>
      <x:c r="B557" t="str">
        <x:v>PDF Import / Added Cards</x:v>
      </x:c>
      <x:c r="C557" t="str">
        <x:v>M Charizard-EX</x:v>
      </x:c>
      <x:c r="D557" t="str">
        <x:v>13/108</x:v>
      </x:c>
      <x:c r="E557" t="str">
        <x:v>Evolutions</x:v>
      </x:c>
      <x:c r="F557" t="n">
        <x:v>2016</x:v>
      </x:c>
      <x:c r="G557" t="str">
        <x:v>Holo EX</x:v>
      </x:c>
      <x:c r="H557" t="str">
        <x:v>1 of 1</x:v>
      </x:c>
      <x:c r="I557" t="n">
        <x:v>40</x:v>
      </x:c>
      <x:c r="J557" t="n">
        <x:v>55</x:v>
      </x:c>
      <x:c r="K557" t="n">
        <x:v>47.5</x:v>
      </x:c>
      <x:c r="L557" t="str">
        <x:v>$20+</x:v>
      </x:c>
      <x:c r="M557" t="str">
        <x:v>Yes</x:v>
      </x:c>
      <x:c r="N557" t="str">
        <x:v>Yes</x:v>
      </x:c>
      <x:c r="O557" t="str">
        <x:v>Yes</x:v>
      </x:c>
      <x:c r="P557" t="str">
        <x:v>Condition not yet reviewed</x:v>
      </x:c>
      <x:c r="Q557" t="n">
        <x:v>40</x:v>
      </x:c>
      <x:c r="R557" t="n">
        <x:v>55</x:v>
      </x:c>
      <x:c r="S557" t="n">
        <x:v>47.5</x:v>
      </x:c>
      <x:c r="T557" t="str">
        <x:v>Imported from user's PriceCharting Collection.pdf, page 5. PDF row value $39.73; quantity 1; per-card allocation $39.73. Imported value is carried exactly from the PDF and has not been independently repriced. EXTERNAL REPRICE (2026-08-17): Current TCGplayer/PokemonWizard low-$40s to low-$50s; recent NM sales can run higher.</x:v>
      </x:c>
      <x:c r="U557" t="n">
        <x:v>991</x:v>
      </x:c>
      <x:c r="V557" t="str">
        <x:v>Collection.pdf + current TCGplayer/cross-market research 2026-08-17</x:v>
      </x:c>
      <x:c r="W557" t="str">
        <x:v>https://www.tcgplayer.com/search/pokemon/product?q=M+Charizard+EX+%2313+Evolutions</x:v>
      </x:c>
    </x:row>
    <x:row r="558">
      <x:c r="A558" t="n">
        <x:v>682</x:v>
      </x:c>
      <x:c r="B558" t="str">
        <x:v>PDF Import / Added Cards</x:v>
      </x:c>
      <x:c r="C558" t="str">
        <x:v>Chesnaught-EX</x:v>
      </x:c>
      <x:c r="D558" t="str">
        <x:v>XY18</x:v>
      </x:c>
      <x:c r="E558" t="str">
        <x:v>Promo</x:v>
      </x:c>
      <x:c r="F558"/>
      <x:c r="G558" t="str">
        <x:v>Holo EX</x:v>
      </x:c>
      <x:c r="H558" t="str">
        <x:v>1 of 1</x:v>
      </x:c>
      <x:c r="I558" t="n">
        <x:v>4</x:v>
      </x:c>
      <x:c r="J558" t="n">
        <x:v>6</x:v>
      </x:c>
      <x:c r="K558" t="n">
        <x:v>5</x:v>
      </x:c>
      <x:c r="L558" t="str">
        <x:v>$5–20</x:v>
      </x:c>
      <x:c r="M558" t="str">
        <x:v>Yes</x:v>
      </x:c>
      <x:c r="N558" t="str">
        <x:v>No</x:v>
      </x:c>
      <x:c r="O558" t="str">
        <x:v>Yes</x:v>
      </x:c>
      <x:c r="P558" t="str">
        <x:v>Condition not yet reviewed</x:v>
      </x:c>
      <x:c r="Q558" t="n">
        <x:v>4</x:v>
      </x:c>
      <x:c r="R558" t="n">
        <x:v>6</x:v>
      </x:c>
      <x:c r="S558" t="n">
        <x:v>5</x:v>
      </x:c>
      <x:c r="T558" t="str">
        <x:v>Imported from user's PriceCharting Collection.pdf, page 5. PDF row value $4.40; quantity 1; per-card allocation $4.40. Imported value is carried exactly from the PDF and has not been independently repriced. EXTERNAL REPRICE (2026-08-17): Current TCGplayer/PokeScope around $5–5.5.</x:v>
      </x:c>
      <x:c r="U558" t="n">
        <x:v>991</x:v>
      </x:c>
      <x:c r="V558" t="str">
        <x:v>Collection.pdf + current TCGplayer/cross-market research 2026-08-17</x:v>
      </x:c>
      <x:c r="W558" t="str">
        <x:v>https://www.tcgplayer.com/search/pokemon/product?q=Chesnaught+EX+%23XY18+Promo</x:v>
      </x:c>
    </x:row>
    <x:row r="559">
      <x:c r="A559" t="n">
        <x:v>683</x:v>
      </x:c>
      <x:c r="B559" t="str">
        <x:v>PDF Import / Added Cards</x:v>
      </x:c>
      <x:c r="C559" t="str">
        <x:v>Victini-EX</x:v>
      </x:c>
      <x:c r="D559" t="str">
        <x:v>24/113</x:v>
      </x:c>
      <x:c r="E559" t="str">
        <x:v>Legendary Treasures</x:v>
      </x:c>
      <x:c r="F559" t="n">
        <x:v>2013</x:v>
      </x:c>
      <x:c r="G559" t="str">
        <x:v>Holo EX</x:v>
      </x:c>
      <x:c r="H559" t="str">
        <x:v>1 of 1</x:v>
      </x:c>
      <x:c r="I559" t="n">
        <x:v>6.5</x:v>
      </x:c>
      <x:c r="J559" t="n">
        <x:v>9.5</x:v>
      </x:c>
      <x:c r="K559" t="n">
        <x:v>8</x:v>
      </x:c>
      <x:c r="L559" t="str">
        <x:v>$5–20</x:v>
      </x:c>
      <x:c r="M559" t="str">
        <x:v>Yes</x:v>
      </x:c>
      <x:c r="N559" t="str">
        <x:v>No</x:v>
      </x:c>
      <x:c r="O559" t="str">
        <x:v>Yes</x:v>
      </x:c>
      <x:c r="P559" t="str">
        <x:v>Condition not yet reviewed</x:v>
      </x:c>
      <x:c r="Q559" t="n">
        <x:v>6.5</x:v>
      </x:c>
      <x:c r="R559" t="n">
        <x:v>9.5</x:v>
      </x:c>
      <x:c r="S559" t="n">
        <x:v>8</x:v>
      </x:c>
      <x:c r="T559" t="str">
        <x:v>Imported from user's PriceCharting Collection.pdf, page 5. PDF row value $6.00; quantity 1; per-card allocation $6.00. Imported value is carried exactly from the PDF and has not been independently repriced. EXTERNAL REPRICE (2026-08-17): Current TCGplayer/PokeScope around $8–9.</x:v>
      </x:c>
      <x:c r="U559" t="n">
        <x:v>991</x:v>
      </x:c>
      <x:c r="V559" t="str">
        <x:v>Collection.pdf + current TCGplayer/cross-market research 2026-08-17</x:v>
      </x:c>
      <x:c r="W559" t="str">
        <x:v>https://www.tcgplayer.com/search/pokemon/product?q=Victini+EX+%2324+Legendary+Treasures</x:v>
      </x:c>
    </x:row>
    <x:row r="560">
      <x:c r="A560" t="n">
        <x:v>684</x:v>
      </x:c>
      <x:c r="B560" t="str">
        <x:v>PDF Import / Added Cards</x:v>
      </x:c>
      <x:c r="C560" t="str">
        <x:v>Shaymin-EX</x:v>
      </x:c>
      <x:c r="D560" t="str">
        <x:v>5/99</x:v>
      </x:c>
      <x:c r="E560" t="str">
        <x:v>Next Destinies</x:v>
      </x:c>
      <x:c r="F560" t="n">
        <x:v>2012</x:v>
      </x:c>
      <x:c r="G560" t="str">
        <x:v>Holo EX</x:v>
      </x:c>
      <x:c r="H560" t="str">
        <x:v>1 of 1</x:v>
      </x:c>
      <x:c r="I560" t="n">
        <x:v>8</x:v>
      </x:c>
      <x:c r="J560" t="n">
        <x:v>12</x:v>
      </x:c>
      <x:c r="K560" t="n">
        <x:v>10</x:v>
      </x:c>
      <x:c r="L560" t="str">
        <x:v>$5–20</x:v>
      </x:c>
      <x:c r="M560" t="str">
        <x:v>Yes</x:v>
      </x:c>
      <x:c r="N560" t="str">
        <x:v>No</x:v>
      </x:c>
      <x:c r="O560" t="str">
        <x:v>Yes</x:v>
      </x:c>
      <x:c r="P560" t="str">
        <x:v>Condition not yet reviewed</x:v>
      </x:c>
      <x:c r="Q560" t="n">
        <x:v>8</x:v>
      </x:c>
      <x:c r="R560" t="n">
        <x:v>12</x:v>
      </x:c>
      <x:c r="S560" t="n">
        <x:v>10</x:v>
      </x:c>
      <x:c r="T560" t="str">
        <x:v>Imported from user's PriceCharting Collection.pdf, page 6. PDF row value $8.05; quantity 1; per-card allocation $8.05. Imported value is carried exactly from the PDF and has not been independently repriced. EXTERNAL REPRICE (2026-08-17): Current TCGplayer/PokeScope around $10–11.</x:v>
      </x:c>
      <x:c r="U560" t="n">
        <x:v>991</x:v>
      </x:c>
      <x:c r="V560" t="str">
        <x:v>Collection.pdf + current TCGplayer/cross-market research 2026-08-17</x:v>
      </x:c>
      <x:c r="W560" t="str">
        <x:v>https://www.tcgplayer.com/search/pokemon/product?q=Shaymin+EX+%235+Next+Destinies</x:v>
      </x:c>
    </x:row>
    <x:row r="561">
      <x:c r="A561" t="n">
        <x:v>685</x:v>
      </x:c>
      <x:c r="B561" t="str">
        <x:v>PDF Import / Added Cards</x:v>
      </x:c>
      <x:c r="C561" t="str">
        <x:v>Zekrom-EX</x:v>
      </x:c>
      <x:c r="D561" t="str">
        <x:v>BW38</x:v>
      </x:c>
      <x:c r="E561" t="str">
        <x:v>Promo</x:v>
      </x:c>
      <x:c r="F561"/>
      <x:c r="G561" t="str">
        <x:v>Holo EX</x:v>
      </x:c>
      <x:c r="H561" t="str">
        <x:v>1 of 1</x:v>
      </x:c>
      <x:c r="I561" t="n">
        <x:v>7</x:v>
      </x:c>
      <x:c r="J561" t="n">
        <x:v>10.5</x:v>
      </x:c>
      <x:c r="K561" t="n">
        <x:v>8.75</x:v>
      </x:c>
      <x:c r="L561" t="str">
        <x:v>$5–20</x:v>
      </x:c>
      <x:c r="M561" t="str">
        <x:v>Yes</x:v>
      </x:c>
      <x:c r="N561" t="str">
        <x:v>No</x:v>
      </x:c>
      <x:c r="O561" t="str">
        <x:v>Yes</x:v>
      </x:c>
      <x:c r="P561" t="str">
        <x:v>Condition not yet reviewed</x:v>
      </x:c>
      <x:c r="Q561" t="n">
        <x:v>7</x:v>
      </x:c>
      <x:c r="R561" t="n">
        <x:v>10.5</x:v>
      </x:c>
      <x:c r="S561" t="n">
        <x:v>8.75</x:v>
      </x:c>
      <x:c r="T561" t="str">
        <x:v>Imported from user's PriceCharting Collection.pdf, page 6. PDF row value $5.95; quantity 1; per-card allocation $5.95. Imported value is carried exactly from the PDF and has not been independently repriced. EXTERNAL REPRICE (2026-08-17): Current TCGplayer market around $8.5–9.</x:v>
      </x:c>
      <x:c r="U561" t="n">
        <x:v>991</x:v>
      </x:c>
      <x:c r="V561" t="str">
        <x:v>Collection.pdf + current TCGplayer/cross-market research 2026-08-17</x:v>
      </x:c>
      <x:c r="W561" t="str">
        <x:v>https://www.tcgplayer.com/search/pokemon/product?q=Zekrom+EX+%23BW38+Promo</x:v>
      </x:c>
    </x:row>
    <x:row r="562">
      <x:c r="A562" t="n">
        <x:v>686</x:v>
      </x:c>
      <x:c r="B562" t="str">
        <x:v>PDF Import / Added Cards</x:v>
      </x:c>
      <x:c r="C562" t="str">
        <x:v>Reshiram-EX</x:v>
      </x:c>
      <x:c r="D562" t="str">
        <x:v>29/113</x:v>
      </x:c>
      <x:c r="E562" t="str">
        <x:v>Legendary Treasures</x:v>
      </x:c>
      <x:c r="F562" t="n">
        <x:v>2013</x:v>
      </x:c>
      <x:c r="G562" t="str">
        <x:v>Holo EX</x:v>
      </x:c>
      <x:c r="H562" t="str">
        <x:v>1 of 1</x:v>
      </x:c>
      <x:c r="I562" t="n">
        <x:v>9</x:v>
      </x:c>
      <x:c r="J562" t="n">
        <x:v>14</x:v>
      </x:c>
      <x:c r="K562" t="n">
        <x:v>11.5</x:v>
      </x:c>
      <x:c r="L562" t="str">
        <x:v>$5–20</x:v>
      </x:c>
      <x:c r="M562" t="str">
        <x:v>Yes</x:v>
      </x:c>
      <x:c r="N562" t="str">
        <x:v>No</x:v>
      </x:c>
      <x:c r="O562" t="str">
        <x:v>Yes</x:v>
      </x:c>
      <x:c r="P562" t="str">
        <x:v>Condition not yet reviewed</x:v>
      </x:c>
      <x:c r="Q562" t="n">
        <x:v>9</x:v>
      </x:c>
      <x:c r="R562" t="n">
        <x:v>14</x:v>
      </x:c>
      <x:c r="S562" t="n">
        <x:v>11.5</x:v>
      </x:c>
      <x:c r="T562" t="str">
        <x:v>Imported from user's PriceCharting Collection.pdf, page 6. PDF row value $11.55; quantity 1; per-card allocation $11.55. Imported value is carried exactly from the PDF and has not been independently repriced. EXTERNAL REPRICE (2026-08-17): Current Legendary Treasures market around $11–12.</x:v>
      </x:c>
      <x:c r="U562" t="n">
        <x:v>991</x:v>
      </x:c>
      <x:c r="V562" t="str">
        <x:v>Collection.pdf + current TCGplayer/cross-market research 2026-08-17</x:v>
      </x:c>
      <x:c r="W562" t="str">
        <x:v>https://www.tcgplayer.com/search/pokemon/product?q=Reshiram+EX+%2329+Legendary+Treasures</x:v>
      </x:c>
    </x:row>
    <x:row r="563">
      <x:c r="A563" t="n">
        <x:v>687</x:v>
      </x:c>
      <x:c r="B563" t="str">
        <x:v>PDF Import / Added Cards</x:v>
      </x:c>
      <x:c r="C563" t="str">
        <x:v>Empoleon BREAK</x:v>
      </x:c>
      <x:c r="D563" t="str">
        <x:v>XY134</x:v>
      </x:c>
      <x:c r="E563" t="str">
        <x:v>Promo</x:v>
      </x:c>
      <x:c r="F563"/>
      <x:c r="G563" t="str">
        <x:v>BREAK Holo</x:v>
      </x:c>
      <x:c r="H563" t="str">
        <x:v>1 of 1</x:v>
      </x:c>
      <x:c r="I563" t="n">
        <x:v>15</x:v>
      </x:c>
      <x:c r="J563" t="n">
        <x:v>22</x:v>
      </x:c>
      <x:c r="K563" t="n">
        <x:v>18.5</x:v>
      </x:c>
      <x:c r="L563" t="str">
        <x:v>$5–20</x:v>
      </x:c>
      <x:c r="M563" t="str">
        <x:v>Yes</x:v>
      </x:c>
      <x:c r="N563" t="str">
        <x:v>No</x:v>
      </x:c>
      <x:c r="O563" t="str">
        <x:v>Yes</x:v>
      </x:c>
      <x:c r="P563" t="str">
        <x:v>Condition not yet reviewed</x:v>
      </x:c>
      <x:c r="Q563" t="n">
        <x:v>15</x:v>
      </x:c>
      <x:c r="R563" t="n">
        <x:v>22</x:v>
      </x:c>
      <x:c r="S563" t="n">
        <x:v>18.5</x:v>
      </x:c>
      <x:c r="T563" t="str">
        <x:v>Imported from user's PriceCharting Collection.pdf, page 6. PDF row value $12.96; quantity 1; per-card allocation $12.96. Imported value is carried exactly from the PDF and has not been independently repriced. EXTERNAL REPRICE (2026-08-17): Current standard-size TCGplayer promo market around $19; jumbo excluded.</x:v>
      </x:c>
      <x:c r="U563" t="n">
        <x:v>991</x:v>
      </x:c>
      <x:c r="V563" t="str">
        <x:v>Collection.pdf + current TCGplayer/cross-market research 2026-08-17</x:v>
      </x:c>
      <x:c r="W563" t="str">
        <x:v>https://www.tcgplayer.com/search/pokemon/product?q=Empoleon+BREAK+%23XY134+Promo</x:v>
      </x:c>
    </x:row>
    <x:row r="564">
      <x:c r="A564" t="n">
        <x:v>688</x:v>
      </x:c>
      <x:c r="B564" t="str">
        <x:v>PDF Import / Added Cards</x:v>
      </x:c>
      <x:c r="C564" t="str">
        <x:v>Marowak BREAK</x:v>
      </x:c>
      <x:c r="D564" t="str">
        <x:v>79/162</x:v>
      </x:c>
      <x:c r="E564" t="str">
        <x:v>BREAKthrough</x:v>
      </x:c>
      <x:c r="F564" t="n">
        <x:v>2015</x:v>
      </x:c>
      <x:c r="G564" t="str">
        <x:v>BREAK Holo</x:v>
      </x:c>
      <x:c r="H564" t="str">
        <x:v>1 of 1</x:v>
      </x:c>
      <x:c r="I564" t="n">
        <x:v>4.5</x:v>
      </x:c>
      <x:c r="J564" t="n">
        <x:v>7</x:v>
      </x:c>
      <x:c r="K564" t="n">
        <x:v>5.75</x:v>
      </x:c>
      <x:c r="L564" t="str">
        <x:v>$5–20</x:v>
      </x:c>
      <x:c r="M564" t="str">
        <x:v>Yes</x:v>
      </x:c>
      <x:c r="N564" t="str">
        <x:v>No</x:v>
      </x:c>
      <x:c r="O564" t="str">
        <x:v>Yes</x:v>
      </x:c>
      <x:c r="P564" t="str">
        <x:v>Condition not yet reviewed</x:v>
      </x:c>
      <x:c r="Q564" t="n">
        <x:v>4.5</x:v>
      </x:c>
      <x:c r="R564" t="n">
        <x:v>7</x:v>
      </x:c>
      <x:c r="S564" t="n">
        <x:v>5.75</x:v>
      </x:c>
      <x:c r="T564" t="str">
        <x:v>Imported from user's PriceCharting Collection.pdf, page 6. PDF row value $4.14; quantity 1; per-card allocation $4.14. Imported value is carried exactly from the PDF and has not been independently repriced. EXTERNAL REPRICE (2026-08-17): Current TCGplayer/PokeScope roughly $5.5–6.5.</x:v>
      </x:c>
      <x:c r="U564" t="n">
        <x:v>991</x:v>
      </x:c>
      <x:c r="V564" t="str">
        <x:v>Collection.pdf + current TCGplayer/cross-market research 2026-08-17</x:v>
      </x:c>
      <x:c r="W564" t="str">
        <x:v>https://www.tcgplayer.com/search/pokemon/product?q=Marowak+BREAK+%2379+BREAKthrough</x:v>
      </x:c>
    </x:row>
    <x:row r="565">
      <x:c r="A565" t="n">
        <x:v>689</x:v>
      </x:c>
      <x:c r="B565" t="str">
        <x:v>PDF Import / Added Cards</x:v>
      </x:c>
      <x:c r="C565" t="str">
        <x:v>Magnezone-EX</x:v>
      </x:c>
      <x:c r="D565" t="str">
        <x:v>35/106</x:v>
      </x:c>
      <x:c r="E565" t="str">
        <x:v>Flashfire</x:v>
      </x:c>
      <x:c r="F565" t="n">
        <x:v>2014</x:v>
      </x:c>
      <x:c r="G565" t="str">
        <x:v>Holo EX</x:v>
      </x:c>
      <x:c r="H565" t="str">
        <x:v>1 of 1</x:v>
      </x:c>
      <x:c r="I565" t="n">
        <x:v>2</x:v>
      </x:c>
      <x:c r="J565" t="n">
        <x:v>3.5</x:v>
      </x:c>
      <x:c r="K565" t="n">
        <x:v>2.75</x:v>
      </x:c>
      <x:c r="L565" t="str">
        <x:v>$1–5</x:v>
      </x:c>
      <x:c r="M565" t="str">
        <x:v>Yes</x:v>
      </x:c>
      <x:c r="N565" t="str">
        <x:v>No</x:v>
      </x:c>
      <x:c r="O565" t="str">
        <x:v>Yes</x:v>
      </x:c>
      <x:c r="P565" t="str">
        <x:v>Condition not yet reviewed</x:v>
      </x:c>
      <x:c r="Q565" t="n">
        <x:v>2</x:v>
      </x:c>
      <x:c r="R565" t="n">
        <x:v>3.5</x:v>
      </x:c>
      <x:c r="S565" t="n">
        <x:v>2.75</x:v>
      </x:c>
      <x:c r="T565" t="str">
        <x:v>Imported from user's PriceCharting Collection.pdf, page 6. PDF row value $2.72; quantity 1; per-card allocation $2.72. Imported value is carried exactly from the PDF and has not been independently repriced. EXTERNAL REPRICE (2026-08-17): Current TCGplayer/PokeScope around $2.7–2.8.</x:v>
      </x:c>
      <x:c r="U565" t="n">
        <x:v>991</x:v>
      </x:c>
      <x:c r="V565" t="str">
        <x:v>Collection.pdf + current TCGplayer/cross-market research 2026-08-17</x:v>
      </x:c>
      <x:c r="W565" t="str">
        <x:v>https://www.tcgplayer.com/search/pokemon/product?q=Magnezone+EX+%2335+Flashfire</x:v>
      </x:c>
    </x:row>
    <x:row r="566">
      <x:c r="A566" t="n">
        <x:v>690</x:v>
      </x:c>
      <x:c r="B566" t="str">
        <x:v>PDF Import / Added Cards</x:v>
      </x:c>
      <x:c r="C566" t="str">
        <x:v>Deoxys-EX</x:v>
      </x:c>
      <x:c r="D566" t="str">
        <x:v>BW82</x:v>
      </x:c>
      <x:c r="E566" t="str">
        <x:v>Promo</x:v>
      </x:c>
      <x:c r="F566"/>
      <x:c r="G566" t="str">
        <x:v>Holo EX</x:v>
      </x:c>
      <x:c r="H566" t="str">
        <x:v>1 of 1</x:v>
      </x:c>
      <x:c r="I566" t="n">
        <x:v>15</x:v>
      </x:c>
      <x:c r="J566" t="n">
        <x:v>25</x:v>
      </x:c>
      <x:c r="K566" t="n">
        <x:v>20</x:v>
      </x:c>
      <x:c r="L566" t="str">
        <x:v>$20+</x:v>
      </x:c>
      <x:c r="M566" t="str">
        <x:v>Yes</x:v>
      </x:c>
      <x:c r="N566" t="str">
        <x:v>Yes</x:v>
      </x:c>
      <x:c r="O566" t="str">
        <x:v>Yes</x:v>
      </x:c>
      <x:c r="P566" t="str">
        <x:v>Condition not yet reviewed</x:v>
      </x:c>
      <x:c r="Q566" t="n">
        <x:v>15</x:v>
      </x:c>
      <x:c r="R566" t="n">
        <x:v>25</x:v>
      </x:c>
      <x:c r="S566" t="n">
        <x:v>20</x:v>
      </x:c>
      <x:c r="T566" t="str">
        <x:v>Imported from user's PriceCharting Collection.pdf, page 6. PDF row value $14.67; quantity 1; per-card allocation $14.67. Imported value is carried exactly from the PDF and has not been independently repriced. EXTERNAL REPRICE (2026-08-17): Current TCGplayer market around low-$20s; recent raw comps span mid-teens to low-$20s.</x:v>
      </x:c>
      <x:c r="U566" t="n">
        <x:v>991</x:v>
      </x:c>
      <x:c r="V566" t="str">
        <x:v>Collection.pdf + current TCGplayer/cross-market research 2026-08-17</x:v>
      </x:c>
      <x:c r="W566" t="str">
        <x:v>https://www.tcgplayer.com/search/pokemon/product?q=Deoxys+EX+%23BW82+Promo</x:v>
      </x:c>
    </x:row>
    <x:row r="567">
      <x:c r="A567" t="n">
        <x:v>691</x:v>
      </x:c>
      <x:c r="B567" t="str">
        <x:v>PDF Import / Added Cards</x:v>
      </x:c>
      <x:c r="C567" t="str">
        <x:v>M Kangaskhan-EX</x:v>
      </x:c>
      <x:c r="D567" t="str">
        <x:v>79/106</x:v>
      </x:c>
      <x:c r="E567" t="str">
        <x:v>Flashfire</x:v>
      </x:c>
      <x:c r="F567" t="n">
        <x:v>2014</x:v>
      </x:c>
      <x:c r="G567" t="str">
        <x:v>Holo EX</x:v>
      </x:c>
      <x:c r="H567" t="str">
        <x:v>1 of 1</x:v>
      </x:c>
      <x:c r="I567" t="n">
        <x:v>16</x:v>
      </x:c>
      <x:c r="J567" t="n">
        <x:v>22</x:v>
      </x:c>
      <x:c r="K567" t="n">
        <x:v>19</x:v>
      </x:c>
      <x:c r="L567" t="str">
        <x:v>$5–20</x:v>
      </x:c>
      <x:c r="M567" t="str">
        <x:v>Yes</x:v>
      </x:c>
      <x:c r="N567" t="str">
        <x:v>No</x:v>
      </x:c>
      <x:c r="O567" t="str">
        <x:v>Yes</x:v>
      </x:c>
      <x:c r="P567" t="str">
        <x:v>Condition not yet reviewed</x:v>
      </x:c>
      <x:c r="Q567" t="n">
        <x:v>16</x:v>
      </x:c>
      <x:c r="R567" t="n">
        <x:v>22</x:v>
      </x:c>
      <x:c r="S567" t="n">
        <x:v>19</x:v>
      </x:c>
      <x:c r="T567" t="str">
        <x:v>Imported from user's PriceCharting Collection.pdf, page 7. PDF row value $15.06; quantity 1; per-card allocation $15.06. Imported value is carried exactly from the PDF and has not been independently repriced. EXTERNAL REPRICE (2026-08-17): Current TCGplayer/Pallet around $19–20.</x:v>
      </x:c>
      <x:c r="U567" t="n">
        <x:v>991</x:v>
      </x:c>
      <x:c r="V567" t="str">
        <x:v>Collection.pdf + current TCGplayer/cross-market research 2026-08-17</x:v>
      </x:c>
      <x:c r="W567" t="str">
        <x:v>https://www.tcgplayer.com/search/pokemon/product?q=M+Kangaskhan+EX+%2379+Flashfire</x:v>
      </x:c>
    </x:row>
    <x:row r="568">
      <x:c r="A568" t="n">
        <x:v>692</x:v>
      </x:c>
      <x:c r="B568" t="str">
        <x:v>PDF Import / Added Cards</x:v>
      </x:c>
      <x:c r="C568" t="str">
        <x:v>Meloetta</x:v>
      </x:c>
      <x:c r="D568" t="str">
        <x:v>77/149</x:v>
      </x:c>
      <x:c r="E568" t="str">
        <x:v>Boundaries Crossed</x:v>
      </x:c>
      <x:c r="F568" t="n">
        <x:v>2012</x:v>
      </x:c>
      <x:c r="G568" t="str">
        <x:v>As listed in PriceCharting PDF; foil unspecified</x:v>
      </x:c>
      <x:c r="H568" t="str">
        <x:v>1 of 1</x:v>
      </x:c>
      <x:c r="I568" t="n">
        <x:v>8</x:v>
      </x:c>
      <x:c r="J568" t="n">
        <x:v>13</x:v>
      </x:c>
      <x:c r="K568" t="n">
        <x:v>10.5</x:v>
      </x:c>
      <x:c r="L568" t="str">
        <x:v>$5–20</x:v>
      </x:c>
      <x:c r="M568" t="str">
        <x:v>Yes</x:v>
      </x:c>
      <x:c r="N568" t="str">
        <x:v>No</x:v>
      </x:c>
      <x:c r="O568" t="str">
        <x:v>Yes</x:v>
      </x:c>
      <x:c r="P568" t="str">
        <x:v>Condition not yet reviewed</x:v>
      </x:c>
      <x:c r="Q568" t="n">
        <x:v>8</x:v>
      </x:c>
      <x:c r="R568" t="n">
        <x:v>13</x:v>
      </x:c>
      <x:c r="S568" t="n">
        <x:v>10.5</x:v>
      </x:c>
      <x:c r="T568" t="str">
        <x:v>Imported from user's PriceCharting Collection.pdf, page 7. PDF row value $2.99; quantity 1; per-card allocation $2.99. Imported value is carried exactly from the PDF and has not been independently repriced. EXTERNAL REPRICE (2026-08-17): Treated as the holo set printing shown/listed; TCGplayer holo market around $10. Normal non-holo/deck variant would be much lower.</x:v>
      </x:c>
      <x:c r="U568" t="n">
        <x:v>991</x:v>
      </x:c>
      <x:c r="V568" t="str">
        <x:v>Collection.pdf + current TCGplayer/cross-market research 2026-08-17</x:v>
      </x:c>
      <x:c r="W568" t="str">
        <x:v>https://www.tcgplayer.com/search/pokemon/product?q=Meloetta+%2377+Boundaries+Crossed</x:v>
      </x:c>
    </x:row>
    <x:row r="569">
      <x:c r="A569" t="n">
        <x:v>693</x:v>
      </x:c>
      <x:c r="B569" t="str">
        <x:v>PDF Import / Added Cards</x:v>
      </x:c>
      <x:c r="C569" t="str">
        <x:v>Phione</x:v>
      </x:c>
      <x:c r="D569" t="str">
        <x:v>36/113</x:v>
      </x:c>
      <x:c r="E569" t="str">
        <x:v>Legendary Treasures</x:v>
      </x:c>
      <x:c r="F569" t="n">
        <x:v>2013</x:v>
      </x:c>
      <x:c r="G569" t="str">
        <x:v>Reverse Holo</x:v>
      </x:c>
      <x:c r="H569" t="str">
        <x:v>1 of 1</x:v>
      </x:c>
      <x:c r="I569" t="n">
        <x:v>9</x:v>
      </x:c>
      <x:c r="J569" t="n">
        <x:v>13</x:v>
      </x:c>
      <x:c r="K569" t="n">
        <x:v>11</x:v>
      </x:c>
      <x:c r="L569" t="str">
        <x:v>$5–20</x:v>
      </x:c>
      <x:c r="M569" t="str">
        <x:v>Yes</x:v>
      </x:c>
      <x:c r="N569" t="str">
        <x:v>No</x:v>
      </x:c>
      <x:c r="O569" t="str">
        <x:v>Yes</x:v>
      </x:c>
      <x:c r="P569" t="str">
        <x:v>Condition not yet reviewed</x:v>
      </x:c>
      <x:c r="Q569" t="n">
        <x:v>9</x:v>
      </x:c>
      <x:c r="R569" t="n">
        <x:v>13</x:v>
      </x:c>
      <x:c r="S569" t="n">
        <x:v>11</x:v>
      </x:c>
      <x:c r="T569" t="str">
        <x:v>Imported from user's PriceCharting Collection.pdf, page 7. PDF row value $9.24; quantity 1; per-card allocation $9.24. Imported value is carried exactly from the PDF and has not been independently repriced. EXTERNAL REPRICE (2026-08-17): Current TCGplayer reverse-holo guide around $11.</x:v>
      </x:c>
      <x:c r="U569" t="n">
        <x:v>991</x:v>
      </x:c>
      <x:c r="V569" t="str">
        <x:v>Collection.pdf + current TCGplayer/cross-market research 2026-08-17</x:v>
      </x:c>
      <x:c r="W569" t="str">
        <x:v>https://www.tcgplayer.com/search/pokemon/product?q=Phione+%5BReverse+Holo%5D+%2336+Legendary+Treasures</x:v>
      </x:c>
    </x:row>
    <x:row r="570">
      <x:c r="A570" t="n">
        <x:v>694</x:v>
      </x:c>
      <x:c r="B570" t="str">
        <x:v>PDF Import / Added Cards</x:v>
      </x:c>
      <x:c r="C570" t="str">
        <x:v>Victini</x:v>
      </x:c>
      <x:c r="D570" t="str">
        <x:v>23/113</x:v>
      </x:c>
      <x:c r="E570" t="str">
        <x:v>Legendary Treasures</x:v>
      </x:c>
      <x:c r="F570" t="n">
        <x:v>2013</x:v>
      </x:c>
      <x:c r="G570" t="str">
        <x:v>As listed in PriceCharting PDF; foil unspecified</x:v>
      </x:c>
      <x:c r="H570" t="str">
        <x:v>1 of 1</x:v>
      </x:c>
      <x:c r="I570" t="n">
        <x:v>3</x:v>
      </x:c>
      <x:c r="J570" t="n">
        <x:v>6</x:v>
      </x:c>
      <x:c r="K570" t="n">
        <x:v>4.5</x:v>
      </x:c>
      <x:c r="L570" t="str">
        <x:v>$1–5</x:v>
      </x:c>
      <x:c r="M570" t="str">
        <x:v>Yes</x:v>
      </x:c>
      <x:c r="N570" t="str">
        <x:v>No</x:v>
      </x:c>
      <x:c r="O570" t="str">
        <x:v>Yes</x:v>
      </x:c>
      <x:c r="P570" t="str">
        <x:v>Condition not yet reviewed</x:v>
      </x:c>
      <x:c r="Q570" t="n">
        <x:v>3</x:v>
      </x:c>
      <x:c r="R570" t="n">
        <x:v>6</x:v>
      </x:c>
      <x:c r="S570" t="n">
        <x:v>4.5</x:v>
      </x:c>
      <x:c r="T570" t="str">
        <x:v>Imported from user's PriceCharting Collection.pdf, page 7. PDF row value $4.00; quantity 1; per-card allocation $4.00. Imported value is carried exactly from the PDF and has not been independently repriced. EXTERNAL REPRICE (2026-08-17): Legendary Treasures holo market roughly low-single digits.</x:v>
      </x:c>
      <x:c r="U570" t="n">
        <x:v>991</x:v>
      </x:c>
      <x:c r="V570" t="str">
        <x:v>Collection.pdf + current TCGplayer/cross-market research 2026-08-17</x:v>
      </x:c>
      <x:c r="W570" t="str">
        <x:v>https://www.tcgplayer.com/search/pokemon/product?q=Victini+%2323+Legendary+Treasures</x:v>
      </x:c>
    </x:row>
    <x:row r="571">
      <x:c r="A571" t="n">
        <x:v>695</x:v>
      </x:c>
      <x:c r="B571" t="str">
        <x:v>PDF Import / Added Cards</x:v>
      </x:c>
      <x:c r="C571" t="str">
        <x:v>Cobalion</x:v>
      </x:c>
      <x:c r="D571" t="str">
        <x:v>84/101</x:v>
      </x:c>
      <x:c r="E571" t="str">
        <x:v>Noble Victories</x:v>
      </x:c>
      <x:c r="F571" t="n">
        <x:v>2011</x:v>
      </x:c>
      <x:c r="G571" t="str">
        <x:v>As listed in PriceCharting PDF; foil unspecified</x:v>
      </x:c>
      <x:c r="H571" t="str">
        <x:v>1 of 1</x:v>
      </x:c>
      <x:c r="I571" t="n">
        <x:v>1</x:v>
      </x:c>
      <x:c r="J571" t="n">
        <x:v>2</x:v>
      </x:c>
      <x:c r="K571" t="n">
        <x:v>1.5</x:v>
      </x:c>
      <x:c r="L571" t="str">
        <x:v>$1–5</x:v>
      </x:c>
      <x:c r="M571" t="str">
        <x:v>Yes</x:v>
      </x:c>
      <x:c r="N571" t="str">
        <x:v>No</x:v>
      </x:c>
      <x:c r="O571" t="str">
        <x:v>Yes</x:v>
      </x:c>
      <x:c r="P571" t="str">
        <x:v>Condition not yet reviewed</x:v>
      </x:c>
      <x:c r="Q571" t="n">
        <x:v>1</x:v>
      </x:c>
      <x:c r="R571" t="n">
        <x:v>2</x:v>
      </x:c>
      <x:c r="S571" t="n">
        <x:v>1.5</x:v>
      </x:c>
      <x:c r="T571" t="str">
        <x:v>Imported from user's PriceCharting Collection.pdf, page 7. PDF row value $1.70; quantity 1; per-card allocation $1.70. Imported value is carried exactly from the PDF and has not been independently repriced. EXTERNAL REPRICE (2026-08-17): Current TCGplayer market around $1.5.</x:v>
      </x:c>
      <x:c r="U571" t="n">
        <x:v>991</x:v>
      </x:c>
      <x:c r="V571" t="str">
        <x:v>Collection.pdf + current TCGplayer/cross-market research 2026-08-17</x:v>
      </x:c>
      <x:c r="W571" t="str">
        <x:v>https://www.tcgplayer.com/search/pokemon/product?q=Cobalion+%2384+Noble+Victories</x:v>
      </x:c>
    </x:row>
    <x:row r="572">
      <x:c r="A572" t="n">
        <x:v>696</x:v>
      </x:c>
      <x:c r="B572" t="str">
        <x:v>PDF Import / Added Cards</x:v>
      </x:c>
      <x:c r="C572" t="str">
        <x:v>Cobalion</x:v>
      </x:c>
      <x:c r="D572" t="str">
        <x:v>77/98</x:v>
      </x:c>
      <x:c r="E572" t="str">
        <x:v>Emerging Powers</x:v>
      </x:c>
      <x:c r="F572" t="n">
        <x:v>2011</x:v>
      </x:c>
      <x:c r="G572" t="str">
        <x:v>As listed in PriceCharting PDF; foil unspecified</x:v>
      </x:c>
      <x:c r="H572" t="str">
        <x:v>1 of 1</x:v>
      </x:c>
      <x:c r="I572" t="n">
        <x:v>1</x:v>
      </x:c>
      <x:c r="J572" t="n">
        <x:v>2</x:v>
      </x:c>
      <x:c r="K572" t="n">
        <x:v>1.5</x:v>
      </x:c>
      <x:c r="L572" t="str">
        <x:v>$1–5</x:v>
      </x:c>
      <x:c r="M572" t="str">
        <x:v>Yes</x:v>
      </x:c>
      <x:c r="N572" t="str">
        <x:v>No</x:v>
      </x:c>
      <x:c r="O572" t="str">
        <x:v>Yes</x:v>
      </x:c>
      <x:c r="P572" t="str">
        <x:v>Condition not yet reviewed</x:v>
      </x:c>
      <x:c r="Q572" t="n">
        <x:v>1</x:v>
      </x:c>
      <x:c r="R572" t="n">
        <x:v>2</x:v>
      </x:c>
      <x:c r="S572" t="n">
        <x:v>1.5</x:v>
      </x:c>
      <x:c r="T572" t="str">
        <x:v>Imported from user's PriceCharting Collection.pdf, page 7. PDF row value $1.88; quantity 1; per-card allocation $1.88. Imported value is carried exactly from the PDF and has not been independently repriced. EXTERNAL REPRICE (2026-08-17): Current TCGplayer market around $1.5.</x:v>
      </x:c>
      <x:c r="U572" t="n">
        <x:v>991</x:v>
      </x:c>
      <x:c r="V572" t="str">
        <x:v>Collection.pdf + current TCGplayer/cross-market research 2026-08-17</x:v>
      </x:c>
      <x:c r="W572" t="str">
        <x:v>https://www.tcgplayer.com/search/pokemon/product?q=Cobalion+%2377+Emerging+Powers</x:v>
      </x:c>
    </x:row>
    <x:row r="573">
      <x:c r="A573" t="n">
        <x:v>697</x:v>
      </x:c>
      <x:c r="B573" t="str">
        <x:v>PDF Import / Added Cards</x:v>
      </x:c>
      <x:c r="C573" t="str">
        <x:v>Arceus</x:v>
      </x:c>
      <x:c r="D573" t="str">
        <x:v>AR3/AR9</x:v>
      </x:c>
      <x:c r="E573" t="str">
        <x:v>Arceus</x:v>
      </x:c>
      <x:c r="F573" t="n">
        <x:v>2009</x:v>
      </x:c>
      <x:c r="G573" t="str">
        <x:v>Arceus subset holo</x:v>
      </x:c>
      <x:c r="H573" t="str">
        <x:v>1 of 1</x:v>
      </x:c>
      <x:c r="I573" t="n">
        <x:v>22</x:v>
      </x:c>
      <x:c r="J573" t="n">
        <x:v>36</x:v>
      </x:c>
      <x:c r="K573" t="n">
        <x:v>29</x:v>
      </x:c>
      <x:c r="L573" t="str">
        <x:v>$20+</x:v>
      </x:c>
      <x:c r="M573" t="str">
        <x:v>Yes</x:v>
      </x:c>
      <x:c r="N573" t="str">
        <x:v>Yes</x:v>
      </x:c>
      <x:c r="O573" t="str">
        <x:v>Yes</x:v>
      </x:c>
      <x:c r="P573" t="str">
        <x:v>Condition not yet reviewed</x:v>
      </x:c>
      <x:c r="Q573" t="n">
        <x:v>22</x:v>
      </x:c>
      <x:c r="R573" t="n">
        <x:v>36</x:v>
      </x:c>
      <x:c r="S573" t="n">
        <x:v>29</x:v>
      </x:c>
      <x:c r="T573" t="str">
        <x:v>Imported from user's PriceCharting Collection.pdf, page 7. PDF row value $18.38; quantity 1; per-card allocation $18.38. Imported value is carried exactly from the PDF and has not been independently repriced. EXTERNAL REPRICE (2026-08-17): TCGplayer market about $35–36; TCGIndex lower around $20; range reflects both.</x:v>
      </x:c>
      <x:c r="U573" t="n">
        <x:v>991</x:v>
      </x:c>
      <x:c r="V573" t="str">
        <x:v>Collection.pdf + current TCGplayer/cross-market research 2026-08-17</x:v>
      </x:c>
      <x:c r="W573" t="str">
        <x:v>https://www.tcgplayer.com/search/pokemon/product?q=Arceus+%23AR3+Arceus</x:v>
      </x:c>
    </x:row>
    <x:row r="574">
      <x:c r="A574" t="n">
        <x:v>698</x:v>
      </x:c>
      <x:c r="B574" t="str">
        <x:v>PDF Import / Added Cards</x:v>
      </x:c>
      <x:c r="C574" t="str">
        <x:v>Ditto</x:v>
      </x:c>
      <x:c r="D574" t="str">
        <x:v>108/149</x:v>
      </x:c>
      <x:c r="E574" t="str">
        <x:v>Boundaries Crossed</x:v>
      </x:c>
      <x:c r="F574" t="n">
        <x:v>2012</x:v>
      </x:c>
      <x:c r="G574" t="str">
        <x:v>Reverse Holo</x:v>
      </x:c>
      <x:c r="H574" t="str">
        <x:v>1 of 1</x:v>
      </x:c>
      <x:c r="I574" t="n">
        <x:v>65</x:v>
      </x:c>
      <x:c r="J574" t="n">
        <x:v>90</x:v>
      </x:c>
      <x:c r="K574" t="n">
        <x:v>77.5</x:v>
      </x:c>
      <x:c r="L574" t="str">
        <x:v>$20+</x:v>
      </x:c>
      <x:c r="M574" t="str">
        <x:v>Yes</x:v>
      </x:c>
      <x:c r="N574" t="str">
        <x:v>Yes</x:v>
      </x:c>
      <x:c r="O574" t="str">
        <x:v>Yes</x:v>
      </x:c>
      <x:c r="P574" t="str">
        <x:v>Condition not yet reviewed</x:v>
      </x:c>
      <x:c r="Q574" t="n">
        <x:v>65</x:v>
      </x:c>
      <x:c r="R574" t="n">
        <x:v>90</x:v>
      </x:c>
      <x:c r="S574" t="n">
        <x:v>77.5</x:v>
      </x:c>
      <x:c r="T574" t="str">
        <x:v>Imported from user's PriceCharting Collection.pdf, page 8. PDF row value $70.00; quantity 1; per-card allocation $70.00. Imported value is carried exactly from the PDF and has not been independently repriced. EXTERNAL REPRICE (2026-08-17): TCGplayer reverse-holo market about $81; recent raw comps around mid-$60s+.</x:v>
      </x:c>
      <x:c r="U574" t="n">
        <x:v>991</x:v>
      </x:c>
      <x:c r="V574" t="str">
        <x:v>Collection.pdf + current TCGplayer/cross-market research 2026-08-17</x:v>
      </x:c>
      <x:c r="W574" t="str">
        <x:v>https://www.tcgplayer.com/search/pokemon/product?q=Ditto+%5BReverse+Holo%5D+%23108+Boundaries+Crossed</x:v>
      </x:c>
    </x:row>
    <x:row r="575">
      <x:c r="A575" t="n">
        <x:v>699</x:v>
      </x:c>
      <x:c r="B575" t="str">
        <x:v>PDF Import / Added Cards</x:v>
      </x:c>
      <x:c r="C575" t="str">
        <x:v>Ditto</x:v>
      </x:c>
      <x:c r="D575" t="str">
        <x:v>108/149</x:v>
      </x:c>
      <x:c r="E575" t="str">
        <x:v>Boundaries Crossed</x:v>
      </x:c>
      <x:c r="F575" t="n">
        <x:v>2012</x:v>
      </x:c>
      <x:c r="G575" t="str">
        <x:v>As listed in PriceCharting PDF; foil unspecified</x:v>
      </x:c>
      <x:c r="H575" t="str">
        <x:v>1 of 1</x:v>
      </x:c>
      <x:c r="I575" t="n">
        <x:v>35</x:v>
      </x:c>
      <x:c r="J575" t="n">
        <x:v>50</x:v>
      </x:c>
      <x:c r="K575" t="n">
        <x:v>42.5</x:v>
      </x:c>
      <x:c r="L575" t="str">
        <x:v>$20+</x:v>
      </x:c>
      <x:c r="M575" t="str">
        <x:v>Yes</x:v>
      </x:c>
      <x:c r="N575" t="str">
        <x:v>Yes</x:v>
      </x:c>
      <x:c r="O575" t="str">
        <x:v>Yes</x:v>
      </x:c>
      <x:c r="P575" t="str">
        <x:v>Condition not yet reviewed</x:v>
      </x:c>
      <x:c r="Q575" t="n">
        <x:v>35</x:v>
      </x:c>
      <x:c r="R575" t="n">
        <x:v>50</x:v>
      </x:c>
      <x:c r="S575" t="n">
        <x:v>42.5</x:v>
      </x:c>
      <x:c r="T575" t="str">
        <x:v>Imported from user's PriceCharting Collection.pdf, page 8. PDF row value $34.31; quantity 1; per-card allocation $34.31. Imported value is carried exactly from the PDF and has not been independently repriced. EXTERNAL REPRICE (2026-08-17): Boundaries Crossed regular set printing is holo; TCGplayer holo market around $40–42.</x:v>
      </x:c>
      <x:c r="U575" t="n">
        <x:v>991</x:v>
      </x:c>
      <x:c r="V575" t="str">
        <x:v>Collection.pdf + current TCGplayer/cross-market research 2026-08-17</x:v>
      </x:c>
      <x:c r="W575" t="str">
        <x:v>https://www.tcgplayer.com/search/pokemon/product?q=Ditto+%23108+Boundaries+Crossed</x:v>
      </x:c>
    </x:row>
    <x:row r="576">
      <x:c r="A576" t="n">
        <x:v>700</x:v>
      </x:c>
      <x:c r="B576" t="str">
        <x:v>PDF Import / Added Cards</x:v>
      </x:c>
      <x:c r="C576" t="str">
        <x:v>Light Dragonair</x:v>
      </x:c>
      <x:c r="D576" t="str">
        <x:v>22/105</x:v>
      </x:c>
      <x:c r="E576" t="str">
        <x:v>Neo Destiny</x:v>
      </x:c>
      <x:c r="F576" t="n">
        <x:v>2002</x:v>
      </x:c>
      <x:c r="G576" t="str">
        <x:v>As listed in PriceCharting PDF; foil unspecified</x:v>
      </x:c>
      <x:c r="H576" t="str">
        <x:v>1 of 1</x:v>
      </x:c>
      <x:c r="I576" t="n">
        <x:v>30</x:v>
      </x:c>
      <x:c r="J576" t="n">
        <x:v>60</x:v>
      </x:c>
      <x:c r="K576" t="n">
        <x:v>45</x:v>
      </x:c>
      <x:c r="L576" t="str">
        <x:v>$20+</x:v>
      </x:c>
      <x:c r="M576" t="str">
        <x:v>Yes</x:v>
      </x:c>
      <x:c r="N576" t="str">
        <x:v>Yes</x:v>
      </x:c>
      <x:c r="O576" t="str">
        <x:v>Yes</x:v>
      </x:c>
      <x:c r="P576" t="str">
        <x:v>Condition not yet reviewed</x:v>
      </x:c>
      <x:c r="Q576" t="n">
        <x:v>30</x:v>
      </x:c>
      <x:c r="R576" t="n">
        <x:v>60</x:v>
      </x:c>
      <x:c r="S576" t="n">
        <x:v>45</x:v>
      </x:c>
      <x:c r="T576" t="str">
        <x:v>Imported from user's PriceCharting Collection.pdf, page 8. PDF row value $30.00; quantity 1; per-card allocation $30.00. Imported value is carried exactly from the PDF and has not been independently repriced. EXTERNAL REPRICE (2026-08-17): Market is split: TCGplayer headline around $84, secondary analytics around high-$20s; conservative cross-market clean range.</x:v>
      </x:c>
      <x:c r="U576" t="n">
        <x:v>991</x:v>
      </x:c>
      <x:c r="V576" t="str">
        <x:v>Collection.pdf + current TCGplayer/cross-market research 2026-08-17</x:v>
      </x:c>
      <x:c r="W576" t="str">
        <x:v>https://www.tcgplayer.com/search/pokemon/product?q=Light+Dragonair+%2322+Neo+Destiny</x:v>
      </x:c>
    </x:row>
    <x:row r="577">
      <x:c r="A577" t="n">
        <x:v>701</x:v>
      </x:c>
      <x:c r="B577" t="str">
        <x:v>PDF Import / Added Cards</x:v>
      </x:c>
      <x:c r="C577" t="str">
        <x:v>Flareon</x:v>
      </x:c>
      <x:c r="D577" t="str">
        <x:v>12/116</x:v>
      </x:c>
      <x:c r="E577" t="str">
        <x:v>Plasma Freeze</x:v>
      </x:c>
      <x:c r="F577" t="n">
        <x:v>2013</x:v>
      </x:c>
      <x:c r="G577" t="str">
        <x:v>As listed in PriceCharting PDF; foil unspecified</x:v>
      </x:c>
      <x:c r="H577" t="str">
        <x:v>2 of 2</x:v>
      </x:c>
      <x:c r="I577" t="n">
        <x:v>4</x:v>
      </x:c>
      <x:c r="J577" t="n">
        <x:v>6</x:v>
      </x:c>
      <x:c r="K577" t="n">
        <x:v>5</x:v>
      </x:c>
      <x:c r="L577" t="str">
        <x:v>$5–20</x:v>
      </x:c>
      <x:c r="M577" t="str">
        <x:v>Yes</x:v>
      </x:c>
      <x:c r="N577" t="str">
        <x:v>No</x:v>
      </x:c>
      <x:c r="O577" t="str">
        <x:v>Yes</x:v>
      </x:c>
      <x:c r="P577" t="str">
        <x:v>Condition not yet reviewed</x:v>
      </x:c>
      <x:c r="Q577" t="n">
        <x:v>4</x:v>
      </x:c>
      <x:c r="R577" t="n">
        <x:v>6</x:v>
      </x:c>
      <x:c r="S577" t="n">
        <x:v>5</x:v>
      </x:c>
      <x:c r="T577" t="str">
        <x:v>Imported from user's PriceCharting Collection.pdf, page 8. PDF row value $3.98; quantity 1; per-card allocation $3.98. Imported value is carried exactly from the PDF and has not been independently repriced. EXTERNAL REPRICE (2026-08-17): Current TCGplayer/PokeScope/PokemonWizard about $5.</x:v>
      </x:c>
      <x:c r="U577" t="n">
        <x:v>991</x:v>
      </x:c>
      <x:c r="V577" t="str">
        <x:v>Collection.pdf + current TCGplayer/cross-market research 2026-08-17</x:v>
      </x:c>
      <x:c r="W577" t="str">
        <x:v>https://www.tcgplayer.com/search/pokemon/product?q=Flareon+%2312+Plasma+Freeze</x:v>
      </x:c>
    </x:row>
    <x:row r="578">
      <x:c r="A578" t="n">
        <x:v>702</x:v>
      </x:c>
      <x:c r="B578" t="str">
        <x:v>PDF Import / Added Cards</x:v>
      </x:c>
      <x:c r="C578" t="str">
        <x:v>Gyarados</x:v>
      </x:c>
      <x:c r="D578" t="str">
        <x:v>XY109</x:v>
      </x:c>
      <x:c r="E578" t="str">
        <x:v>Promo</x:v>
      </x:c>
      <x:c r="F578"/>
      <x:c r="G578" t="str">
        <x:v>As listed in PriceCharting PDF; foil unspecified</x:v>
      </x:c>
      <x:c r="H578" t="str">
        <x:v>1 of 1</x:v>
      </x:c>
      <x:c r="I578" t="n">
        <x:v>40</x:v>
      </x:c>
      <x:c r="J578" t="n">
        <x:v>60</x:v>
      </x:c>
      <x:c r="K578" t="n">
        <x:v>50</x:v>
      </x:c>
      <x:c r="L578" t="str">
        <x:v>$20+</x:v>
      </x:c>
      <x:c r="M578" t="str">
        <x:v>Yes</x:v>
      </x:c>
      <x:c r="N578" t="str">
        <x:v>Yes</x:v>
      </x:c>
      <x:c r="O578" t="str">
        <x:v>Yes</x:v>
      </x:c>
      <x:c r="P578" t="str">
        <x:v>Condition not yet reviewed</x:v>
      </x:c>
      <x:c r="Q578" t="n">
        <x:v>40</x:v>
      </x:c>
      <x:c r="R578" t="n">
        <x:v>60</x:v>
      </x:c>
      <x:c r="S578" t="n">
        <x:v>50</x:v>
      </x:c>
      <x:c r="T578" t="str">
        <x:v>Imported from user's PriceCharting Collection.pdf, page 8. PDF row value $46.00; quantity 1; per-card allocation $46.00. Imported value is carried exactly from the PDF and has not been independently repriced. EXTERNAL REPRICE (2026-08-17): TCGplayer market roughly $53–55 and PokéPrice high-$40s; one analytics feed is much lower, so range uses primary market.</x:v>
      </x:c>
      <x:c r="U578" t="n">
        <x:v>991</x:v>
      </x:c>
      <x:c r="V578" t="str">
        <x:v>Collection.pdf + current TCGplayer/cross-market research 2026-08-17</x:v>
      </x:c>
      <x:c r="W578" t="str">
        <x:v>https://www.tcgplayer.com/search/pokemon/product?q=Gyarados+%23XY109+Promo</x:v>
      </x:c>
    </x:row>
    <x:row r="579">
      <x:c r="A579" t="n">
        <x:v>703</x:v>
      </x:c>
      <x:c r="B579" t="str">
        <x:v>PDF Import / Added Cards</x:v>
      </x:c>
      <x:c r="C579" t="str">
        <x:v>Light Machoke</x:v>
      </x:c>
      <x:c r="D579" t="str">
        <x:v>49/105</x:v>
      </x:c>
      <x:c r="E579" t="str">
        <x:v>Neo Destiny</x:v>
      </x:c>
      <x:c r="F579" t="n">
        <x:v>2002</x:v>
      </x:c>
      <x:c r="G579" t="str">
        <x:v>1st Edition</x:v>
      </x:c>
      <x:c r="H579" t="str">
        <x:v>1 of 1</x:v>
      </x:c>
      <x:c r="I579" t="n">
        <x:v>16</x:v>
      </x:c>
      <x:c r="J579" t="n">
        <x:v>22</x:v>
      </x:c>
      <x:c r="K579" t="n">
        <x:v>19</x:v>
      </x:c>
      <x:c r="L579" t="str">
        <x:v>$5–20</x:v>
      </x:c>
      <x:c r="M579" t="str">
        <x:v>Yes</x:v>
      </x:c>
      <x:c r="N579" t="str">
        <x:v>No</x:v>
      </x:c>
      <x:c r="O579" t="str">
        <x:v>Yes</x:v>
      </x:c>
      <x:c r="P579" t="str">
        <x:v>Condition not yet reviewed</x:v>
      </x:c>
      <x:c r="Q579" t="n">
        <x:v>16</x:v>
      </x:c>
      <x:c r="R579" t="n">
        <x:v>22</x:v>
      </x:c>
      <x:c r="S579" t="n">
        <x:v>19</x:v>
      </x:c>
      <x:c r="T579" t="str">
        <x:v>Imported from user's PriceCharting Collection.pdf, page 8. PDF row value $18.87; quantity 1; per-card allocation $18.87. Imported value is carried exactly from the PDF and has not been independently repriced. EXTERNAL REPRICE (2026-08-17): TCGplayer/Pallet 1st Edition NM market around $19.</x:v>
      </x:c>
      <x:c r="U579" t="n">
        <x:v>991</x:v>
      </x:c>
      <x:c r="V579" t="str">
        <x:v>Collection.pdf + current TCGplayer/cross-market research 2026-08-17</x:v>
      </x:c>
      <x:c r="W579" t="str">
        <x:v>https://www.tcgplayer.com/search/pokemon/product?q=Light+Machoke+%5B1st+Edition%5D+%2349+Neo+Destiny</x:v>
      </x:c>
    </x:row>
    <x:row r="580">
      <x:c r="A580" t="n">
        <x:v>704</x:v>
      </x:c>
      <x:c r="B580" t="str">
        <x:v>PDF Import / Added Cards</x:v>
      </x:c>
      <x:c r="C580" t="str">
        <x:v>Dratini</x:v>
      </x:c>
      <x:c r="D580" t="str">
        <x:v>53/82</x:v>
      </x:c>
      <x:c r="E580" t="str">
        <x:v>Team Rocket</x:v>
      </x:c>
      <x:c r="F580" t="n">
        <x:v>2000</x:v>
      </x:c>
      <x:c r="G580" t="str">
        <x:v>1st Edition</x:v>
      </x:c>
      <x:c r="H580" t="str">
        <x:v>1 of 1</x:v>
      </x:c>
      <x:c r="I580" t="n">
        <x:v>3.5</x:v>
      </x:c>
      <x:c r="J580" t="n">
        <x:v>5</x:v>
      </x:c>
      <x:c r="K580" t="n">
        <x:v>4.25</x:v>
      </x:c>
      <x:c r="L580" t="str">
        <x:v>$1–5</x:v>
      </x:c>
      <x:c r="M580" t="str">
        <x:v>Yes</x:v>
      </x:c>
      <x:c r="N580" t="str">
        <x:v>No</x:v>
      </x:c>
      <x:c r="O580" t="str">
        <x:v>Yes</x:v>
      </x:c>
      <x:c r="P580" t="str">
        <x:v>Condition not yet reviewed</x:v>
      </x:c>
      <x:c r="Q580" t="n">
        <x:v>3.5</x:v>
      </x:c>
      <x:c r="R580" t="n">
        <x:v>5</x:v>
      </x:c>
      <x:c r="S580" t="n">
        <x:v>4.25</x:v>
      </x:c>
      <x:c r="T580" t="str">
        <x:v>Imported from user's PriceCharting Collection.pdf, page 8. PDF row value $3.99; quantity 1; per-card allocation $3.99. Imported value is carried exactly from the PDF and has not been independently repriced. EXTERNAL REPRICE (2026-08-17): TCGplayer 1st Edition market around $4.</x:v>
      </x:c>
      <x:c r="U580" t="n">
        <x:v>991</x:v>
      </x:c>
      <x:c r="V580" t="str">
        <x:v>Collection.pdf + current TCGplayer/cross-market research 2026-08-17</x:v>
      </x:c>
      <x:c r="W580" t="str">
        <x:v>https://www.tcgplayer.com/search/pokemon/product?q=Dratini+%5B1st+Edition%5D+%2353+Team+Rocket</x:v>
      </x:c>
    </x:row>
    <x:row r="581">
      <x:c r="A581" t="n">
        <x:v>705</x:v>
      </x:c>
      <x:c r="B581" t="str">
        <x:v>PDF Import / Added Cards</x:v>
      </x:c>
      <x:c r="C581" t="str">
        <x:v>Squirtle</x:v>
      </x:c>
      <x:c r="D581" t="str">
        <x:v>68/82</x:v>
      </x:c>
      <x:c r="E581" t="str">
        <x:v>Team Rocket</x:v>
      </x:c>
      <x:c r="F581" t="n">
        <x:v>2000</x:v>
      </x:c>
      <x:c r="G581" t="str">
        <x:v>1st Edition</x:v>
      </x:c>
      <x:c r="H581" t="str">
        <x:v>1 of 1</x:v>
      </x:c>
      <x:c r="I581" t="n">
        <x:v>10</x:v>
      </x:c>
      <x:c r="J581" t="n">
        <x:v>15</x:v>
      </x:c>
      <x:c r="K581" t="n">
        <x:v>12.5</x:v>
      </x:c>
      <x:c r="L581" t="str">
        <x:v>$5–20</x:v>
      </x:c>
      <x:c r="M581" t="str">
        <x:v>Yes</x:v>
      </x:c>
      <x:c r="N581" t="str">
        <x:v>No</x:v>
      </x:c>
      <x:c r="O581" t="str">
        <x:v>Yes</x:v>
      </x:c>
      <x:c r="P581" t="str">
        <x:v>Condition not yet reviewed</x:v>
      </x:c>
      <x:c r="Q581" t="n">
        <x:v>10</x:v>
      </x:c>
      <x:c r="R581" t="n">
        <x:v>15</x:v>
      </x:c>
      <x:c r="S581" t="n">
        <x:v>12.5</x:v>
      </x:c>
      <x:c r="T581" t="str">
        <x:v>Imported from user's PriceCharting Collection.pdf, page 9. PDF row value $10.80; quantity 1; per-card allocation $10.80. Imported value is carried exactly from the PDF and has not been independently repriced. EXTERNAL REPRICE (2026-08-17): TCGplayer 1st Edition market about $13–14; other current checks roughly $11.</x:v>
      </x:c>
      <x:c r="U581" t="n">
        <x:v>991</x:v>
      </x:c>
      <x:c r="V581" t="str">
        <x:v>Collection.pdf + current TCGplayer/cross-market research 2026-08-17</x:v>
      </x:c>
      <x:c r="W581" t="str">
        <x:v>https://www.tcgplayer.com/search/pokemon/product?q=Squirtle+%5B1st+Edition%5D+%2368+Team+Rocket</x:v>
      </x:c>
    </x:row>
    <x:row r="582">
      <x:c r="A582" t="n">
        <x:v>706</x:v>
      </x:c>
      <x:c r="B582" t="str">
        <x:v>PDF Import / Added Cards</x:v>
      </x:c>
      <x:c r="C582" t="str">
        <x:v>Dark Dragonair</x:v>
      </x:c>
      <x:c r="D582" t="str">
        <x:v>33/82</x:v>
      </x:c>
      <x:c r="E582" t="str">
        <x:v>Team Rocket</x:v>
      </x:c>
      <x:c r="F582" t="n">
        <x:v>2000</x:v>
      </x:c>
      <x:c r="G582" t="str">
        <x:v>1st Edition</x:v>
      </x:c>
      <x:c r="H582" t="str">
        <x:v>1 of 1</x:v>
      </x:c>
      <x:c r="I582" t="n">
        <x:v>12</x:v>
      </x:c>
      <x:c r="J582" t="n">
        <x:v>17</x:v>
      </x:c>
      <x:c r="K582" t="n">
        <x:v>14.5</x:v>
      </x:c>
      <x:c r="L582" t="str">
        <x:v>$5–20</x:v>
      </x:c>
      <x:c r="M582" t="str">
        <x:v>Yes</x:v>
      </x:c>
      <x:c r="N582" t="str">
        <x:v>No</x:v>
      </x:c>
      <x:c r="O582" t="str">
        <x:v>Yes</x:v>
      </x:c>
      <x:c r="P582" t="str">
        <x:v>Condition not yet reviewed</x:v>
      </x:c>
      <x:c r="Q582" t="n">
        <x:v>12</x:v>
      </x:c>
      <x:c r="R582" t="n">
        <x:v>17</x:v>
      </x:c>
      <x:c r="S582" t="n">
        <x:v>14.5</x:v>
      </x:c>
      <x:c r="T582" t="str">
        <x:v>Imported from user's PriceCharting Collection.pdf, page 9. PDF row value $13.58; quantity 1; per-card allocation $13.58. Imported value is carried exactly from the PDF and has not been independently repriced. EXTERNAL REPRICE (2026-08-17): TCGplayer/current analytics around $14–15.</x:v>
      </x:c>
      <x:c r="U582" t="n">
        <x:v>991</x:v>
      </x:c>
      <x:c r="V582" t="str">
        <x:v>Collection.pdf + current TCGplayer/cross-market research 2026-08-17</x:v>
      </x:c>
      <x:c r="W582" t="str">
        <x:v>https://www.tcgplayer.com/search/pokemon/product?q=Dark+Dragonair+%5B1st+Edition%5D+%2333+Team+Rocket</x:v>
      </x:c>
    </x:row>
    <x:row r="583">
      <x:c r="A583" t="n">
        <x:v>707</x:v>
      </x:c>
      <x:c r="B583" t="str">
        <x:v>PDF Import / Added Cards</x:v>
      </x:c>
      <x:c r="C583" t="str">
        <x:v>Dark Charmeleon</x:v>
      </x:c>
      <x:c r="D583" t="str">
        <x:v>32/82</x:v>
      </x:c>
      <x:c r="E583" t="str">
        <x:v>Team Rocket</x:v>
      </x:c>
      <x:c r="F583" t="n">
        <x:v>2000</x:v>
      </x:c>
      <x:c r="G583" t="str">
        <x:v>1st Edition</x:v>
      </x:c>
      <x:c r="H583" t="str">
        <x:v>1 of 1</x:v>
      </x:c>
      <x:c r="I583" t="n">
        <x:v>20</x:v>
      </x:c>
      <x:c r="J583" t="n">
        <x:v>27</x:v>
      </x:c>
      <x:c r="K583" t="n">
        <x:v>23.5</x:v>
      </x:c>
      <x:c r="L583" t="str">
        <x:v>$20+</x:v>
      </x:c>
      <x:c r="M583" t="str">
        <x:v>Yes</x:v>
      </x:c>
      <x:c r="N583" t="str">
        <x:v>Yes</x:v>
      </x:c>
      <x:c r="O583" t="str">
        <x:v>Yes</x:v>
      </x:c>
      <x:c r="P583" t="str">
        <x:v>Condition not yet reviewed</x:v>
      </x:c>
      <x:c r="Q583" t="n">
        <x:v>20</x:v>
      </x:c>
      <x:c r="R583" t="n">
        <x:v>27</x:v>
      </x:c>
      <x:c r="S583" t="n">
        <x:v>23.5</x:v>
      </x:c>
      <x:c r="T583" t="str">
        <x:v>Imported from user's PriceCharting Collection.pdf, page 9. PDF row value $19.85; quantity 1; per-card allocation $19.85. Imported value is carried exactly from the PDF and has not been independently repriced. EXTERNAL REPRICE (2026-08-17): TCGplayer 1st Edition market about $23–24.</x:v>
      </x:c>
      <x:c r="U583" t="n">
        <x:v>991</x:v>
      </x:c>
      <x:c r="V583" t="str">
        <x:v>Collection.pdf + current TCGplayer/cross-market research 2026-08-17</x:v>
      </x:c>
      <x:c r="W583" t="str">
        <x:v>https://www.tcgplayer.com/search/pokemon/product?q=Dark+Charmeleon+%5B1st+Edition%5D+%2332+Team+Rocket</x:v>
      </x:c>
    </x:row>
    <x:row r="584">
      <x:c r="A584" t="n">
        <x:v>708</x:v>
      </x:c>
      <x:c r="B584" t="str">
        <x:v>PDF Import / Added Cards</x:v>
      </x:c>
      <x:c r="C584" t="str">
        <x:v>Charmander</x:v>
      </x:c>
      <x:c r="D584" t="str">
        <x:v>50/82</x:v>
      </x:c>
      <x:c r="E584" t="str">
        <x:v>Team Rocket</x:v>
      </x:c>
      <x:c r="F584" t="n">
        <x:v>2000</x:v>
      </x:c>
      <x:c r="G584" t="str">
        <x:v>1st Edition</x:v>
      </x:c>
      <x:c r="H584" t="str">
        <x:v>1 of 1</x:v>
      </x:c>
      <x:c r="I584" t="n">
        <x:v>8</x:v>
      </x:c>
      <x:c r="J584" t="n">
        <x:v>14</x:v>
      </x:c>
      <x:c r="K584" t="n">
        <x:v>11</x:v>
      </x:c>
      <x:c r="L584" t="str">
        <x:v>$5–20</x:v>
      </x:c>
      <x:c r="M584" t="str">
        <x:v>Yes</x:v>
      </x:c>
      <x:c r="N584" t="str">
        <x:v>No</x:v>
      </x:c>
      <x:c r="O584" t="str">
        <x:v>Yes</x:v>
      </x:c>
      <x:c r="P584" t="str">
        <x:v>Condition not yet reviewed</x:v>
      </x:c>
      <x:c r="Q584" t="n">
        <x:v>8</x:v>
      </x:c>
      <x:c r="R584" t="n">
        <x:v>14</x:v>
      </x:c>
      <x:c r="S584" t="n">
        <x:v>11</x:v>
      </x:c>
      <x:c r="T584" t="str">
        <x:v>Imported from user's PriceCharting Collection.pdf, page 9. PDF row value $10.87; quantity 1; per-card allocation $10.87. Imported value is carried exactly from the PDF and has not been independently repriced. EXTERNAL REPRICE (2026-08-17): Recent/current 1st Edition signals roughly $7–14 depending venue; range centered around low teens.</x:v>
      </x:c>
      <x:c r="U584" t="n">
        <x:v>991</x:v>
      </x:c>
      <x:c r="V584" t="str">
        <x:v>Collection.pdf + current TCGplayer/cross-market research 2026-08-17</x:v>
      </x:c>
      <x:c r="W584" t="str">
        <x:v>https://www.tcgplayer.com/search/pokemon/product?q=Charmander+%5B1st+Edition%5D+%2350+Team+Rocket</x:v>
      </x:c>
    </x:row>
    <x:row r="585">
      <x:c r="A585" t="n">
        <x:v>709</x:v>
      </x:c>
      <x:c r="B585" t="str">
        <x:v>PDF Import / Added Cards</x:v>
      </x:c>
      <x:c r="C585" t="str">
        <x:v>Darkrai-EX</x:v>
      </x:c>
      <x:c r="D585" t="str">
        <x:v>BW46</x:v>
      </x:c>
      <x:c r="E585" t="str">
        <x:v>Promo</x:v>
      </x:c>
      <x:c r="F585"/>
      <x:c r="G585" t="str">
        <x:v>Holo EX</x:v>
      </x:c>
      <x:c r="H585" t="str">
        <x:v>1 of 1</x:v>
      </x:c>
      <x:c r="I585" t="n">
        <x:v>12</x:v>
      </x:c>
      <x:c r="J585" t="n">
        <x:v>25</x:v>
      </x:c>
      <x:c r="K585" t="n">
        <x:v>18.5</x:v>
      </x:c>
      <x:c r="L585" t="str">
        <x:v>$5–20</x:v>
      </x:c>
      <x:c r="M585" t="str">
        <x:v>Yes</x:v>
      </x:c>
      <x:c r="N585" t="str">
        <x:v>No</x:v>
      </x:c>
      <x:c r="O585" t="str">
        <x:v>Yes</x:v>
      </x:c>
      <x:c r="P585" t="str">
        <x:v>Condition not yet reviewed</x:v>
      </x:c>
      <x:c r="Q585" t="n">
        <x:v>12</x:v>
      </x:c>
      <x:c r="R585" t="n">
        <x:v>25</x:v>
      </x:c>
      <x:c r="S585" t="n">
        <x:v>18.5</x:v>
      </x:c>
      <x:c r="T585" t="str">
        <x:v>Imported from user's PriceCharting Collection.pdf, page 9. PDF row value $12.00; quantity 1; per-card allocation $12.00. Imported value is carried exactly from the PDF and has not been independently repriced. EXTERNAL REPRICE (2026-08-17): Market is split: TCGplayer headline around $29, cross-market/recent raw signals around $10–18; range widened.</x:v>
      </x:c>
      <x:c r="U585" t="n">
        <x:v>991</x:v>
      </x:c>
      <x:c r="V585" t="str">
        <x:v>Collection.pdf + current TCGplayer/cross-market research 2026-08-17</x:v>
      </x:c>
      <x:c r="W585" t="str">
        <x:v>https://www.tcgplayer.com/search/pokemon/product?q=Darkrai+EX+%23BW46+Promo</x:v>
      </x:c>
    </x:row>
    <x:row r="586">
      <x:c r="A586" t="n">
        <x:v>710</x:v>
      </x:c>
      <x:c r="B586" t="str">
        <x:v>PDF Import / Added Cards</x:v>
      </x:c>
      <x:c r="C586" t="str">
        <x:v>Dialga-EX</x:v>
      </x:c>
      <x:c r="D586" t="str">
        <x:v>65/101</x:v>
      </x:c>
      <x:c r="E586" t="str">
        <x:v>Plasma Blast</x:v>
      </x:c>
      <x:c r="F586" t="n">
        <x:v>2013</x:v>
      </x:c>
      <x:c r="G586" t="str">
        <x:v>Holo EX</x:v>
      </x:c>
      <x:c r="H586" t="str">
        <x:v>1 of 1</x:v>
      </x:c>
      <x:c r="I586" t="n">
        <x:v>24</x:v>
      </x:c>
      <x:c r="J586" t="n">
        <x:v>32</x:v>
      </x:c>
      <x:c r="K586" t="n">
        <x:v>28</x:v>
      </x:c>
      <x:c r="L586" t="str">
        <x:v>$20+</x:v>
      </x:c>
      <x:c r="M586" t="str">
        <x:v>Yes</x:v>
      </x:c>
      <x:c r="N586" t="str">
        <x:v>Yes</x:v>
      </x:c>
      <x:c r="O586" t="str">
        <x:v>Yes</x:v>
      </x:c>
      <x:c r="P586" t="str">
        <x:v>Condition not yet reviewed</x:v>
      </x:c>
      <x:c r="Q586" t="n">
        <x:v>24</x:v>
      </x:c>
      <x:c r="R586" t="n">
        <x:v>32</x:v>
      </x:c>
      <x:c r="S586" t="n">
        <x:v>28</x:v>
      </x:c>
      <x:c r="T586" t="str">
        <x:v>Imported from user's PriceCharting Collection.pdf, page 9. PDF row value $18.49; quantity 1; per-card allocation $18.49. Imported value is carried exactly from the PDF and has not been independently repriced. EXTERNAL REPRICE (2026-08-17): Current TCGplayer/PokemonWizard around $28–30.</x:v>
      </x:c>
      <x:c r="U586" t="n">
        <x:v>991</x:v>
      </x:c>
      <x:c r="V586" t="str">
        <x:v>Collection.pdf + current TCGplayer/cross-market research 2026-08-17</x:v>
      </x:c>
      <x:c r="W586" t="str">
        <x:v>https://www.tcgplayer.com/search/pokemon/product?q=Dialga+EX+%2365+Plasma+Blast</x:v>
      </x:c>
    </x:row>
    <x:row r="587">
      <x:c r="A587" t="n">
        <x:v>711</x:v>
      </x:c>
      <x:c r="B587" t="str">
        <x:v>PDF Import / Added Cards</x:v>
      </x:c>
      <x:c r="C587" t="str">
        <x:v>Lugia-EX</x:v>
      </x:c>
      <x:c r="D587" t="str">
        <x:v>BW83</x:v>
      </x:c>
      <x:c r="E587" t="str">
        <x:v>Promo</x:v>
      </x:c>
      <x:c r="F587"/>
      <x:c r="G587" t="str">
        <x:v>Holo EX</x:v>
      </x:c>
      <x:c r="H587" t="str">
        <x:v>1 of 1</x:v>
      </x:c>
      <x:c r="I587" t="n">
        <x:v>30</x:v>
      </x:c>
      <x:c r="J587" t="n">
        <x:v>40</x:v>
      </x:c>
      <x:c r="K587" t="n">
        <x:v>35</x:v>
      </x:c>
      <x:c r="L587" t="str">
        <x:v>$20+</x:v>
      </x:c>
      <x:c r="M587" t="str">
        <x:v>Yes</x:v>
      </x:c>
      <x:c r="N587" t="str">
        <x:v>Yes</x:v>
      </x:c>
      <x:c r="O587" t="str">
        <x:v>Yes</x:v>
      </x:c>
      <x:c r="P587" t="str">
        <x:v>Condition not yet reviewed</x:v>
      </x:c>
      <x:c r="Q587" t="n">
        <x:v>30</x:v>
      </x:c>
      <x:c r="R587" t="n">
        <x:v>40</x:v>
      </x:c>
      <x:c r="S587" t="n">
        <x:v>35</x:v>
      </x:c>
      <x:c r="T587" t="str">
        <x:v>Imported from user's PriceCharting Collection.pdf, page 9. PDF row value $29.95; quantity 1; per-card allocation $29.95. Imported value is carried exactly from the PDF and has not been independently repriced. EXTERNAL REPRICE (2026-08-17): Current TCGplayer/PokeScope roughly low/mid-$30s to high-$30s.</x:v>
      </x:c>
      <x:c r="U587" t="n">
        <x:v>991</x:v>
      </x:c>
      <x:c r="V587" t="str">
        <x:v>Collection.pdf + current TCGplayer/cross-market research 2026-08-17</x:v>
      </x:c>
      <x:c r="W587" t="str">
        <x:v>https://www.tcgplayer.com/search/pokemon/product?q=Lugia+EX+%23BW83+Promo</x:v>
      </x:c>
    </x:row>
    <x:row r="588">
      <x:c r="A588" t="n">
        <x:v>712</x:v>
      </x:c>
      <x:c r="B588" t="str">
        <x:v>PDF Import / Added Cards</x:v>
      </x:c>
      <x:c r="C588" t="str">
        <x:v>Charizard-EX</x:v>
      </x:c>
      <x:c r="D588" t="str">
        <x:v>XY17</x:v>
      </x:c>
      <x:c r="E588" t="str">
        <x:v>Promo</x:v>
      </x:c>
      <x:c r="F588"/>
      <x:c r="G588" t="str">
        <x:v>Holo EX</x:v>
      </x:c>
      <x:c r="H588" t="str">
        <x:v>1 of 1</x:v>
      </x:c>
      <x:c r="I588" t="n">
        <x:v>30</x:v>
      </x:c>
      <x:c r="J588" t="n">
        <x:v>40</x:v>
      </x:c>
      <x:c r="K588" t="n">
        <x:v>35</x:v>
      </x:c>
      <x:c r="L588" t="str">
        <x:v>$20+</x:v>
      </x:c>
      <x:c r="M588" t="str">
        <x:v>Yes</x:v>
      </x:c>
      <x:c r="N588" t="str">
        <x:v>Yes</x:v>
      </x:c>
      <x:c r="O588" t="str">
        <x:v>Yes</x:v>
      </x:c>
      <x:c r="P588" t="str">
        <x:v>Condition not yet reviewed</x:v>
      </x:c>
      <x:c r="Q588" t="n">
        <x:v>30</x:v>
      </x:c>
      <x:c r="R588" t="n">
        <x:v>40</x:v>
      </x:c>
      <x:c r="S588" t="n">
        <x:v>35</x:v>
      </x:c>
      <x:c r="T588" t="str">
        <x:v>Imported from user's PriceCharting Collection.pdf, page 10. PDF row value $15.19; quantity 1; per-card allocation $15.19. Imported value is carried exactly from the PDF and has not been independently repriced. EXTERNAL REPRICE (2026-08-17): Current standard-size TCGplayer promo market around $35.</x:v>
      </x:c>
      <x:c r="U588" t="n">
        <x:v>991</x:v>
      </x:c>
      <x:c r="V588" t="str">
        <x:v>Collection.pdf + current TCGplayer/cross-market research 2026-08-17</x:v>
      </x:c>
      <x:c r="W588" t="str">
        <x:v>https://www.tcgplayer.com/search/pokemon/product?q=Charizard+EX+%23XY17+Promo</x:v>
      </x:c>
    </x:row>
    <x:row r="589">
      <x:c r="A589" t="n">
        <x:v>713</x:v>
      </x:c>
      <x:c r="B589" t="str">
        <x:v>PDF Import / Added Cards</x:v>
      </x:c>
      <x:c r="C589" t="str">
        <x:v>Victini-EX</x:v>
      </x:c>
      <x:c r="D589" t="str">
        <x:v>18/135</x:v>
      </x:c>
      <x:c r="E589" t="str">
        <x:v>Plasma Storm</x:v>
      </x:c>
      <x:c r="F589" t="n">
        <x:v>2013</x:v>
      </x:c>
      <x:c r="G589" t="str">
        <x:v>Holo EX</x:v>
      </x:c>
      <x:c r="H589" t="str">
        <x:v>1 of 1</x:v>
      </x:c>
      <x:c r="I589" t="n">
        <x:v>10</x:v>
      </x:c>
      <x:c r="J589" t="n">
        <x:v>14</x:v>
      </x:c>
      <x:c r="K589" t="n">
        <x:v>12</x:v>
      </x:c>
      <x:c r="L589" t="str">
        <x:v>$5–20</x:v>
      </x:c>
      <x:c r="M589" t="str">
        <x:v>Yes</x:v>
      </x:c>
      <x:c r="N589" t="str">
        <x:v>No</x:v>
      </x:c>
      <x:c r="O589" t="str">
        <x:v>Yes</x:v>
      </x:c>
      <x:c r="P589" t="str">
        <x:v>Condition not yet reviewed</x:v>
      </x:c>
      <x:c r="Q589" t="n">
        <x:v>10</x:v>
      </x:c>
      <x:c r="R589" t="n">
        <x:v>14</x:v>
      </x:c>
      <x:c r="S589" t="n">
        <x:v>12</x:v>
      </x:c>
      <x:c r="T589" t="str">
        <x:v>Imported from user's PriceCharting Collection.pdf, page 10. PDF row value $11.62; quantity 1; per-card allocation $11.62. Imported value is carried exactly from the PDF and has not been independently repriced. EXTERNAL REPRICE (2026-08-17): Current TCGplayer/PokeScope/PokemonWizard around $12.5.</x:v>
      </x:c>
      <x:c r="U589" t="n">
        <x:v>991</x:v>
      </x:c>
      <x:c r="V589" t="str">
        <x:v>Collection.pdf + current TCGplayer/cross-market research 2026-08-17</x:v>
      </x:c>
      <x:c r="W589" t="str">
        <x:v>https://www.tcgplayer.com/search/pokemon/product?q=Victini+EX+%2318+Plasma+Storm</x:v>
      </x:c>
    </x:row>
    <x:row r="590">
      <x:c r="A590" t="n">
        <x:v>714</x:v>
      </x:c>
      <x:c r="B590" t="str">
        <x:v>PDF Import / Added Cards</x:v>
      </x:c>
      <x:c r="C590" t="str">
        <x:v>Meloetta-EX</x:v>
      </x:c>
      <x:c r="D590" t="str">
        <x:v>RC11/RC25</x:v>
      </x:c>
      <x:c r="E590" t="str">
        <x:v>Legendary Treasures</x:v>
      </x:c>
      <x:c r="F590" t="n">
        <x:v>2013</x:v>
      </x:c>
      <x:c r="G590" t="str">
        <x:v>Holo EX</x:v>
      </x:c>
      <x:c r="H590" t="str">
        <x:v>1 of 1</x:v>
      </x:c>
      <x:c r="I590" t="n">
        <x:v>12</x:v>
      </x:c>
      <x:c r="J590" t="n">
        <x:v>16</x:v>
      </x:c>
      <x:c r="K590" t="n">
        <x:v>14</x:v>
      </x:c>
      <x:c r="L590" t="str">
        <x:v>$5–20</x:v>
      </x:c>
      <x:c r="M590" t="str">
        <x:v>Yes</x:v>
      </x:c>
      <x:c r="N590" t="str">
        <x:v>No</x:v>
      </x:c>
      <x:c r="O590" t="str">
        <x:v>Yes</x:v>
      </x:c>
      <x:c r="P590" t="str">
        <x:v>Condition not yet reviewed</x:v>
      </x:c>
      <x:c r="Q590" t="n">
        <x:v>12</x:v>
      </x:c>
      <x:c r="R590" t="n">
        <x:v>16</x:v>
      </x:c>
      <x:c r="S590" t="n">
        <x:v>14</x:v>
      </x:c>
      <x:c r="T590" t="str">
        <x:v>Imported from user's PriceCharting Collection.pdf, page 10. PDF row value $12.29; quantity 1; per-card allocation $12.29. Imported value is carried exactly from the PDF and has not been independently repriced. EXTERNAL REPRICE (2026-08-17): Current TCGplayer/PokemonWizard around $14.</x:v>
      </x:c>
      <x:c r="U590" t="n">
        <x:v>991</x:v>
      </x:c>
      <x:c r="V590" t="str">
        <x:v>Collection.pdf + current TCGplayer/cross-market research 2026-08-17</x:v>
      </x:c>
      <x:c r="W590" t="str">
        <x:v>https://www.tcgplayer.com/search/pokemon/product?q=Meloetta+EX+%23RC11+Legendary+Treasures</x:v>
      </x:c>
    </x:row>
    <x:row r="591">
      <x:c r="A591" t="n">
        <x:v>715</x:v>
      </x:c>
      <x:c r="B591" t="str">
        <x:v>PDF Import / Added Cards</x:v>
      </x:c>
      <x:c r="C591" t="str">
        <x:v>Latias-EX</x:v>
      </x:c>
      <x:c r="D591" t="str">
        <x:v>85/116</x:v>
      </x:c>
      <x:c r="E591" t="str">
        <x:v>Plasma Freeze</x:v>
      </x:c>
      <x:c r="F591" t="n">
        <x:v>2013</x:v>
      </x:c>
      <x:c r="G591" t="str">
        <x:v>Holo EX</x:v>
      </x:c>
      <x:c r="H591" t="str">
        <x:v>1 of 1</x:v>
      </x:c>
      <x:c r="I591" t="n">
        <x:v>18</x:v>
      </x:c>
      <x:c r="J591" t="n">
        <x:v>35</x:v>
      </x:c>
      <x:c r="K591" t="n">
        <x:v>26.5</x:v>
      </x:c>
      <x:c r="L591" t="str">
        <x:v>$20+</x:v>
      </x:c>
      <x:c r="M591" t="str">
        <x:v>Yes</x:v>
      </x:c>
      <x:c r="N591" t="str">
        <x:v>Yes</x:v>
      </x:c>
      <x:c r="O591" t="str">
        <x:v>Yes</x:v>
      </x:c>
      <x:c r="P591" t="str">
        <x:v>Condition not yet reviewed</x:v>
      </x:c>
      <x:c r="Q591" t="n">
        <x:v>18</x:v>
      </x:c>
      <x:c r="R591" t="n">
        <x:v>35</x:v>
      </x:c>
      <x:c r="S591" t="n">
        <x:v>26.5</x:v>
      </x:c>
      <x:c r="T591" t="str">
        <x:v>Imported from user's PriceCharting Collection.pdf, page 10. PDF row value $15.00; quantity 1; per-card allocation $15.00. Imported value is carried exactly from the PDF and has not been independently repriced. EXTERNAL REPRICE (2026-08-17): Market is volatile/split: TCGplayer headline about $50, recent NM sold comps around $15–20; conservative cross-market range.</x:v>
      </x:c>
      <x:c r="U591" t="n">
        <x:v>991</x:v>
      </x:c>
      <x:c r="V591" t="str">
        <x:v>Collection.pdf + current TCGplayer/cross-market research 2026-08-17</x:v>
      </x:c>
      <x:c r="W591" t="str">
        <x:v>https://www.tcgplayer.com/search/pokemon/product?q=Latias+EX+%2385+Plasma+Freeze</x:v>
      </x:c>
    </x:row>
    <x:row r="592">
      <x:c r="A592" t="n">
        <x:v>716</x:v>
      </x:c>
      <x:c r="B592" t="str">
        <x:v>PDF Import / Added Cards</x:v>
      </x:c>
      <x:c r="C592" t="str">
        <x:v>M Sceptile-EX</x:v>
      </x:c>
      <x:c r="D592" t="str">
        <x:v>8/98</x:v>
      </x:c>
      <x:c r="E592" t="str">
        <x:v>Ancient Origins</x:v>
      </x:c>
      <x:c r="F592" t="n">
        <x:v>2015</x:v>
      </x:c>
      <x:c r="G592" t="str">
        <x:v>Holo EX</x:v>
      </x:c>
      <x:c r="H592" t="str">
        <x:v>1 of 1</x:v>
      </x:c>
      <x:c r="I592" t="n">
        <x:v>16</x:v>
      </x:c>
      <x:c r="J592" t="n">
        <x:v>22</x:v>
      </x:c>
      <x:c r="K592" t="n">
        <x:v>19</x:v>
      </x:c>
      <x:c r="L592" t="str">
        <x:v>$5–20</x:v>
      </x:c>
      <x:c r="M592" t="str">
        <x:v>Yes</x:v>
      </x:c>
      <x:c r="N592" t="str">
        <x:v>No</x:v>
      </x:c>
      <x:c r="O592" t="str">
        <x:v>Yes</x:v>
      </x:c>
      <x:c r="P592" t="str">
        <x:v>Condition not yet reviewed</x:v>
      </x:c>
      <x:c r="Q592" t="n">
        <x:v>16</x:v>
      </x:c>
      <x:c r="R592" t="n">
        <x:v>22</x:v>
      </x:c>
      <x:c r="S592" t="n">
        <x:v>19</x:v>
      </x:c>
      <x:c r="T592" t="str">
        <x:v>Imported from user's PriceCharting Collection.pdf, page 10. PDF row value $18.20; quantity 1; per-card allocation $18.20. Imported value is carried exactly from the PDF and has not been independently repriced. EXTERNAL REPRICE (2026-08-17): Current TCGplayer/PokemonWizard around $19–20.</x:v>
      </x:c>
      <x:c r="U592" t="n">
        <x:v>991</x:v>
      </x:c>
      <x:c r="V592" t="str">
        <x:v>Collection.pdf + current TCGplayer/cross-market research 2026-08-17</x:v>
      </x:c>
      <x:c r="W592" t="str">
        <x:v>https://www.tcgplayer.com/search/pokemon/product?q=M+Sceptile+EX+%238+Ancient+Origins</x:v>
      </x:c>
    </x:row>
    <x:row r="593">
      <x:c r="A593" t="n">
        <x:v>717</x:v>
      </x:c>
      <x:c r="B593" t="str">
        <x:v>PDF Import / Added Cards</x:v>
      </x:c>
      <x:c r="C593" t="str">
        <x:v>Mew</x:v>
      </x:c>
      <x:c r="D593" t="str">
        <x:v>8</x:v>
      </x:c>
      <x:c r="E593" t="str">
        <x:v>Promo</x:v>
      </x:c>
      <x:c r="F593"/>
      <x:c r="G593" t="str">
        <x:v>As listed in PriceCharting PDF; foil unspecified</x:v>
      </x:c>
      <x:c r="H593" t="str">
        <x:v>1 of 1</x:v>
      </x:c>
      <x:c r="I593" t="n">
        <x:v>8</x:v>
      </x:c>
      <x:c r="J593" t="n">
        <x:v>12</x:v>
      </x:c>
      <x:c r="K593" t="n">
        <x:v>10</x:v>
      </x:c>
      <x:c r="L593" t="str">
        <x:v>$5–20</x:v>
      </x:c>
      <x:c r="M593" t="str">
        <x:v>Yes</x:v>
      </x:c>
      <x:c r="N593" t="str">
        <x:v>No</x:v>
      </x:c>
      <x:c r="O593" t="str">
        <x:v>Yes</x:v>
      </x:c>
      <x:c r="P593" t="str">
        <x:v>Condition not yet reviewed</x:v>
      </x:c>
      <x:c r="Q593" t="n">
        <x:v>8</x:v>
      </x:c>
      <x:c r="R593" t="n">
        <x:v>12</x:v>
      </x:c>
      <x:c r="S593" t="n">
        <x:v>10</x:v>
      </x:c>
      <x:c r="T593" t="str">
        <x:v>Imported from user's PriceCharting Collection.pdf, page 10. PDF row value $8.45; quantity 1; per-card allocation $8.45. Imported value is carried exactly from the PDF and has not been independently repriced. EXTERNAL REPRICE (2026-08-17): Assumes the standard non-glossy WotC promo matching the PDF value; TCGplayer market about $10. Glossy-finish variant is separate and much higher.</x:v>
      </x:c>
      <x:c r="U593" t="n">
        <x:v>991</x:v>
      </x:c>
      <x:c r="V593" t="str">
        <x:v>Collection.pdf + current TCGplayer/cross-market research 2026-08-17</x:v>
      </x:c>
      <x:c r="W593" t="str">
        <x:v>https://www.tcgplayer.com/search/pokemon/product?q=Mew+%238+Promo</x:v>
      </x:c>
    </x:row>
    <x:row r="594">
      <x:c r="A594" t="n">
        <x:v>718</x:v>
      </x:c>
      <x:c r="B594" t="str">
        <x:v>PDF Import / Added Cards</x:v>
      </x:c>
      <x:c r="C594" t="str">
        <x:v>Dragonite</x:v>
      </x:c>
      <x:c r="D594" t="str">
        <x:v>5/20</x:v>
      </x:c>
      <x:c r="E594" t="str">
        <x:v>Dragon Vault</x:v>
      </x:c>
      <x:c r="F594" t="n">
        <x:v>2012</x:v>
      </x:c>
      <x:c r="G594" t="str">
        <x:v>As listed in PriceCharting PDF; foil unspecified</x:v>
      </x:c>
      <x:c r="H594" t="str">
        <x:v>3 of 3</x:v>
      </x:c>
      <x:c r="I594" t="n">
        <x:v>25</x:v>
      </x:c>
      <x:c r="J594" t="n">
        <x:v>35</x:v>
      </x:c>
      <x:c r="K594" t="n">
        <x:v>30</x:v>
      </x:c>
      <x:c r="L594" t="str">
        <x:v>$20+</x:v>
      </x:c>
      <x:c r="M594" t="str">
        <x:v>Yes</x:v>
      </x:c>
      <x:c r="N594" t="str">
        <x:v>Yes</x:v>
      </x:c>
      <x:c r="O594" t="str">
        <x:v>Yes</x:v>
      </x:c>
      <x:c r="P594" t="str">
        <x:v>Condition not yet reviewed</x:v>
      </x:c>
      <x:c r="Q594" t="n">
        <x:v>25</x:v>
      </x:c>
      <x:c r="R594" t="n">
        <x:v>35</x:v>
      </x:c>
      <x:c r="S594" t="n">
        <x:v>30</x:v>
      </x:c>
      <x:c r="T594" t="str">
        <x:v>Imported from user's PriceCharting Collection.pdf, page 10. PDF row value $19.99; quantity 1; per-card allocation $19.99. Imported value is carried exactly from the PDF and has not been independently repriced. EXTERNAL REPRICE (2026-08-17): Current Dragon Vault holo TCGplayer market about $30–31.</x:v>
      </x:c>
      <x:c r="U594" t="n">
        <x:v>991</x:v>
      </x:c>
      <x:c r="V594" t="str">
        <x:v>Collection.pdf + current TCGplayer/cross-market research 2026-08-17</x:v>
      </x:c>
      <x:c r="W594" t="str">
        <x:v>https://www.tcgplayer.com/search/pokemon/product?q=Dragonite+%235+Dragon+Vault</x:v>
      </x:c>
    </x:row>
    <x:row r="595">
      <x:c r="A595" t="n">
        <x:v>719</x:v>
      </x:c>
      <x:c r="B595" t="str">
        <x:v>PDF Import / Added Cards</x:v>
      </x:c>
      <x:c r="C595" t="str">
        <x:v>Steelix</x:v>
      </x:c>
      <x:c r="D595" t="str">
        <x:v>87/95</x:v>
      </x:c>
      <x:c r="E595" t="str">
        <x:v>Unleashed</x:v>
      </x:c>
      <x:c r="F595" t="n">
        <x:v>2010</x:v>
      </x:c>
      <x:c r="G595" t="str">
        <x:v>Prime Holo</x:v>
      </x:c>
      <x:c r="H595" t="str">
        <x:v>1 of 1</x:v>
      </x:c>
      <x:c r="I595" t="n">
        <x:v>80</x:v>
      </x:c>
      <x:c r="J595" t="n">
        <x:v>120</x:v>
      </x:c>
      <x:c r="K595" t="n">
        <x:v>100</x:v>
      </x:c>
      <x:c r="L595" t="str">
        <x:v>$20+</x:v>
      </x:c>
      <x:c r="M595" t="str">
        <x:v>Yes</x:v>
      </x:c>
      <x:c r="N595" t="str">
        <x:v>Yes</x:v>
      </x:c>
      <x:c r="O595" t="str">
        <x:v>Yes</x:v>
      </x:c>
      <x:c r="P595" t="str">
        <x:v>Condition not yet reviewed</x:v>
      </x:c>
      <x:c r="Q595" t="n">
        <x:v>80</x:v>
      </x:c>
      <x:c r="R595" t="n">
        <x:v>120</x:v>
      </x:c>
      <x:c r="S595" t="n">
        <x:v>100</x:v>
      </x:c>
      <x:c r="T595" t="str">
        <x:v>Imported from user's PriceCharting Collection.pdf, page 11. PDF row value $79.66; quantity 1; per-card allocation $79.66. Imported value is carried exactly from the PDF and has not been independently repriced. EXTERNAL REPRICE (2026-08-17): Current Steelix Prime TCGplayer/PokeScope market about $112–113; range allows for sale dispersion.</x:v>
      </x:c>
      <x:c r="U595" t="n">
        <x:v>991</x:v>
      </x:c>
      <x:c r="V595" t="str">
        <x:v>Collection.pdf + current TCGplayer/cross-market research 2026-08-17</x:v>
      </x:c>
      <x:c r="W595" t="str">
        <x:v>https://www.tcgplayer.com/search/pokemon/product?q=Steelix+%2387+Unleashed</x:v>
      </x:c>
    </x:row>
    <x:row r="596">
      <x:c r="A596" t="n">
        <x:v>720</x:v>
      </x:c>
      <x:c r="B596" t="str">
        <x:v>PDF Import / Added Cards</x:v>
      </x:c>
      <x:c r="C596" t="str">
        <x:v>M Mewtwo-EX</x:v>
      </x:c>
      <x:c r="D596" t="str">
        <x:v>63/162</x:v>
      </x:c>
      <x:c r="E596" t="str">
        <x:v>BREAKthrough</x:v>
      </x:c>
      <x:c r="F596" t="n">
        <x:v>2015</x:v>
      </x:c>
      <x:c r="G596" t="str">
        <x:v>Holo EX</x:v>
      </x:c>
      <x:c r="H596" t="str">
        <x:v>1 of 1</x:v>
      </x:c>
      <x:c r="I596" t="n">
        <x:v>35</x:v>
      </x:c>
      <x:c r="J596" t="n">
        <x:v>55</x:v>
      </x:c>
      <x:c r="K596" t="n">
        <x:v>45</x:v>
      </x:c>
      <x:c r="L596" t="str">
        <x:v>$20+</x:v>
      </x:c>
      <x:c r="M596" t="str">
        <x:v>Yes</x:v>
      </x:c>
      <x:c r="N596" t="str">
        <x:v>Yes</x:v>
      </x:c>
      <x:c r="O596" t="str">
        <x:v>Yes</x:v>
      </x:c>
      <x:c r="P596" t="str">
        <x:v>Condition not yet reviewed</x:v>
      </x:c>
      <x:c r="Q596" t="n">
        <x:v>35</x:v>
      </x:c>
      <x:c r="R596" t="n">
        <x:v>55</x:v>
      </x:c>
      <x:c r="S596" t="n">
        <x:v>45</x:v>
      </x:c>
      <x:c r="T596" t="str">
        <x:v>Imported from user's PriceCharting Collection.pdf, page 11. PDF row value $27.87; quantity 1; per-card allocation $27.87. Imported value is carried exactly from the PDF and has not been independently repriced. EXTERNAL REPRICE (2026-08-17): Current TCGplayer/PokemonWizard market about $52–53; recent raw eBay comps can be lower.</x:v>
      </x:c>
      <x:c r="U596" t="n">
        <x:v>991</x:v>
      </x:c>
      <x:c r="V596" t="str">
        <x:v>Collection.pdf + current TCGplayer/cross-market research 2026-08-17</x:v>
      </x:c>
      <x:c r="W596" t="str">
        <x:v>https://www.tcgplayer.com/search/pokemon/product?q=M+Mewtwo+EX+%2363+BREAKthrough</x:v>
      </x:c>
    </x:row>
    <x:row r="597">
      <x:c r="A597" t="n">
        <x:v>721</x:v>
      </x:c>
      <x:c r="B597" t="str">
        <x:v>PDF Import / Added Cards</x:v>
      </x:c>
      <x:c r="C597" t="str">
        <x:v>Rayquaza</x:v>
      </x:c>
      <x:c r="D597" t="str">
        <x:v>11/20</x:v>
      </x:c>
      <x:c r="E597" t="str">
        <x:v>Dragon Vault</x:v>
      </x:c>
      <x:c r="F597" t="n">
        <x:v>2012</x:v>
      </x:c>
      <x:c r="G597" t="str">
        <x:v>Dragon Vault stamped blister promo</x:v>
      </x:c>
      <x:c r="H597" t="str">
        <x:v>2 of 2</x:v>
      </x:c>
      <x:c r="I597" t="n">
        <x:v>75</x:v>
      </x:c>
      <x:c r="J597" t="n">
        <x:v>95</x:v>
      </x:c>
      <x:c r="K597" t="n">
        <x:v>85</x:v>
      </x:c>
      <x:c r="L597" t="str">
        <x:v>$20+</x:v>
      </x:c>
      <x:c r="M597" t="str">
        <x:v>Yes</x:v>
      </x:c>
      <x:c r="N597" t="str">
        <x:v>Yes</x:v>
      </x:c>
      <x:c r="O597" t="str">
        <x:v>Yes</x:v>
      </x:c>
      <x:c r="P597" t="str">
        <x:v>Photo pre-grade PSA 8 most likely; reverse edge chipping/nicks; no moisture swelling</x:v>
      </x:c>
      <x:c r="Q597" t="n">
        <x:v>75</x:v>
      </x:c>
      <x:c r="R597" t="n">
        <x:v>95</x:v>
      </x:c>
      <x:c r="S597" t="n">
        <x:v>85</x:v>
      </x:c>
      <x:c r="T597" t="str">
        <x:v>Rayquaza 11/20 stamped copy #2 of 2. Current photo grade: PSA 8 most likely (PSA 7 ~8%, PSA 8 ~62%, PSA 9 ~29%, PSA 10 ~1%). Centering 10 at 53.8/46.2 L-R and 50.3/49.7 T-B; corners 8–9; edges 8 due multiple reverse right-edge chips/nicks and smaller bottom-edge touches; surface 9 with faint mark above 40 treated as minor scuff/print line unless later proven to be a groove.</x:v>
      </x:c>
      <x:c r="U597" t="n">
        <x:v>991</x:v>
      </x:c>
      <x:c r="V597" t="str">
        <x:v>Collection.pdf + current TCGplayer/cross-market research 2026-08-17</x:v>
      </x:c>
      <x:c r="W597" t="str">
        <x:v>https://www.tcgplayer.com/search/pokemon/product?q=Rayquaza+%5BStamped%5D+%2311+Dragon+Vault</x:v>
      </x:c>
    </x:row>
    <x:row r="598">
      <x:c r="A598" t="n">
        <x:v>722</x:v>
      </x:c>
      <x:c r="B598" t="str">
        <x:v>PDF Import / Added Cards</x:v>
      </x:c>
      <x:c r="C598" t="str">
        <x:v>Dialga LV.X</x:v>
      </x:c>
      <x:c r="D598" t="str">
        <x:v>105/106</x:v>
      </x:c>
      <x:c r="E598" t="str">
        <x:v>Great Encounters</x:v>
      </x:c>
      <x:c r="F598" t="n">
        <x:v>2008</x:v>
      </x:c>
      <x:c r="G598" t="str">
        <x:v>Holofoil LV.X</x:v>
      </x:c>
      <x:c r="H598" t="str">
        <x:v>1 of 1</x:v>
      </x:c>
      <x:c r="I598" t="n">
        <x:v>100</x:v>
      </x:c>
      <x:c r="J598" t="n">
        <x:v>200</x:v>
      </x:c>
      <x:c r="K598" t="n">
        <x:v>150</x:v>
      </x:c>
      <x:c r="L598" t="str">
        <x:v>$20+</x:v>
      </x:c>
      <x:c r="M598" t="str">
        <x:v>Yes</x:v>
      </x:c>
      <x:c r="N598" t="str">
        <x:v>Yes</x:v>
      </x:c>
      <x:c r="O598" t="str">
        <x:v>Yes</x:v>
      </x:c>
      <x:c r="P598" t="str">
        <x:v>Condition not yet reviewed</x:v>
      </x:c>
      <x:c r="Q598" t="n">
        <x:v>100</x:v>
      </x:c>
      <x:c r="R598" t="n">
        <x:v>200</x:v>
      </x:c>
      <x:c r="S598" t="n">
        <x:v>150</x:v>
      </x:c>
      <x:c r="T598" t="str">
        <x:v>Imported from user's PriceCharting Collection.pdf, page 11. PDF row value $85.89; quantity 1; per-card allocation $85.89. Imported value is carried exactly from the PDF and has not been independently repriced. EXTERNAL REPRICE (2026-08-17): Very illiquid/split: TCGplayer headline ~$250, cross-market data roughly $43–173 and recent MP around $60; clean/NM range kept broad/conservative.</x:v>
      </x:c>
      <x:c r="U598" t="n">
        <x:v>991</x:v>
      </x:c>
      <x:c r="V598" t="str">
        <x:v>Collection.pdf + current TCGplayer/cross-market research 2026-08-17</x:v>
      </x:c>
      <x:c r="W598" t="str">
        <x:v>https://www.tcgplayer.com/search/pokemon/product?q=Dialga+LV.+X+%23105+Great+Encounters</x:v>
      </x:c>
    </x:row>
    <x:row r="599">
      <x:c r="A599" t="n">
        <x:v>723</x:v>
      </x:c>
      <x:c r="B599" t="str">
        <x:v>PDF Import / Added Cards</x:v>
      </x:c>
      <x:c r="C599" t="str">
        <x:v>Arceus LV.X</x:v>
      </x:c>
      <x:c r="D599" t="str">
        <x:v>94/99</x:v>
      </x:c>
      <x:c r="E599" t="str">
        <x:v>Arceus</x:v>
      </x:c>
      <x:c r="F599" t="n">
        <x:v>2009</x:v>
      </x:c>
      <x:c r="G599" t="str">
        <x:v>Holofoil LV.X</x:v>
      </x:c>
      <x:c r="H599" t="str">
        <x:v>1 of 1</x:v>
      </x:c>
      <x:c r="I599" t="n">
        <x:v>40</x:v>
      </x:c>
      <x:c r="J599" t="n">
        <x:v>55</x:v>
      </x:c>
      <x:c r="K599" t="n">
        <x:v>47.5</x:v>
      </x:c>
      <x:c r="L599" t="str">
        <x:v>$20+</x:v>
      </x:c>
      <x:c r="M599" t="str">
        <x:v>Yes</x:v>
      </x:c>
      <x:c r="N599" t="str">
        <x:v>Yes</x:v>
      </x:c>
      <x:c r="O599" t="str">
        <x:v>Yes</x:v>
      </x:c>
      <x:c r="P599" t="str">
        <x:v>Condition not yet reviewed</x:v>
      </x:c>
      <x:c r="Q599" t="n">
        <x:v>40</x:v>
      </x:c>
      <x:c r="R599" t="n">
        <x:v>55</x:v>
      </x:c>
      <x:c r="S599" t="n">
        <x:v>47.5</x:v>
      </x:c>
      <x:c r="T599" t="str">
        <x:v>Imported from user's PriceCharting Collection.pdf, page 11. PDF row value $51.25; quantity 1; per-card allocation $51.25. Imported value is carried exactly from the PDF and has not been independently repriced. EXTERNAL REPRICE (2026-08-17): Current TCGplayer market about $48; recent NM TCGplayer sale around mid-$40s.</x:v>
      </x:c>
      <x:c r="U599" t="n">
        <x:v>991</x:v>
      </x:c>
      <x:c r="V599" t="str">
        <x:v>Collection.pdf + current TCGplayer/cross-market research 2026-08-17</x:v>
      </x:c>
      <x:c r="W599" t="str">
        <x:v>https://www.tcgplayer.com/search/pokemon/product?q=Arceus+LV.+X+%2394+Arceus</x:v>
      </x:c>
    </x:row>
    <x:row r="600">
      <x:c r="A600" t="n">
        <x:v>724</x:v>
      </x:c>
      <x:c r="B600" t="str">
        <x:v>PDF Import / Added Cards</x:v>
      </x:c>
      <x:c r="C600" t="str">
        <x:v>Mewtwo-EX</x:v>
      </x:c>
      <x:c r="D600" t="str">
        <x:v>BW45</x:v>
      </x:c>
      <x:c r="E600" t="str">
        <x:v>Promo</x:v>
      </x:c>
      <x:c r="F600"/>
      <x:c r="G600" t="str">
        <x:v>Holo EX</x:v>
      </x:c>
      <x:c r="H600" t="str">
        <x:v>1 of 1</x:v>
      </x:c>
      <x:c r="I600" t="n">
        <x:v>17</x:v>
      </x:c>
      <x:c r="J600" t="n">
        <x:v>25</x:v>
      </x:c>
      <x:c r="K600" t="n">
        <x:v>21</x:v>
      </x:c>
      <x:c r="L600" t="str">
        <x:v>$20+</x:v>
      </x:c>
      <x:c r="M600" t="str">
        <x:v>Yes</x:v>
      </x:c>
      <x:c r="N600" t="str">
        <x:v>Yes</x:v>
      </x:c>
      <x:c r="O600" t="str">
        <x:v>Yes</x:v>
      </x:c>
      <x:c r="P600" t="str">
        <x:v>Condition not yet reviewed</x:v>
      </x:c>
      <x:c r="Q600" t="n">
        <x:v>17</x:v>
      </x:c>
      <x:c r="R600" t="n">
        <x:v>25</x:v>
      </x:c>
      <x:c r="S600" t="n">
        <x:v>21</x:v>
      </x:c>
      <x:c r="T600" t="str">
        <x:v>Imported from user's PriceCharting Collection.pdf, page 11. PDF row value $12.39; quantity 1; per-card allocation $12.39. Imported value is carried exactly from the PDF and has not been independently repriced. EXTERNAL REPRICE (2026-08-17): Current TCGplayer/Guardian roughly high teens to low-$20s.</x:v>
      </x:c>
      <x:c r="U600" t="n">
        <x:v>991</x:v>
      </x:c>
      <x:c r="V600" t="str">
        <x:v>Collection.pdf + current TCGplayer/cross-market research 2026-08-17</x:v>
      </x:c>
      <x:c r="W600" t="str">
        <x:v>https://www.tcgplayer.com/search/pokemon/product?q=Mewtwo+EX+%23BW45+Promo</x:v>
      </x:c>
    </x:row>
    <x:row r="601">
      <x:c r="A601" t="n">
        <x:v>725</x:v>
      </x:c>
      <x:c r="B601" t="str">
        <x:v>PDF Import / Added Cards</x:v>
      </x:c>
      <x:c r="C601" t="str">
        <x:v>Arceus</x:v>
      </x:c>
      <x:c r="D601" t="str">
        <x:v>DP50</x:v>
      </x:c>
      <x:c r="E601" t="str">
        <x:v>Promo</x:v>
      </x:c>
      <x:c r="F601"/>
      <x:c r="G601" t="str">
        <x:v>As listed in PriceCharting PDF; foil unspecified</x:v>
      </x:c>
      <x:c r="H601" t="str">
        <x:v>1 of 1</x:v>
      </x:c>
      <x:c r="I601" t="n">
        <x:v>28</x:v>
      </x:c>
      <x:c r="J601" t="n">
        <x:v>38</x:v>
      </x:c>
      <x:c r="K601" t="n">
        <x:v>33</x:v>
      </x:c>
      <x:c r="L601" t="str">
        <x:v>$20+</x:v>
      </x:c>
      <x:c r="M601" t="str">
        <x:v>Yes</x:v>
      </x:c>
      <x:c r="N601" t="str">
        <x:v>Yes</x:v>
      </x:c>
      <x:c r="O601" t="str">
        <x:v>Yes</x:v>
      </x:c>
      <x:c r="P601" t="str">
        <x:v>Condition not yet reviewed</x:v>
      </x:c>
      <x:c r="Q601" t="n">
        <x:v>28</x:v>
      </x:c>
      <x:c r="R601" t="n">
        <x:v>38</x:v>
      </x:c>
      <x:c r="S601" t="n">
        <x:v>33</x:v>
      </x:c>
      <x:c r="T601" t="str">
        <x:v>Imported from user's PriceCharting Collection.pdf, page 11. PDF row value $18.76; quantity 1; per-card allocation $18.76. Imported value is carried exactly from the PDF and has not been independently repriced. EXTERNAL REPRICE (2026-08-17): Current TCGplayer/EvoTerminal about $35.</x:v>
      </x:c>
      <x:c r="U601" t="n">
        <x:v>991</x:v>
      </x:c>
      <x:c r="V601" t="str">
        <x:v>Collection.pdf + current TCGplayer/cross-market research 2026-08-17</x:v>
      </x:c>
      <x:c r="W601" t="str">
        <x:v>https://www.tcgplayer.com/search/pokemon/product?q=Arceus+%23DP50+Promo</x:v>
      </x:c>
    </x:row>
    <x:row r="602">
      <x:c r="A602" t="n">
        <x:v>726</x:v>
      </x:c>
      <x:c r="B602" t="str">
        <x:v>PDF Import / Added Cards</x:v>
      </x:c>
      <x:c r="C602" t="str">
        <x:v>Emboar</x:v>
      </x:c>
      <x:c r="D602" t="str">
        <x:v>26/149</x:v>
      </x:c>
      <x:c r="E602" t="str">
        <x:v>Boundaries Crossed</x:v>
      </x:c>
      <x:c r="F602" t="n">
        <x:v>2012</x:v>
      </x:c>
      <x:c r="G602" t="str">
        <x:v>As listed in PriceCharting PDF; foil unspecified</x:v>
      </x:c>
      <x:c r="H602" t="str">
        <x:v>1 of 1</x:v>
      </x:c>
      <x:c r="I602" t="n">
        <x:v>3.5</x:v>
      </x:c>
      <x:c r="J602" t="n">
        <x:v>5.5</x:v>
      </x:c>
      <x:c r="K602" t="n">
        <x:v>4.5</x:v>
      </x:c>
      <x:c r="L602" t="str">
        <x:v>$1–5</x:v>
      </x:c>
      <x:c r="M602" t="str">
        <x:v>Yes</x:v>
      </x:c>
      <x:c r="N602" t="str">
        <x:v>No</x:v>
      </x:c>
      <x:c r="O602" t="str">
        <x:v>Yes</x:v>
      </x:c>
      <x:c r="P602" t="str">
        <x:v>Condition not yet reviewed</x:v>
      </x:c>
      <x:c r="Q602" t="n">
        <x:v>3.5</x:v>
      </x:c>
      <x:c r="R602" t="n">
        <x:v>5.5</x:v>
      </x:c>
      <x:c r="S602" t="n">
        <x:v>4.5</x:v>
      </x:c>
      <x:c r="T602" t="str">
        <x:v>Imported from user's PriceCharting Collection.pdf, page 12. PDF row value $4.07; quantity 1; per-card allocation $4.07. Imported value is carried exactly from the PDF and has not been independently repriced. EXTERNAL REPRICE (2026-08-17): Current TCGplayer market about $4.3–4.4.</x:v>
      </x:c>
      <x:c r="U602" t="n">
        <x:v>991</x:v>
      </x:c>
      <x:c r="V602" t="str">
        <x:v>Collection.pdf + current TCGplayer/cross-market research 2026-08-17</x:v>
      </x:c>
      <x:c r="W602" t="str">
        <x:v>https://www.tcgplayer.com/search/pokemon/product?q=Emboar+%2326+Boundaries+Crossed</x:v>
      </x:c>
    </x:row>
    <x:row r="603">
      <x:c r="A603" t="n">
        <x:v>727</x:v>
      </x:c>
      <x:c r="B603" t="str">
        <x:v>PDF Import / Added Cards</x:v>
      </x:c>
      <x:c r="C603" t="str">
        <x:v>Beartic</x:v>
      </x:c>
      <x:c r="D603" t="str">
        <x:v>37/99</x:v>
      </x:c>
      <x:c r="E603" t="str">
        <x:v>Next Destinies</x:v>
      </x:c>
      <x:c r="F603" t="n">
        <x:v>2012</x:v>
      </x:c>
      <x:c r="G603" t="str">
        <x:v>Reverse Holo</x:v>
      </x:c>
      <x:c r="H603" t="str">
        <x:v>2 of 2</x:v>
      </x:c>
      <x:c r="I603" t="n">
        <x:v>1.75</x:v>
      </x:c>
      <x:c r="J603" t="n">
        <x:v>2.75</x:v>
      </x:c>
      <x:c r="K603" t="n">
        <x:v>2.25</x:v>
      </x:c>
      <x:c r="L603" t="str">
        <x:v>$1–5</x:v>
      </x:c>
      <x:c r="M603" t="str">
        <x:v>Yes</x:v>
      </x:c>
      <x:c r="N603" t="str">
        <x:v>No</x:v>
      </x:c>
      <x:c r="O603" t="str">
        <x:v>Yes</x:v>
      </x:c>
      <x:c r="P603" t="str">
        <x:v>Condition not yet reviewed</x:v>
      </x:c>
      <x:c r="Q603" t="n">
        <x:v>1.75</x:v>
      </x:c>
      <x:c r="R603" t="n">
        <x:v>2.75</x:v>
      </x:c>
      <x:c r="S603" t="n">
        <x:v>2.25</x:v>
      </x:c>
      <x:c r="T603" t="str">
        <x:v>Imported from user's PriceCharting Collection.pdf, page 12. PDF row value $2.16; quantity 1; per-card allocation $2.16. Imported value is carried exactly from the PDF and has not been independently repriced. EXTERNAL REPRICE (2026-08-17): Current TCGplayer reverse-holo guide about $2.25.</x:v>
      </x:c>
      <x:c r="U603" t="n">
        <x:v>991</x:v>
      </x:c>
      <x:c r="V603" t="str">
        <x:v>Collection.pdf + current TCGplayer/cross-market research 2026-08-17</x:v>
      </x:c>
      <x:c r="W603" t="str">
        <x:v>https://www.tcgplayer.com/search/pokemon/product?q=Beartic+%5BReverse+Holo%5D+%2337+Next+Destinies</x:v>
      </x:c>
    </x:row>
    <x:row r="604">
      <x:c r="A604" t="n">
        <x:v>728</x:v>
      </x:c>
      <x:c r="B604" t="str">
        <x:v>PDF Import / Added Cards</x:v>
      </x:c>
      <x:c r="C604" t="str">
        <x:v>Thundurus</x:v>
      </x:c>
      <x:c r="D604" t="str">
        <x:v>50/113</x:v>
      </x:c>
      <x:c r="E604" t="str">
        <x:v>Legendary Treasures</x:v>
      </x:c>
      <x:c r="F604" t="n">
        <x:v>2013</x:v>
      </x:c>
      <x:c r="G604" t="str">
        <x:v>As listed in PriceCharting PDF; foil unspecified</x:v>
      </x:c>
      <x:c r="H604" t="str">
        <x:v>1 of 1</x:v>
      </x:c>
      <x:c r="I604" t="n">
        <x:v>1.5</x:v>
      </x:c>
      <x:c r="J604" t="n">
        <x:v>2.75</x:v>
      </x:c>
      <x:c r="K604" t="n">
        <x:v>2.125</x:v>
      </x:c>
      <x:c r="L604" t="str">
        <x:v>$1–5</x:v>
      </x:c>
      <x:c r="M604" t="str">
        <x:v>Yes</x:v>
      </x:c>
      <x:c r="N604" t="str">
        <x:v>No</x:v>
      </x:c>
      <x:c r="O604" t="str">
        <x:v>Yes</x:v>
      </x:c>
      <x:c r="P604" t="str">
        <x:v>Condition not yet reviewed</x:v>
      </x:c>
      <x:c r="Q604" t="n">
        <x:v>1.5</x:v>
      </x:c>
      <x:c r="R604" t="n">
        <x:v>2.75</x:v>
      </x:c>
      <x:c r="S604" t="n">
        <x:v>2.125</x:v>
      </x:c>
      <x:c r="T604" t="str">
        <x:v>Imported from user's PriceCharting Collection.pdf, page 12. PDF row value $2.29; quantity 1; per-card allocation $2.29. Imported value is carried exactly from the PDF and has not been independently repriced. EXTERNAL REPRICE (2026-08-17): Treated as Legendary Treasures holo set printing; TCGplayer holo market about $1.9. Deck-exclusive normal is lower.</x:v>
      </x:c>
      <x:c r="U604" t="n">
        <x:v>991</x:v>
      </x:c>
      <x:c r="V604" t="str">
        <x:v>Collection.pdf + current TCGplayer/cross-market research 2026-08-17</x:v>
      </x:c>
      <x:c r="W604" t="str">
        <x:v>https://www.tcgplayer.com/search/pokemon/product?q=Thundurus+%2350+Legendary+Treasures</x:v>
      </x:c>
    </x:row>
    <x:row r="605">
      <x:c r="A605" t="n">
        <x:v>729</x:v>
      </x:c>
      <x:c r="B605" t="str">
        <x:v>PDF Import / Added Cards</x:v>
      </x:c>
      <x:c r="C605" t="str">
        <x:v>Druddigon</x:v>
      </x:c>
      <x:c r="D605" t="str">
        <x:v>70/106</x:v>
      </x:c>
      <x:c r="E605" t="str">
        <x:v>Flashfire</x:v>
      </x:c>
      <x:c r="F605" t="n">
        <x:v>2014</x:v>
      </x:c>
      <x:c r="G605" t="str">
        <x:v>Reverse Holo</x:v>
      </x:c>
      <x:c r="H605" t="str">
        <x:v>1 of 1</x:v>
      </x:c>
      <x:c r="I605" t="n">
        <x:v>0.8</x:v>
      </x:c>
      <x:c r="J605" t="n">
        <x:v>1.3</x:v>
      </x:c>
      <x:c r="K605" t="n">
        <x:v>1.05</x:v>
      </x:c>
      <x:c r="L605" t="str">
        <x:v>$1–5</x:v>
      </x:c>
      <x:c r="M605" t="str">
        <x:v>Yes</x:v>
      </x:c>
      <x:c r="N605" t="str">
        <x:v>No</x:v>
      </x:c>
      <x:c r="O605" t="str">
        <x:v>Yes</x:v>
      </x:c>
      <x:c r="P605" t="str">
        <x:v>Condition not yet reviewed</x:v>
      </x:c>
      <x:c r="Q605" t="n">
        <x:v>0.8</x:v>
      </x:c>
      <x:c r="R605" t="n">
        <x:v>1.3</x:v>
      </x:c>
      <x:c r="S605" t="n">
        <x:v>1.05</x:v>
      </x:c>
      <x:c r="T605" t="str">
        <x:v>Imported from user's PriceCharting Collection.pdf, page 12. PDF row value $0.99; quantity 1; per-card allocation $0.99. Imported value is carried exactly from the PDF and has not been independently repriced. EXTERNAL REPRICE (2026-08-17): Current TCGplayer reverse-holo guide about $1.05.</x:v>
      </x:c>
      <x:c r="U605" t="n">
        <x:v>991</x:v>
      </x:c>
      <x:c r="V605" t="str">
        <x:v>Collection.pdf + current TCGplayer/cross-market research 2026-08-17</x:v>
      </x:c>
      <x:c r="W605" t="str">
        <x:v>https://www.tcgplayer.com/search/pokemon/product?q=Druddigon+%5BReverse+Holo%5D+%2370+Flashfire</x:v>
      </x:c>
    </x:row>
    <x:row r="606">
      <x:c r="A606" t="n">
        <x:v>730</x:v>
      </x:c>
      <x:c r="B606" t="str">
        <x:v>PDF Import / Added Cards</x:v>
      </x:c>
      <x:c r="C606" t="str">
        <x:v>Yanmega</x:v>
      </x:c>
      <x:c r="D606" t="str">
        <x:v>98/102</x:v>
      </x:c>
      <x:c r="E606" t="str">
        <x:v>Triumphant</x:v>
      </x:c>
      <x:c r="F606" t="n">
        <x:v>2010</x:v>
      </x:c>
      <x:c r="G606" t="str">
        <x:v>As listed in PriceCharting PDF; foil unspecified</x:v>
      </x:c>
      <x:c r="H606" t="str">
        <x:v>1 of 1</x:v>
      </x:c>
      <x:c r="I606" t="n">
        <x:v>22</x:v>
      </x:c>
      <x:c r="J606" t="n">
        <x:v>30</x:v>
      </x:c>
      <x:c r="K606" t="n">
        <x:v>26</x:v>
      </x:c>
      <x:c r="L606" t="str">
        <x:v>$20+</x:v>
      </x:c>
      <x:c r="M606" t="str">
        <x:v>Yes</x:v>
      </x:c>
      <x:c r="N606" t="str">
        <x:v>Yes</x:v>
      </x:c>
      <x:c r="O606" t="str">
        <x:v>Yes</x:v>
      </x:c>
      <x:c r="P606" t="str">
        <x:v>Condition not yet reviewed</x:v>
      </x:c>
      <x:c r="Q606" t="n">
        <x:v>22</x:v>
      </x:c>
      <x:c r="R606" t="n">
        <x:v>30</x:v>
      </x:c>
      <x:c r="S606" t="n">
        <x:v>26</x:v>
      </x:c>
      <x:c r="T606" t="str">
        <x:v>Imported from user's PriceCharting Collection.pdf, page 12. PDF row value $21.78; quantity 1; per-card allocation $21.78. Imported value is carried exactly from the PDF and has not been independently repriced. EXTERNAL REPRICE (2026-08-17): Current Yanmega Prime TCGplayer/PokemonWizard around $26–28.</x:v>
      </x:c>
      <x:c r="U606" t="n">
        <x:v>991</x:v>
      </x:c>
      <x:c r="V606" t="str">
        <x:v>Collection.pdf + current TCGplayer/cross-market research 2026-08-17</x:v>
      </x:c>
      <x:c r="W606" t="str">
        <x:v>https://www.tcgplayer.com/search/pokemon/product?q=Yanmega+%2398+Triumphant</x:v>
      </x:c>
    </x:row>
    <x:row r="607">
      <x:c r="A607" t="n">
        <x:v>731</x:v>
      </x:c>
      <x:c r="B607" t="str">
        <x:v>PDF Import / Added Cards</x:v>
      </x:c>
      <x:c r="C607" t="str">
        <x:v>Salamence</x:v>
      </x:c>
      <x:c r="D607" t="str">
        <x:v>64/101</x:v>
      </x:c>
      <x:c r="E607" t="str">
        <x:v>Plasma Blast</x:v>
      </x:c>
      <x:c r="F607" t="n">
        <x:v>2013</x:v>
      </x:c>
      <x:c r="G607" t="str">
        <x:v>As listed in PriceCharting PDF; foil unspecified</x:v>
      </x:c>
      <x:c r="H607" t="str">
        <x:v>1 of 1</x:v>
      </x:c>
      <x:c r="I607" t="n">
        <x:v>5.5</x:v>
      </x:c>
      <x:c r="J607" t="n">
        <x:v>8</x:v>
      </x:c>
      <x:c r="K607" t="n">
        <x:v>6.75</x:v>
      </x:c>
      <x:c r="L607" t="str">
        <x:v>$5–20</x:v>
      </x:c>
      <x:c r="M607" t="str">
        <x:v>Yes</x:v>
      </x:c>
      <x:c r="N607" t="str">
        <x:v>No</x:v>
      </x:c>
      <x:c r="O607" t="str">
        <x:v>Yes</x:v>
      </x:c>
      <x:c r="P607" t="str">
        <x:v>Condition not yet reviewed</x:v>
      </x:c>
      <x:c r="Q607" t="n">
        <x:v>5.5</x:v>
      </x:c>
      <x:c r="R607" t="n">
        <x:v>8</x:v>
      </x:c>
      <x:c r="S607" t="n">
        <x:v>6.75</x:v>
      </x:c>
      <x:c r="T607" t="str">
        <x:v>Imported from user's PriceCharting Collection.pdf, page 12. PDF row value $4.59; quantity 1; per-card allocation $4.59. Imported value is carried exactly from the PDF and has not been independently repriced. EXTERNAL REPRICE (2026-08-17): Current Plasma Blast holo TCGplayer market about $6.9.</x:v>
      </x:c>
      <x:c r="U607" t="n">
        <x:v>991</x:v>
      </x:c>
      <x:c r="V607" t="str">
        <x:v>Collection.pdf + current TCGplayer/cross-market research 2026-08-17</x:v>
      </x:c>
      <x:c r="W607" t="str">
        <x:v>https://www.tcgplayer.com/search/pokemon/product?q=Salamence+%2364+Plasma+Blast</x:v>
      </x:c>
    </x:row>
    <x:row r="608">
      <x:c r="A608" t="n">
        <x:v>732</x:v>
      </x:c>
      <x:c r="B608" t="str">
        <x:v>Post-Dragon / Mixed Pokémon</x:v>
      </x:c>
      <x:c r="C608" t="str">
        <x:v>Unown (X)</x:v>
      </x:c>
      <x:c r="D608" t="str">
        <x:v>X/28</x:v>
      </x:c>
      <x:c r="E608" t="str">
        <x:v>EX Unseen Forces</x:v>
      </x:c>
      <x:c r="F608" t="n">
        <x:v>2005</x:v>
      </x:c>
      <x:c r="G608" t="str">
        <x:v>Holo Rare</x:v>
      </x:c>
      <x:c r="H608" t="str">
        <x:v>1 of 1</x:v>
      </x:c>
      <x:c r="I608" t="n">
        <x:v>35</x:v>
      </x:c>
      <x:c r="J608" t="n">
        <x:v>50</x:v>
      </x:c>
      <x:c r="K608" t="n">
        <x:v>42.5</x:v>
      </x:c>
      <x:c r="L608" t="str">
        <x:v>$20+</x:v>
      </x:c>
      <x:c r="M608" t="str">
        <x:v>Yes</x:v>
      </x:c>
      <x:c r="N608" t="str">
        <x:v>Yes</x:v>
      </x:c>
      <x:c r="O608" t="str">
        <x:v>Yes</x:v>
      </x:c>
      <x:c r="P608" t="str">
        <x:v>Clean/NM benchmark unless noted</x:v>
      </x:c>
      <x:c r="Q608" t="n">
        <x:v>35</x:v>
      </x:c>
      <x:c r="R608" t="n">
        <x:v>50</x:v>
      </x:c>
      <x:c r="S608" t="n">
        <x:v>42.5</x:v>
      </x:c>
      <x:c r="T608" t="str">
        <x:v>EX Unseen Forces Unown (X) X/28 holo rare. TCGplayer current NM market is about $44.13. Working clean/NM range $35–50 to allow for limited listings and condition sensitivity.</x:v>
      </x:c>
      <x:c r="U608" t="n">
        <x:v>992</x:v>
      </x:c>
      <x:c r="V608" t="str">
        <x:v>Current chat continuation / researched 2026-08-16</x:v>
      </x:c>
      <x:c r="W608" t="str">
        <x:v>https://www.tcgplayer.com/search/all/product?q=Unown+X</x:v>
      </x:c>
    </x:row>
    <x:row r="609">
      <x:c r="A609" t="n">
        <x:v>733</x:v>
      </x:c>
      <x:c r="B609" t="str">
        <x:v>Dragon / Dragon Vault</x:v>
      </x:c>
      <x:c r="C609" t="str">
        <x:v>Latios</x:v>
      </x:c>
      <x:c r="D609" t="str">
        <x:v>10/20</x:v>
      </x:c>
      <x:c r="E609" t="str">
        <x:v>Dragon Vault</x:v>
      </x:c>
      <x:c r="F609" t="n">
        <x:v>2012</x:v>
      </x:c>
      <x:c r="G609" t="str">
        <x:v>Holo — Dragon Vault D.V. Stamp</x:v>
      </x:c>
      <x:c r="H609" t="str">
        <x:v>1 of 1</x:v>
      </x:c>
      <x:c r="I609" t="n">
        <x:v>6.15</x:v>
      </x:c>
      <x:c r="J609" t="n">
        <x:v>16.25</x:v>
      </x:c>
      <x:c r="K609" t="n">
        <x:v>11.2</x:v>
      </x:c>
      <x:c r="L609" t="str">
        <x:v>$5–20</x:v>
      </x:c>
      <x:c r="M609" t="str">
        <x:v>Yes</x:v>
      </x:c>
      <x:c r="N609" t="str">
        <x:v>No</x:v>
      </x:c>
      <x:c r="O609" t="str">
        <x:v>Yes</x:v>
      </x:c>
      <x:c r="P609" t="str">
        <x:v>Manual pre-grade: PSA 9 most likely</x:v>
      </x:c>
      <x:c r="Q609" t="n">
        <x:v>6.15</x:v>
      </x:c>
      <x:c r="R609" t="n">
        <x:v>16.25</x:v>
      </x:c>
      <x:c r="S609" t="n">
        <x:v>11.2</x:v>
      </x:c>
      <x:c r="T609" t="str">
        <x:v>Dragon Vault Latios 10/20 D.V. Stamp confirmed from image. Pre-grade: centering 10; corners 9; edges 9; surface 9–10; overall PSA 9 most likely. Odds: PSA 7 ~2%, PSA 8 ~39%, PSA 9 ~58%, PSA 10 ~1%.</x:v>
      </x:c>
      <x:c r="U609" t="n">
        <x:v>992</x:v>
      </x:c>
      <x:c r="V609" t="str">
        <x:v>TCGplayer + PriceCharting + PSA/Collectors, researched 2026-08-17</x:v>
      </x:c>
      <x:c r="W609" t="str">
        <x:v>https://www.pricecharting.com/game/pokemon-dragon-vault/latios-stamped-10</x:v>
      </x:c>
    </x:row>
    <x:row r="610">
      <x:c r="A610" t="n">
        <x:v>734</x:v>
      </x:c>
      <x:c r="B610" t="str">
        <x:v>PDF Import / Added Cards</x:v>
      </x:c>
      <x:c r="C610" t="str">
        <x:v>Gyarados G</x:v>
      </x:c>
      <x:c r="D610" t="str">
        <x:v>30/127</x:v>
      </x:c>
      <x:c r="E610" t="str">
        <x:v>Platinum</x:v>
      </x:c>
      <x:c r="F610" t="n">
        <x:v>2009</x:v>
      </x:c>
      <x:c r="G610" t="str">
        <x:v>Regular</x:v>
      </x:c>
      <x:c r="H610" t="str">
        <x:v>1 of 1</x:v>
      </x:c>
      <x:c r="I610" t="n">
        <x:v>8.39</x:v>
      </x:c>
      <x:c r="J610" t="n">
        <x:v>12.82</x:v>
      </x:c>
      <x:c r="K610" t="n">
        <x:v>10.605</x:v>
      </x:c>
      <x:c r="L610" t="str">
        <x:v>$5–20</x:v>
      </x:c>
      <x:c r="M610" t="str">
        <x:v>Yes</x:v>
      </x:c>
      <x:c r="N610" t="str">
        <x:v>No</x:v>
      </x:c>
      <x:c r="O610" t="str">
        <x:v>Yes</x:v>
      </x:c>
      <x:c r="P610" t="str">
        <x:v>Condition not yet reviewed</x:v>
      </x:c>
      <x:c r="Q610" t="n">
        <x:v>8.39</x:v>
      </x:c>
      <x:c r="R610" t="n">
        <x:v>12.82</x:v>
      </x:c>
      <x:c r="S610" t="n">
        <x:v>10.605</x:v>
      </x:c>
      <x:c r="T610" t="str">
        <x:v>TWO-SOURCE REPRICE (2026-08-17): PriceCharting ungraded from the uploaded PDF = $8.39 per card; TCGplayer exact-printing Near Mint market/price-guide value = $12.82. Working raw comp range is the span of those two approved sources ($8.39–$12.82); midpoint $10.61. No eBay or other marketplace data used.</x:v>
      </x:c>
      <x:c r="U610" t="n">
        <x:v>993</x:v>
      </x:c>
      <x:c r="V610" t="str">
        <x:v>TCGplayer + PriceCharting (uploaded PDF), researched 2026-08-17</x:v>
      </x:c>
      <x:c r="W610" t="str">
        <x:v>https://www.tcgplayer.com/product/86005/pokemon-platinum-gyarados-g</x:v>
      </x:c>
    </x:row>
    <x:row r="611">
      <x:c r="A611" t="n">
        <x:v>735</x:v>
      </x:c>
      <x:c r="B611" t="str">
        <x:v>PDF Import / Added Cards</x:v>
      </x:c>
      <x:c r="C611" t="str">
        <x:v>Milotic C</x:v>
      </x:c>
      <x:c r="D611" t="str">
        <x:v>35/147</x:v>
      </x:c>
      <x:c r="E611" t="str">
        <x:v>Supreme Victors</x:v>
      </x:c>
      <x:c r="F611" t="n">
        <x:v>2009</x:v>
      </x:c>
      <x:c r="G611" t="str">
        <x:v>Regular</x:v>
      </x:c>
      <x:c r="H611" t="str">
        <x:v>1 of 1</x:v>
      </x:c>
      <x:c r="I611" t="n">
        <x:v>6</x:v>
      </x:c>
      <x:c r="J611" t="n">
        <x:v>8.94</x:v>
      </x:c>
      <x:c r="K611" t="n">
        <x:v>7.47</x:v>
      </x:c>
      <x:c r="L611" t="str">
        <x:v>$5–20</x:v>
      </x:c>
      <x:c r="M611" t="str">
        <x:v>Yes</x:v>
      </x:c>
      <x:c r="N611" t="str">
        <x:v>No</x:v>
      </x:c>
      <x:c r="O611" t="str">
        <x:v>Yes</x:v>
      </x:c>
      <x:c r="P611" t="str">
        <x:v>Condition not yet reviewed</x:v>
      </x:c>
      <x:c r="Q611" t="n">
        <x:v>6</x:v>
      </x:c>
      <x:c r="R611" t="n">
        <x:v>8.94</x:v>
      </x:c>
      <x:c r="S611" t="n">
        <x:v>7.47</x:v>
      </x:c>
      <x:c r="T611" t="str">
        <x:v>TWO-SOURCE REPRICE (2026-08-17): PriceCharting ungraded from the uploaded PDF = $6.00 per card; TCGplayer exact-printing Near Mint market/price-guide value = $8.94. Working raw comp range is the span of those two approved sources ($6.00–$8.94); midpoint $7.47. No eBay or other marketplace data used.</x:v>
      </x:c>
      <x:c r="U611" t="n">
        <x:v>993</x:v>
      </x:c>
      <x:c r="V611" t="str">
        <x:v>TCGplayer + PriceCharting (uploaded PDF), researched 2026-08-17</x:v>
      </x:c>
      <x:c r="W611" t="str">
        <x:v>https://www.tcgplayer.com/search/pokemon/product?q=Milotic+C+35%2F147+Supreme+Victors</x:v>
      </x:c>
    </x:row>
    <x:row r="612">
      <x:c r="A612" t="n">
        <x:v>736</x:v>
      </x:c>
      <x:c r="B612" t="str">
        <x:v>PDF Import / Added Cards</x:v>
      </x:c>
      <x:c r="C612" t="str">
        <x:v>Blastoise</x:v>
      </x:c>
      <x:c r="D612" t="str">
        <x:v>13/95</x:v>
      </x:c>
      <x:c r="E612" t="str">
        <x:v>Unleashed</x:v>
      </x:c>
      <x:c r="F612" t="n">
        <x:v>2010</x:v>
      </x:c>
      <x:c r="G612" t="str">
        <x:v>Regular</x:v>
      </x:c>
      <x:c r="H612" t="str">
        <x:v>1 of 1</x:v>
      </x:c>
      <x:c r="I612" t="n">
        <x:v>9.22</x:v>
      </x:c>
      <x:c r="J612" t="n">
        <x:v>10.66</x:v>
      </x:c>
      <x:c r="K612" t="n">
        <x:v>9.940000000000001</x:v>
      </x:c>
      <x:c r="L612" t="str">
        <x:v>$5–20</x:v>
      </x:c>
      <x:c r="M612" t="str">
        <x:v>Yes</x:v>
      </x:c>
      <x:c r="N612" t="str">
        <x:v>No</x:v>
      </x:c>
      <x:c r="O612" t="str">
        <x:v>Yes</x:v>
      </x:c>
      <x:c r="P612" t="str">
        <x:v>Condition not yet reviewed</x:v>
      </x:c>
      <x:c r="Q612" t="n">
        <x:v>9.22</x:v>
      </x:c>
      <x:c r="R612" t="n">
        <x:v>10.66</x:v>
      </x:c>
      <x:c r="S612" t="n">
        <x:v>9.940000000000001</x:v>
      </x:c>
      <x:c r="T612" t="str">
        <x:v>TWO-SOURCE REPRICE (2026-08-17): PriceCharting ungraded from the uploaded PDF = $10.66 per card; TCGplayer exact-printing Near Mint market/price-guide value = $9.22. Working raw comp range is the span of those two approved sources ($9.22–$10.66); midpoint $9.94. No eBay or other marketplace data used.</x:v>
      </x:c>
      <x:c r="U612" t="n">
        <x:v>993</x:v>
      </x:c>
      <x:c r="V612" t="str">
        <x:v>TCGplayer + PriceCharting (uploaded PDF), researched 2026-08-17</x:v>
      </x:c>
      <x:c r="W612" t="str">
        <x:v>https://www.tcgplayer.com/product/83895/pokemon-unleashed-blastoise</x:v>
      </x:c>
    </x:row>
    <x:row r="613">
      <x:c r="A613" t="n">
        <x:v>737</x:v>
      </x:c>
      <x:c r="B613" t="str">
        <x:v>PDF Import / Added Cards</x:v>
      </x:c>
      <x:c r="C613" t="str">
        <x:v>Samurott</x:v>
      </x:c>
      <x:c r="D613" t="str">
        <x:v>BW22</x:v>
      </x:c>
      <x:c r="E613" t="str">
        <x:v>Black &amp; White Promos</x:v>
      </x:c>
      <x:c r="F613" t="n">
        <x:v>2011</x:v>
      </x:c>
      <x:c r="G613" t="str">
        <x:v>Holofoil Promo</x:v>
      </x:c>
      <x:c r="H613" t="str">
        <x:v>1 of 1</x:v>
      </x:c>
      <x:c r="I613" t="n">
        <x:v>0.68</x:v>
      </x:c>
      <x:c r="J613" t="n">
        <x:v>3.91</x:v>
      </x:c>
      <x:c r="K613" t="n">
        <x:v>2.295</x:v>
      </x:c>
      <x:c r="L613" t="str">
        <x:v>$1–5</x:v>
      </x:c>
      <x:c r="M613" t="str">
        <x:v>Yes</x:v>
      </x:c>
      <x:c r="N613" t="str">
        <x:v>No</x:v>
      </x:c>
      <x:c r="O613" t="str">
        <x:v>Yes</x:v>
      </x:c>
      <x:c r="P613" t="str">
        <x:v>Condition not yet reviewed</x:v>
      </x:c>
      <x:c r="Q613" t="n">
        <x:v>0.68</x:v>
      </x:c>
      <x:c r="R613" t="n">
        <x:v>3.91</x:v>
      </x:c>
      <x:c r="S613" t="n">
        <x:v>2.295</x:v>
      </x:c>
      <x:c r="T613" t="str">
        <x:v>TWO-SOURCE REPRICE (2026-08-17): PriceCharting ungraded from the uploaded PDF = $3.91 per card; TCGplayer exact-printing Near Mint market/price-guide value = $0.68. Working raw comp range is the span of those two approved sources ($0.68–$3.91); midpoint $2.29. No eBay or other marketplace data used.</x:v>
      </x:c>
      <x:c r="U613" t="n">
        <x:v>993</x:v>
      </x:c>
      <x:c r="V613" t="str">
        <x:v>TCGplayer + PriceCharting (uploaded PDF), researched 2026-08-17</x:v>
      </x:c>
      <x:c r="W613" t="str">
        <x:v>https://www.tcgplayer.com/product/88909/pokemon-black-and-white-promos-samurott-bw22</x:v>
      </x:c>
    </x:row>
    <x:row r="614">
      <x:c r="A614" t="n">
        <x:v>738</x:v>
      </x:c>
      <x:c r="B614" t="str">
        <x:v>PDF Import / Added Cards</x:v>
      </x:c>
      <x:c r="C614" t="str">
        <x:v>Vaporeon</x:v>
      </x:c>
      <x:c r="D614" t="str">
        <x:v>25/108</x:v>
      </x:c>
      <x:c r="E614" t="str">
        <x:v>Dark Explorers</x:v>
      </x:c>
      <x:c r="F614" t="n">
        <x:v>2012</x:v>
      </x:c>
      <x:c r="G614" t="str">
        <x:v>Regular</x:v>
      </x:c>
      <x:c r="H614" t="str">
        <x:v>1 of 1</x:v>
      </x:c>
      <x:c r="I614" t="n">
        <x:v>6.95</x:v>
      </x:c>
      <x:c r="J614" t="n">
        <x:v>7.53</x:v>
      </x:c>
      <x:c r="K614" t="n">
        <x:v>7.24</x:v>
      </x:c>
      <x:c r="L614" t="str">
        <x:v>$5–20</x:v>
      </x:c>
      <x:c r="M614" t="str">
        <x:v>Yes</x:v>
      </x:c>
      <x:c r="N614" t="str">
        <x:v>No</x:v>
      </x:c>
      <x:c r="O614" t="str">
        <x:v>Yes</x:v>
      </x:c>
      <x:c r="P614" t="str">
        <x:v>Condition not yet reviewed</x:v>
      </x:c>
      <x:c r="Q614" t="n">
        <x:v>6.95</x:v>
      </x:c>
      <x:c r="R614" t="n">
        <x:v>7.53</x:v>
      </x:c>
      <x:c r="S614" t="n">
        <x:v>7.24</x:v>
      </x:c>
      <x:c r="T614" t="str">
        <x:v>TWO-SOURCE REPRICE (2026-08-17): PriceCharting ungraded from the uploaded PDF = $6.95 per card; TCGplayer exact-printing Near Mint market/price-guide value = $7.53. Working raw comp range is the span of those two approved sources ($6.95–$7.53); midpoint $7.24. No eBay or other marketplace data used.</x:v>
      </x:c>
      <x:c r="U614" t="n">
        <x:v>993</x:v>
      </x:c>
      <x:c r="V614" t="str">
        <x:v>TCGplayer + PriceCharting (uploaded PDF), researched 2026-08-17</x:v>
      </x:c>
      <x:c r="W614" t="str">
        <x:v>https://www.tcgplayer.com/search/pokemon/product?q=Vaporeon+25%2F108+Dark+Explorers</x:v>
      </x:c>
    </x:row>
    <x:row r="615">
      <x:c r="A615" t="n">
        <x:v>739</x:v>
      </x:c>
      <x:c r="B615" t="str">
        <x:v>PDF Import / Added Cards</x:v>
      </x:c>
      <x:c r="C615" t="str">
        <x:v>Dewott</x:v>
      </x:c>
      <x:c r="D615" t="str">
        <x:v>29/114</x:v>
      </x:c>
      <x:c r="E615" t="str">
        <x:v>Black &amp; White</x:v>
      </x:c>
      <x:c r="F615" t="n">
        <x:v>2011</x:v>
      </x:c>
      <x:c r="G615" t="str">
        <x:v>Reverse Holo</x:v>
      </x:c>
      <x:c r="H615" t="str">
        <x:v>1 of 1</x:v>
      </x:c>
      <x:c r="I615" t="n">
        <x:v>2.12</x:v>
      </x:c>
      <x:c r="J615" t="n">
        <x:v>2.24</x:v>
      </x:c>
      <x:c r="K615" t="n">
        <x:v>2.18</x:v>
      </x:c>
      <x:c r="L615" t="str">
        <x:v>$1–5</x:v>
      </x:c>
      <x:c r="M615" t="str">
        <x:v>Yes</x:v>
      </x:c>
      <x:c r="N615" t="str">
        <x:v>No</x:v>
      </x:c>
      <x:c r="O615" t="str">
        <x:v>Yes</x:v>
      </x:c>
      <x:c r="P615" t="str">
        <x:v>Condition not yet reviewed</x:v>
      </x:c>
      <x:c r="Q615" t="n">
        <x:v>2.12</x:v>
      </x:c>
      <x:c r="R615" t="n">
        <x:v>2.24</x:v>
      </x:c>
      <x:c r="S615" t="n">
        <x:v>2.18</x:v>
      </x:c>
      <x:c r="T615" t="str">
        <x:v>TWO-SOURCE REPRICE (2026-08-17): PriceCharting ungraded from the uploaded PDF = $2.12 per card; TCGplayer exact-printing Near Mint market/price-guide value = $2.24. Working raw comp range is the span of those two approved sources ($2.12–$2.24); midpoint $2.18. No eBay or other marketplace data used.</x:v>
      </x:c>
      <x:c r="U615" t="n">
        <x:v>993</x:v>
      </x:c>
      <x:c r="V615" t="str">
        <x:v>TCGplayer + PriceCharting (uploaded PDF), researched 2026-08-17</x:v>
      </x:c>
      <x:c r="W615" t="str">
        <x:v>https://www.tcgplayer.com/categories/trading-and-collectible-card-games/pokemon/price-guides/black-and-white</x:v>
      </x:c>
    </x:row>
    <x:row r="616">
      <x:c r="A616" t="n">
        <x:v>740</x:v>
      </x:c>
      <x:c r="B616" t="str">
        <x:v>PDF Import / Added Cards</x:v>
      </x:c>
      <x:c r="C616" t="str">
        <x:v>Piplup</x:v>
      </x:c>
      <x:c r="D616" t="str">
        <x:v>RC6/RC25</x:v>
      </x:c>
      <x:c r="E616" t="str">
        <x:v>Legendary Treasures: Radiant Collection</x:v>
      </x:c>
      <x:c r="F616" t="n">
        <x:v>2013</x:v>
      </x:c>
      <x:c r="G616" t="str">
        <x:v>Holofoil / Radiant Collection</x:v>
      </x:c>
      <x:c r="H616" t="str">
        <x:v>1 of 2</x:v>
      </x:c>
      <x:c r="I616" t="n">
        <x:v>11.1</x:v>
      </x:c>
      <x:c r="J616" t="n">
        <x:v>14.21</x:v>
      </x:c>
      <x:c r="K616" t="n">
        <x:v>12.655000000000001</x:v>
      </x:c>
      <x:c r="L616" t="str">
        <x:v>$5–20</x:v>
      </x:c>
      <x:c r="M616" t="str">
        <x:v>Yes</x:v>
      </x:c>
      <x:c r="N616" t="str">
        <x:v>No</x:v>
      </x:c>
      <x:c r="O616" t="str">
        <x:v>Yes</x:v>
      </x:c>
      <x:c r="P616" t="str">
        <x:v>Condition not yet reviewed</x:v>
      </x:c>
      <x:c r="Q616" t="n">
        <x:v>11.1</x:v>
      </x:c>
      <x:c r="R616" t="n">
        <x:v>14.21</x:v>
      </x:c>
      <x:c r="S616" t="n">
        <x:v>12.655000000000001</x:v>
      </x:c>
      <x:c r="T616"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616" t="n">
        <x:v>993</x:v>
      </x:c>
      <x:c r="V616" t="str">
        <x:v>TCGplayer + PriceCharting (uploaded PDF), researched 2026-08-17</x:v>
      </x:c>
      <x:c r="W616" t="str">
        <x:v>https://www.tcgplayer.com/product/88154/pokemon-legendary-treasures-radiant-collection-piplup</x:v>
      </x:c>
    </x:row>
    <x:row r="617">
      <x:c r="A617" t="n">
        <x:v>741</x:v>
      </x:c>
      <x:c r="B617" t="str">
        <x:v>PDF Import / Added Cards</x:v>
      </x:c>
      <x:c r="C617" t="str">
        <x:v>Piplup</x:v>
      </x:c>
      <x:c r="D617" t="str">
        <x:v>RC6/RC25</x:v>
      </x:c>
      <x:c r="E617" t="str">
        <x:v>Legendary Treasures: Radiant Collection</x:v>
      </x:c>
      <x:c r="F617" t="n">
        <x:v>2013</x:v>
      </x:c>
      <x:c r="G617" t="str">
        <x:v>Holofoil / Radiant Collection</x:v>
      </x:c>
      <x:c r="H617" t="str">
        <x:v>2 of 2</x:v>
      </x:c>
      <x:c r="I617" t="n">
        <x:v>11.1</x:v>
      </x:c>
      <x:c r="J617" t="n">
        <x:v>14.21</x:v>
      </x:c>
      <x:c r="K617" t="n">
        <x:v>12.655000000000001</x:v>
      </x:c>
      <x:c r="L617" t="str">
        <x:v>$5–20</x:v>
      </x:c>
      <x:c r="M617" t="str">
        <x:v>Yes</x:v>
      </x:c>
      <x:c r="N617" t="str">
        <x:v>No</x:v>
      </x:c>
      <x:c r="O617" t="str">
        <x:v>Yes</x:v>
      </x:c>
      <x:c r="P617" t="str">
        <x:v>Condition not yet reviewed</x:v>
      </x:c>
      <x:c r="Q617" t="n">
        <x:v>11.1</x:v>
      </x:c>
      <x:c r="R617" t="n">
        <x:v>14.21</x:v>
      </x:c>
      <x:c r="S617" t="n">
        <x:v>12.655000000000001</x:v>
      </x:c>
      <x:c r="T617"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617" t="n">
        <x:v>993</x:v>
      </x:c>
      <x:c r="V617" t="str">
        <x:v>TCGplayer + PriceCharting (uploaded PDF), researched 2026-08-17</x:v>
      </x:c>
      <x:c r="W617" t="str">
        <x:v>https://www.tcgplayer.com/product/88154/pokemon-legendary-treasures-radiant-collection-piplup</x:v>
      </x:c>
    </x:row>
    <x:row r="618">
      <x:c r="A618" t="n">
        <x:v>742</x:v>
      </x:c>
      <x:c r="B618" t="str">
        <x:v>PDF Import / Added Cards</x:v>
      </x:c>
      <x:c r="C618" t="str">
        <x:v>Vaporeon</x:v>
      </x:c>
      <x:c r="D618" t="str">
        <x:v>20/116</x:v>
      </x:c>
      <x:c r="E618" t="str">
        <x:v>Plasma Freeze</x:v>
      </x:c>
      <x:c r="F618" t="n">
        <x:v>2013</x:v>
      </x:c>
      <x:c r="G618" t="str">
        <x:v>Regular</x:v>
      </x:c>
      <x:c r="H618" t="str">
        <x:v>1 of 1</x:v>
      </x:c>
      <x:c r="I618" t="n">
        <x:v>2.99</x:v>
      </x:c>
      <x:c r="J618" t="n">
        <x:v>4.24</x:v>
      </x:c>
      <x:c r="K618" t="n">
        <x:v>3.615</x:v>
      </x:c>
      <x:c r="L618" t="str">
        <x:v>$1–5</x:v>
      </x:c>
      <x:c r="M618" t="str">
        <x:v>Yes</x:v>
      </x:c>
      <x:c r="N618" t="str">
        <x:v>No</x:v>
      </x:c>
      <x:c r="O618" t="str">
        <x:v>Yes</x:v>
      </x:c>
      <x:c r="P618" t="str">
        <x:v>Condition not yet reviewed</x:v>
      </x:c>
      <x:c r="Q618" t="n">
        <x:v>2.99</x:v>
      </x:c>
      <x:c r="R618" t="n">
        <x:v>4.24</x:v>
      </x:c>
      <x:c r="S618" t="n">
        <x:v>3.615</x:v>
      </x:c>
      <x:c r="T618" t="str">
        <x:v>TWO-SOURCE REPRICE (2026-08-17): PriceCharting ungraded from the uploaded PDF = $2.99 per card; TCGplayer exact-printing Near Mint market/price-guide value = $4.24. Working raw comp range is the span of those two approved sources ($2.99–$4.24); midpoint $3.62. No eBay or other marketplace data used.</x:v>
      </x:c>
      <x:c r="U618" t="n">
        <x:v>993</x:v>
      </x:c>
      <x:c r="V618" t="str">
        <x:v>TCGplayer + PriceCharting (uploaded PDF), researched 2026-08-17</x:v>
      </x:c>
      <x:c r="W618" t="str">
        <x:v>https://www.tcgplayer.com/product/90291/pokemon-plasma-freeze-vaporeon-team-plasma</x:v>
      </x:c>
    </x:row>
    <x:row r="619">
      <x:c r="A619" t="n">
        <x:v>743</x:v>
      </x:c>
      <x:c r="B619" t="str">
        <x:v>PDF Import / Added Cards</x:v>
      </x:c>
      <x:c r="C619" t="str">
        <x:v>Dewott</x:v>
      </x:c>
      <x:c r="D619" t="str">
        <x:v>40/149</x:v>
      </x:c>
      <x:c r="E619" t="str">
        <x:v>Boundaries Crossed</x:v>
      </x:c>
      <x:c r="F619" t="n">
        <x:v>2012</x:v>
      </x:c>
      <x:c r="G619" t="str">
        <x:v>Reverse Holo</x:v>
      </x:c>
      <x:c r="H619" t="str">
        <x:v>1 of 1</x:v>
      </x:c>
      <x:c r="I619" t="n">
        <x:v>0.67</x:v>
      </x:c>
      <x:c r="J619" t="n">
        <x:v>1.58</x:v>
      </x:c>
      <x:c r="K619" t="n">
        <x:v>1.125</x:v>
      </x:c>
      <x:c r="L619" t="str">
        <x:v>$1–5</x:v>
      </x:c>
      <x:c r="M619" t="str">
        <x:v>Yes</x:v>
      </x:c>
      <x:c r="N619" t="str">
        <x:v>No</x:v>
      </x:c>
      <x:c r="O619" t="str">
        <x:v>Yes</x:v>
      </x:c>
      <x:c r="P619" t="str">
        <x:v>Condition not yet reviewed</x:v>
      </x:c>
      <x:c r="Q619" t="n">
        <x:v>0.67</x:v>
      </x:c>
      <x:c r="R619" t="n">
        <x:v>1.58</x:v>
      </x:c>
      <x:c r="S619" t="n">
        <x:v>1.125</x:v>
      </x:c>
      <x:c r="T619" t="str">
        <x:v>TWO-SOURCE REPRICE (2026-08-17): PriceCharting ungraded from the uploaded PDF = $1.58 per card; TCGplayer exact-printing Near Mint market/price-guide value = $0.67. Working raw comp range is the span of those two approved sources ($0.67–$1.58); midpoint $1.12. No eBay or other marketplace data used.</x:v>
      </x:c>
      <x:c r="U619" t="n">
        <x:v>993</x:v>
      </x:c>
      <x:c r="V619" t="str">
        <x:v>TCGplayer + PriceCharting (uploaded PDF), researched 2026-08-17</x:v>
      </x:c>
      <x:c r="W619" t="str">
        <x:v>https://www.tcgplayer.com/categories/trading-and-collectible-card-games/pokemon/price-guides/boundaries-crossed</x:v>
      </x:c>
    </x:row>
    <x:row r="620">
      <x:c r="A620" t="n">
        <x:v>744</x:v>
      </x:c>
      <x:c r="B620" t="str">
        <x:v>PDF Import / Added Cards</x:v>
      </x:c>
      <x:c r="C620" t="str">
        <x:v>Vaporeon</x:v>
      </x:c>
      <x:c r="D620" t="str">
        <x:v>52/95</x:v>
      </x:c>
      <x:c r="E620" t="str">
        <x:v>Call of Legends</x:v>
      </x:c>
      <x:c r="F620" t="n">
        <x:v>2011</x:v>
      </x:c>
      <x:c r="G620" t="str">
        <x:v>Regular</x:v>
      </x:c>
      <x:c r="H620" t="str">
        <x:v>1 of 1</x:v>
      </x:c>
      <x:c r="I620" t="n">
        <x:v>4.99</x:v>
      </x:c>
      <x:c r="J620" t="n">
        <x:v>7.31</x:v>
      </x:c>
      <x:c r="K620" t="n">
        <x:v>6.15</x:v>
      </x:c>
      <x:c r="L620" t="str">
        <x:v>$5–20</x:v>
      </x:c>
      <x:c r="M620" t="str">
        <x:v>Yes</x:v>
      </x:c>
      <x:c r="N620" t="str">
        <x:v>No</x:v>
      </x:c>
      <x:c r="O620" t="str">
        <x:v>Yes</x:v>
      </x:c>
      <x:c r="P620" t="str">
        <x:v>Condition not yet reviewed</x:v>
      </x:c>
      <x:c r="Q620" t="n">
        <x:v>4.99</x:v>
      </x:c>
      <x:c r="R620" t="n">
        <x:v>7.31</x:v>
      </x:c>
      <x:c r="S620" t="n">
        <x:v>6.15</x:v>
      </x:c>
      <x:c r="T620" t="str">
        <x:v>TWO-SOURCE REPRICE (2026-08-17): PriceCharting ungraded from the uploaded PDF = $4.99 per card; TCGplayer exact-printing Near Mint market/price-guide value = $7.31. Working raw comp range is the span of those two approved sources ($4.99–$7.31); midpoint $6.15. No eBay or other marketplace data used.</x:v>
      </x:c>
      <x:c r="U620" t="n">
        <x:v>993</x:v>
      </x:c>
      <x:c r="V620" t="str">
        <x:v>TCGplayer + PriceCharting (uploaded PDF), researched 2026-08-17</x:v>
      </x:c>
      <x:c r="W620" t="str">
        <x:v>https://www.tcgplayer.com/search/pokemon/call-of-legends?productLineName=pokemon&amp;setName=call-of-legends</x:v>
      </x:c>
    </x:row>
    <x:row r="621">
      <x:c r="A621" t="n">
        <x:v>745</x:v>
      </x:c>
      <x:c r="B621" t="str">
        <x:v>PDF Import / Added Cards</x:v>
      </x:c>
      <x:c r="C621" t="str">
        <x:v>Magikarp</x:v>
      </x:c>
      <x:c r="D621" t="str">
        <x:v>61/95</x:v>
      </x:c>
      <x:c r="E621" t="str">
        <x:v>Call of Legends</x:v>
      </x:c>
      <x:c r="F621" t="n">
        <x:v>2011</x:v>
      </x:c>
      <x:c r="G621" t="str">
        <x:v>Regular</x:v>
      </x:c>
      <x:c r="H621" t="str">
        <x:v>1 of 1</x:v>
      </x:c>
      <x:c r="I621" t="n">
        <x:v>2.19</x:v>
      </x:c>
      <x:c r="J621" t="n">
        <x:v>2.23</x:v>
      </x:c>
      <x:c r="K621" t="n">
        <x:v>2.21</x:v>
      </x:c>
      <x:c r="L621" t="str">
        <x:v>$1–5</x:v>
      </x:c>
      <x:c r="M621" t="str">
        <x:v>Yes</x:v>
      </x:c>
      <x:c r="N621" t="str">
        <x:v>No</x:v>
      </x:c>
      <x:c r="O621" t="str">
        <x:v>Yes</x:v>
      </x:c>
      <x:c r="P621" t="str">
        <x:v>Condition not yet reviewed</x:v>
      </x:c>
      <x:c r="Q621" t="n">
        <x:v>2.19</x:v>
      </x:c>
      <x:c r="R621" t="n">
        <x:v>2.23</x:v>
      </x:c>
      <x:c r="S621" t="n">
        <x:v>2.21</x:v>
      </x:c>
      <x:c r="T621" t="str">
        <x:v>TWO-SOURCE REPRICE (2026-08-17): PriceCharting ungraded from the uploaded PDF = $2.19 per card; TCGplayer exact-printing Near Mint market/price-guide value = $2.23. Working raw comp range is the span of those two approved sources ($2.19–$2.23); midpoint $2.21. No eBay or other marketplace data used.</x:v>
      </x:c>
      <x:c r="U621" t="n">
        <x:v>993</x:v>
      </x:c>
      <x:c r="V621" t="str">
        <x:v>TCGplayer + PriceCharting (uploaded PDF), researched 2026-08-17</x:v>
      </x:c>
      <x:c r="W621" t="str">
        <x:v>https://www.tcgplayer.com/search/pokemon/product?q=Magikarp+61%2F95+Call+of+Legends</x:v>
      </x:c>
    </x:row>
    <x:row r="622">
      <x:c r="A622" t="n">
        <x:v>746</x:v>
      </x:c>
      <x:c r="B622" t="str">
        <x:v>PDF Import / Added Cards</x:v>
      </x:c>
      <x:c r="C622" t="str">
        <x:v>Shellos West Sea</x:v>
      </x:c>
      <x:c r="D622" t="str">
        <x:v>107/132</x:v>
      </x:c>
      <x:c r="E622" t="str">
        <x:v>Secret Wonders</x:v>
      </x:c>
      <x:c r="F622" t="n">
        <x:v>2007</x:v>
      </x:c>
      <x:c r="G622" t="str">
        <x:v>Reverse Holo</x:v>
      </x:c>
      <x:c r="H622" t="str">
        <x:v>1 of 1</x:v>
      </x:c>
      <x:c r="I622" t="n">
        <x:v>4.22</x:v>
      </x:c>
      <x:c r="J622" t="n">
        <x:v>5.27</x:v>
      </x:c>
      <x:c r="K622" t="n">
        <x:v>4.744999999999999</x:v>
      </x:c>
      <x:c r="L622" t="str">
        <x:v>$1–5</x:v>
      </x:c>
      <x:c r="M622" t="str">
        <x:v>Yes</x:v>
      </x:c>
      <x:c r="N622" t="str">
        <x:v>No</x:v>
      </x:c>
      <x:c r="O622" t="str">
        <x:v>Yes</x:v>
      </x:c>
      <x:c r="P622" t="str">
        <x:v>Condition not yet reviewed</x:v>
      </x:c>
      <x:c r="Q622" t="n">
        <x:v>4.22</x:v>
      </x:c>
      <x:c r="R622" t="n">
        <x:v>5.27</x:v>
      </x:c>
      <x:c r="S622" t="n">
        <x:v>4.744999999999999</x:v>
      </x:c>
      <x:c r="T622" t="str">
        <x:v>TWO-SOURCE REPRICE (2026-08-17): PriceCharting ungraded from the uploaded PDF = $4.22 per card; TCGplayer exact-printing Near Mint market/price-guide value = $5.27. Working raw comp range is the span of those two approved sources ($4.22–$5.27); midpoint $4.74. No eBay or other marketplace data used.</x:v>
      </x:c>
      <x:c r="U622" t="n">
        <x:v>993</x:v>
      </x:c>
      <x:c r="V622" t="str">
        <x:v>TCGplayer + PriceCharting (uploaded PDF), researched 2026-08-17</x:v>
      </x:c>
      <x:c r="W622" t="str">
        <x:v>https://www.tcgplayer.com/categories/trading-and-collectible-card-games/pokemon/price-guides/secret-wonders</x:v>
      </x:c>
    </x:row>
    <x:row r="623">
      <x:c r="A623" t="n">
        <x:v>747</x:v>
      </x:c>
      <x:c r="B623" t="str">
        <x:v>PDF Import / Added Cards</x:v>
      </x:c>
      <x:c r="C623" t="str">
        <x:v>Piplup</x:v>
      </x:c>
      <x:c r="D623" t="str">
        <x:v>33/113</x:v>
      </x:c>
      <x:c r="E623" t="str">
        <x:v>Legendary Treasures</x:v>
      </x:c>
      <x:c r="F623" t="n">
        <x:v>2013</x:v>
      </x:c>
      <x:c r="G623" t="str">
        <x:v>Reverse Holo</x:v>
      </x:c>
      <x:c r="H623" t="str">
        <x:v>1 of 1</x:v>
      </x:c>
      <x:c r="I623" t="n">
        <x:v>14</x:v>
      </x:c>
      <x:c r="J623" t="n">
        <x:v>33.14</x:v>
      </x:c>
      <x:c r="K623" t="n">
        <x:v>23.57</x:v>
      </x:c>
      <x:c r="L623" t="str">
        <x:v>$20+</x:v>
      </x:c>
      <x:c r="M623" t="str">
        <x:v>Yes</x:v>
      </x:c>
      <x:c r="N623" t="str">
        <x:v>Yes</x:v>
      </x:c>
      <x:c r="O623" t="str">
        <x:v>Yes</x:v>
      </x:c>
      <x:c r="P623" t="str">
        <x:v>Condition not yet reviewed</x:v>
      </x:c>
      <x:c r="Q623" t="n">
        <x:v>14</x:v>
      </x:c>
      <x:c r="R623" t="n">
        <x:v>33.14</x:v>
      </x:c>
      <x:c r="S623" t="n">
        <x:v>23.57</x:v>
      </x:c>
      <x:c r="T623" t="str">
        <x:v>TWO-SOURCE REPRICE (2026-08-17): PriceCharting ungraded from the uploaded PDF = $14.00 per card; TCGplayer exact-printing Near Mint market/price-guide value = $33.14. Working raw comp range is the span of those two approved sources ($14.00–$33.14); midpoint $23.57. No eBay or other marketplace data used.</x:v>
      </x:c>
      <x:c r="U623" t="n">
        <x:v>993</x:v>
      </x:c>
      <x:c r="V623" t="str">
        <x:v>TCGplayer + PriceCharting (uploaded PDF), researched 2026-08-17</x:v>
      </x:c>
      <x:c r="W623" t="str">
        <x:v>https://www.tcgplayer.com/categories/trading-and-collectible-card-games/pokemon/price-guides/legendary-treasures</x:v>
      </x:c>
    </x:row>
    <x:row r="624">
      <x:c r="A624" t="n">
        <x:v>748</x:v>
      </x:c>
      <x:c r="B624" t="str">
        <x:v>PDF Import / Added Cards</x:v>
      </x:c>
      <x:c r="C624" t="str">
        <x:v>Magikarp</x:v>
      </x:c>
      <x:c r="D624" t="str">
        <x:v>30/113</x:v>
      </x:c>
      <x:c r="E624" t="str">
        <x:v>Legendary Treasures</x:v>
      </x:c>
      <x:c r="F624" t="n">
        <x:v>2013</x:v>
      </x:c>
      <x:c r="G624" t="str">
        <x:v>Reverse Holo</x:v>
      </x:c>
      <x:c r="H624" t="str">
        <x:v>1 of 1</x:v>
      </x:c>
      <x:c r="I624" t="n">
        <x:v>19.6</x:v>
      </x:c>
      <x:c r="J624" t="n">
        <x:v>28.49</x:v>
      </x:c>
      <x:c r="K624" t="n">
        <x:v>24.045</x:v>
      </x:c>
      <x:c r="L624" t="str">
        <x:v>$20+</x:v>
      </x:c>
      <x:c r="M624" t="str">
        <x:v>Yes</x:v>
      </x:c>
      <x:c r="N624" t="str">
        <x:v>Yes</x:v>
      </x:c>
      <x:c r="O624" t="str">
        <x:v>Yes</x:v>
      </x:c>
      <x:c r="P624" t="str">
        <x:v>Condition not yet reviewed</x:v>
      </x:c>
      <x:c r="Q624" t="n">
        <x:v>19.6</x:v>
      </x:c>
      <x:c r="R624" t="n">
        <x:v>28.49</x:v>
      </x:c>
      <x:c r="S624" t="n">
        <x:v>24.045</x:v>
      </x:c>
      <x:c r="T624" t="str">
        <x:v>TWO-SOURCE REPRICE (2026-08-17): PriceCharting ungraded from the uploaded PDF = $19.60 per card; TCGplayer exact-printing Near Mint market/price-guide value = $28.49. Working raw comp range is the span of those two approved sources ($19.60–$28.49); midpoint $24.05. No eBay or other marketplace data used.</x:v>
      </x:c>
      <x:c r="U624" t="n">
        <x:v>993</x:v>
      </x:c>
      <x:c r="V624" t="str">
        <x:v>TCGplayer + PriceCharting (uploaded PDF), researched 2026-08-17</x:v>
      </x:c>
      <x:c r="W624" t="str">
        <x:v>https://www.tcgplayer.com/categories/trading-and-collectible-card-games/pokemon/price-guides/legendary-treasures</x:v>
      </x:c>
    </x:row>
    <x:row r="625">
      <x:c r="A625" t="n">
        <x:v>749</x:v>
      </x:c>
      <x:c r="B625" t="str">
        <x:v>PDF Import / Added Cards</x:v>
      </x:c>
      <x:c r="C625" t="str">
        <x:v>Lapras</x:v>
      </x:c>
      <x:c r="D625" t="str">
        <x:v>12/18</x:v>
      </x:c>
      <x:c r="E625" t="str">
        <x:v>Southern Islands</x:v>
      </x:c>
      <x:c r="F625" t="n">
        <x:v>2001</x:v>
      </x:c>
      <x:c r="G625" t="str">
        <x:v>Regular</x:v>
      </x:c>
      <x:c r="H625" t="str">
        <x:v>1 of 1</x:v>
      </x:c>
      <x:c r="I625" t="n">
        <x:v>47.64</x:v>
      </x:c>
      <x:c r="J625" t="n">
        <x:v>63.89</x:v>
      </x:c>
      <x:c r="K625" t="n">
        <x:v>55.765</x:v>
      </x:c>
      <x:c r="L625" t="str">
        <x:v>$20+</x:v>
      </x:c>
      <x:c r="M625" t="str">
        <x:v>Yes</x:v>
      </x:c>
      <x:c r="N625" t="str">
        <x:v>Yes</x:v>
      </x:c>
      <x:c r="O625" t="str">
        <x:v>Yes</x:v>
      </x:c>
      <x:c r="P625" t="str">
        <x:v>Condition not yet reviewed</x:v>
      </x:c>
      <x:c r="Q625" t="n">
        <x:v>47.64</x:v>
      </x:c>
      <x:c r="R625" t="n">
        <x:v>63.89</x:v>
      </x:c>
      <x:c r="S625" t="n">
        <x:v>55.765</x:v>
      </x:c>
      <x:c r="T625" t="str">
        <x:v>TWO-SOURCE REPRICE (2026-08-17): PriceCharting ungraded from the uploaded PDF = $47.64 per card; TCGplayer exact-printing Near Mint market/price-guide value = $63.89. Working raw comp range is the span of those two approved sources ($47.64–$63.89); midpoint $55.77. No eBay or other marketplace data used.</x:v>
      </x:c>
      <x:c r="U625" t="n">
        <x:v>993</x:v>
      </x:c>
      <x:c r="V625" t="str">
        <x:v>TCGplayer + PriceCharting (uploaded PDF), researched 2026-08-17</x:v>
      </x:c>
      <x:c r="W625" t="str">
        <x:v>https://www.tcgplayer.com/categories/trading-and-collectible-card-games/pokemon/price-guides/southern-islands</x:v>
      </x:c>
    </x:row>
    <x:row r="626">
      <x:c r="A626" t="n">
        <x:v>750</x:v>
      </x:c>
      <x:c r="B626" t="str">
        <x:v>PDF Import / Added Cards</x:v>
      </x:c>
      <x:c r="C626" t="str">
        <x:v>Magikarp</x:v>
      </x:c>
      <x:c r="D626" t="str">
        <x:v>23/124</x:v>
      </x:c>
      <x:c r="E626" t="str">
        <x:v>Dragons Exalted</x:v>
      </x:c>
      <x:c r="F626" t="n">
        <x:v>2012</x:v>
      </x:c>
      <x:c r="G626" t="str">
        <x:v>Reverse Holo</x:v>
      </x:c>
      <x:c r="H626" t="str">
        <x:v>1 of 2</x:v>
      </x:c>
      <x:c r="I626" t="n">
        <x:v>11.96</x:v>
      </x:c>
      <x:c r="J626" t="n">
        <x:v>14.19</x:v>
      </x:c>
      <x:c r="K626" t="n">
        <x:v>13.075</x:v>
      </x:c>
      <x:c r="L626" t="str">
        <x:v>$5–20</x:v>
      </x:c>
      <x:c r="M626" t="str">
        <x:v>Yes</x:v>
      </x:c>
      <x:c r="N626" t="str">
        <x:v>No</x:v>
      </x:c>
      <x:c r="O626" t="str">
        <x:v>Yes</x:v>
      </x:c>
      <x:c r="P626" t="str">
        <x:v>Condition not yet reviewed</x:v>
      </x:c>
      <x:c r="Q626" t="n">
        <x:v>11.96</x:v>
      </x:c>
      <x:c r="R626" t="n">
        <x:v>14.19</x:v>
      </x:c>
      <x:c r="S626" t="n">
        <x:v>13.075</x:v>
      </x:c>
      <x:c r="T626"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626" t="n">
        <x:v>993</x:v>
      </x:c>
      <x:c r="V626" t="str">
        <x:v>TCGplayer + PriceCharting (uploaded PDF), researched 2026-08-17</x:v>
      </x:c>
      <x:c r="W626" t="str">
        <x:v>https://www.tcgplayer.com/categories/trading-and-collectible-card-games/pokemon/price-guides/dragons-exalted</x:v>
      </x:c>
    </x:row>
    <x:row r="627">
      <x:c r="A627" t="n">
        <x:v>751</x:v>
      </x:c>
      <x:c r="B627" t="str">
        <x:v>PDF Import / Added Cards</x:v>
      </x:c>
      <x:c r="C627" t="str">
        <x:v>Magikarp</x:v>
      </x:c>
      <x:c r="D627" t="str">
        <x:v>23/124</x:v>
      </x:c>
      <x:c r="E627" t="str">
        <x:v>Dragons Exalted</x:v>
      </x:c>
      <x:c r="F627" t="n">
        <x:v>2012</x:v>
      </x:c>
      <x:c r="G627" t="str">
        <x:v>Reverse Holo</x:v>
      </x:c>
      <x:c r="H627" t="str">
        <x:v>2 of 2</x:v>
      </x:c>
      <x:c r="I627" t="n">
        <x:v>11.96</x:v>
      </x:c>
      <x:c r="J627" t="n">
        <x:v>14.19</x:v>
      </x:c>
      <x:c r="K627" t="n">
        <x:v>13.075</x:v>
      </x:c>
      <x:c r="L627" t="str">
        <x:v>$5–20</x:v>
      </x:c>
      <x:c r="M627" t="str">
        <x:v>Yes</x:v>
      </x:c>
      <x:c r="N627" t="str">
        <x:v>No</x:v>
      </x:c>
      <x:c r="O627" t="str">
        <x:v>Yes</x:v>
      </x:c>
      <x:c r="P627" t="str">
        <x:v>Condition not yet reviewed</x:v>
      </x:c>
      <x:c r="Q627" t="n">
        <x:v>11.96</x:v>
      </x:c>
      <x:c r="R627" t="n">
        <x:v>14.19</x:v>
      </x:c>
      <x:c r="S627" t="n">
        <x:v>13.075</x:v>
      </x:c>
      <x:c r="T627"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627" t="n">
        <x:v>993</x:v>
      </x:c>
      <x:c r="V627" t="str">
        <x:v>TCGplayer + PriceCharting (uploaded PDF), researched 2026-08-17</x:v>
      </x:c>
      <x:c r="W627" t="str">
        <x:v>https://www.tcgplayer.com/categories/trading-and-collectible-card-games/pokemon/price-guides/dragons-exalted</x:v>
      </x:c>
    </x:row>
    <x:row r="628">
      <x:c r="A628" t="n">
        <x:v>752</x:v>
      </x:c>
      <x:c r="B628" t="str">
        <x:v>PDF Import / Added Cards</x:v>
      </x:c>
      <x:c r="C628" t="str">
        <x:v>Lickilicky</x:v>
      </x:c>
      <x:c r="D628" t="str">
        <x:v>33/127</x:v>
      </x:c>
      <x:c r="E628" t="str">
        <x:v>Platinum</x:v>
      </x:c>
      <x:c r="F628" t="n">
        <x:v>2009</x:v>
      </x:c>
      <x:c r="G628" t="str">
        <x:v>Reverse Holo</x:v>
      </x:c>
      <x:c r="H628" t="str">
        <x:v>1 of 1</x:v>
      </x:c>
      <x:c r="I628" t="n">
        <x:v>5.41</x:v>
      </x:c>
      <x:c r="J628" t="n">
        <x:v>6.1</x:v>
      </x:c>
      <x:c r="K628" t="n">
        <x:v>5.755</x:v>
      </x:c>
      <x:c r="L628" t="str">
        <x:v>$5–20</x:v>
      </x:c>
      <x:c r="M628" t="str">
        <x:v>Yes</x:v>
      </x:c>
      <x:c r="N628" t="str">
        <x:v>No</x:v>
      </x:c>
      <x:c r="O628" t="str">
        <x:v>Yes</x:v>
      </x:c>
      <x:c r="P628" t="str">
        <x:v>Condition not yet reviewed</x:v>
      </x:c>
      <x:c r="Q628" t="n">
        <x:v>5.41</x:v>
      </x:c>
      <x:c r="R628" t="n">
        <x:v>6.1</x:v>
      </x:c>
      <x:c r="S628" t="n">
        <x:v>5.755</x:v>
      </x:c>
      <x:c r="T628" t="str">
        <x:v>TWO-SOURCE REPRICE (2026-08-17): PriceCharting ungraded from the uploaded PDF = $5.41 per card; TCGplayer exact-printing Near Mint market/price-guide value = $6.10. Working raw comp range is the span of those two approved sources ($5.41–$6.10); midpoint $5.75. No eBay or other marketplace data used.</x:v>
      </x:c>
      <x:c r="U628" t="n">
        <x:v>993</x:v>
      </x:c>
      <x:c r="V628" t="str">
        <x:v>TCGplayer + PriceCharting (uploaded PDF), researched 2026-08-17</x:v>
      </x:c>
      <x:c r="W628" t="str">
        <x:v>https://www.tcgplayer.com/categories/trading-and-collectible-card-games/pokemon/price-guides/platinum</x:v>
      </x:c>
    </x:row>
    <x:row r="629">
      <x:c r="A629" t="n">
        <x:v>753</x:v>
      </x:c>
      <x:c r="B629" t="str">
        <x:v>PDF Import / Added Cards</x:v>
      </x:c>
      <x:c r="C629" t="str">
        <x:v>Unfezant</x:v>
      </x:c>
      <x:c r="D629" t="str">
        <x:v>125/149</x:v>
      </x:c>
      <x:c r="E629" t="str">
        <x:v>Boundaries Crossed</x:v>
      </x:c>
      <x:c r="F629" t="n">
        <x:v>2012</x:v>
      </x:c>
      <x:c r="G629" t="str">
        <x:v>Reverse Holo</x:v>
      </x:c>
      <x:c r="H629" t="str">
        <x:v>1 of 1</x:v>
      </x:c>
      <x:c r="I629" t="n">
        <x:v>1.08</x:v>
      </x:c>
      <x:c r="J629" t="n">
        <x:v>1.75</x:v>
      </x:c>
      <x:c r="K629" t="n">
        <x:v>1.415</x:v>
      </x:c>
      <x:c r="L629" t="str">
        <x:v>$1–5</x:v>
      </x:c>
      <x:c r="M629" t="str">
        <x:v>Yes</x:v>
      </x:c>
      <x:c r="N629" t="str">
        <x:v>No</x:v>
      </x:c>
      <x:c r="O629" t="str">
        <x:v>Yes</x:v>
      </x:c>
      <x:c r="P629" t="str">
        <x:v>Condition not yet reviewed</x:v>
      </x:c>
      <x:c r="Q629" t="n">
        <x:v>1.08</x:v>
      </x:c>
      <x:c r="R629" t="n">
        <x:v>1.75</x:v>
      </x:c>
      <x:c r="S629" t="n">
        <x:v>1.415</x:v>
      </x:c>
      <x:c r="T629" t="str">
        <x:v>TWO-SOURCE REPRICE (2026-08-17): PriceCharting ungraded from the uploaded PDF = $1.75 per card; TCGplayer exact-printing Near Mint market/price-guide value = $1.08. Working raw comp range is the span of those two approved sources ($1.08–$1.75); midpoint $1.42. No eBay or other marketplace data used.</x:v>
      </x:c>
      <x:c r="U629" t="n">
        <x:v>993</x:v>
      </x:c>
      <x:c r="V629" t="str">
        <x:v>TCGplayer + PriceCharting (uploaded PDF), researched 2026-08-17</x:v>
      </x:c>
      <x:c r="W629" t="str">
        <x:v>https://www.tcgplayer.com/categories/trading-and-collectible-card-games/pokemon/price-guides/boundaries-crossed</x:v>
      </x:c>
    </x:row>
    <x:row r="630">
      <x:c r="A630" t="n">
        <x:v>754</x:v>
      </x:c>
      <x:c r="B630" t="str">
        <x:v>PDF Import / Added Cards</x:v>
      </x:c>
      <x:c r="C630" t="str">
        <x:v>Cleffa</x:v>
      </x:c>
      <x:c r="D630" t="str">
        <x:v>20/111</x:v>
      </x:c>
      <x:c r="E630" t="str">
        <x:v>Neo Genesis</x:v>
      </x:c>
      <x:c r="F630" t="n">
        <x:v>2000</x:v>
      </x:c>
      <x:c r="G630" t="str">
        <x:v>Regular / Unlimited</x:v>
      </x:c>
      <x:c r="H630" t="str">
        <x:v>1 of 2</x:v>
      </x:c>
      <x:c r="I630" t="n">
        <x:v>8.99</x:v>
      </x:c>
      <x:c r="J630" t="n">
        <x:v>22.3</x:v>
      </x:c>
      <x:c r="K630" t="n">
        <x:v>15.645</x:v>
      </x:c>
      <x:c r="L630" t="str">
        <x:v>$5–20</x:v>
      </x:c>
      <x:c r="M630" t="str">
        <x:v>Yes</x:v>
      </x:c>
      <x:c r="N630" t="str">
        <x:v>No</x:v>
      </x:c>
      <x:c r="O630" t="str">
        <x:v>Yes</x:v>
      </x:c>
      <x:c r="P630" t="str">
        <x:v>Condition not yet reviewed</x:v>
      </x:c>
      <x:c r="Q630" t="n">
        <x:v>8.99</x:v>
      </x:c>
      <x:c r="R630" t="n">
        <x:v>22.3</x:v>
      </x:c>
      <x:c r="S630" t="n">
        <x:v>15.645</x:v>
      </x:c>
      <x:c r="T630"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630" t="n">
        <x:v>993</x:v>
      </x:c>
      <x:c r="V630" t="str">
        <x:v>TCGplayer + PriceCharting (uploaded PDF), researched 2026-08-17</x:v>
      </x:c>
      <x:c r="W630" t="str">
        <x:v>https://www.tcgplayer.com/search/pokemon/product?q=Cleffa+20%2F111+Neo+Genesis</x:v>
      </x:c>
    </x:row>
    <x:row r="631">
      <x:c r="A631" t="n">
        <x:v>755</x:v>
      </x:c>
      <x:c r="B631" t="str">
        <x:v>PDF Import / Added Cards</x:v>
      </x:c>
      <x:c r="C631" t="str">
        <x:v>Cleffa</x:v>
      </x:c>
      <x:c r="D631" t="str">
        <x:v>20/111</x:v>
      </x:c>
      <x:c r="E631" t="str">
        <x:v>Neo Genesis</x:v>
      </x:c>
      <x:c r="F631" t="n">
        <x:v>2000</x:v>
      </x:c>
      <x:c r="G631" t="str">
        <x:v>Regular / Unlimited</x:v>
      </x:c>
      <x:c r="H631" t="str">
        <x:v>2 of 2</x:v>
      </x:c>
      <x:c r="I631" t="n">
        <x:v>8.99</x:v>
      </x:c>
      <x:c r="J631" t="n">
        <x:v>22.3</x:v>
      </x:c>
      <x:c r="K631" t="n">
        <x:v>15.645</x:v>
      </x:c>
      <x:c r="L631" t="str">
        <x:v>$5–20</x:v>
      </x:c>
      <x:c r="M631" t="str">
        <x:v>Yes</x:v>
      </x:c>
      <x:c r="N631" t="str">
        <x:v>No</x:v>
      </x:c>
      <x:c r="O631" t="str">
        <x:v>Yes</x:v>
      </x:c>
      <x:c r="P631" t="str">
        <x:v>Condition not yet reviewed</x:v>
      </x:c>
      <x:c r="Q631" t="n">
        <x:v>8.99</x:v>
      </x:c>
      <x:c r="R631" t="n">
        <x:v>22.3</x:v>
      </x:c>
      <x:c r="S631" t="n">
        <x:v>15.645</x:v>
      </x:c>
      <x:c r="T631"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631" t="n">
        <x:v>993</x:v>
      </x:c>
      <x:c r="V631" t="str">
        <x:v>TCGplayer + PriceCharting (uploaded PDF), researched 2026-08-17</x:v>
      </x:c>
      <x:c r="W631" t="str">
        <x:v>https://www.tcgplayer.com/search/pokemon/product?q=Cleffa+20%2F111+Neo+Genesis</x:v>
      </x:c>
    </x:row>
    <x:row r="632">
      <x:c r="A632" t="n">
        <x:v>756</x:v>
      </x:c>
      <x:c r="B632" t="str">
        <x:v>PDF Import / Added Cards</x:v>
      </x:c>
      <x:c r="C632" t="str">
        <x:v>Pidgeotto</x:v>
      </x:c>
      <x:c r="D632" t="str">
        <x:v>48/95</x:v>
      </x:c>
      <x:c r="E632" t="str">
        <x:v>Call of Legends</x:v>
      </x:c>
      <x:c r="F632" t="n">
        <x:v>2011</x:v>
      </x:c>
      <x:c r="G632" t="str">
        <x:v>Reverse Holo</x:v>
      </x:c>
      <x:c r="H632" t="str">
        <x:v>1 of 1</x:v>
      </x:c>
      <x:c r="I632" t="n">
        <x:v>5.25</x:v>
      </x:c>
      <x:c r="J632" t="n">
        <x:v>8.81</x:v>
      </x:c>
      <x:c r="K632" t="n">
        <x:v>7.03</x:v>
      </x:c>
      <x:c r="L632" t="str">
        <x:v>$5–20</x:v>
      </x:c>
      <x:c r="M632" t="str">
        <x:v>Yes</x:v>
      </x:c>
      <x:c r="N632" t="str">
        <x:v>No</x:v>
      </x:c>
      <x:c r="O632" t="str">
        <x:v>Yes</x:v>
      </x:c>
      <x:c r="P632" t="str">
        <x:v>Condition not yet reviewed</x:v>
      </x:c>
      <x:c r="Q632" t="n">
        <x:v>5.25</x:v>
      </x:c>
      <x:c r="R632" t="n">
        <x:v>8.81</x:v>
      </x:c>
      <x:c r="S632" t="n">
        <x:v>7.03</x:v>
      </x:c>
      <x:c r="T632" t="str">
        <x:v>TWO-SOURCE REPRICE (2026-08-17): PriceCharting ungraded from the uploaded PDF = $5.25 per card; TCGplayer exact-printing Near Mint market/price-guide value = $8.81. Working raw comp range is the span of those two approved sources ($5.25–$8.81); midpoint $7.03. No eBay or other marketplace data used.</x:v>
      </x:c>
      <x:c r="U632" t="n">
        <x:v>993</x:v>
      </x:c>
      <x:c r="V632" t="str">
        <x:v>TCGplayer + PriceCharting (uploaded PDF), researched 2026-08-17</x:v>
      </x:c>
      <x:c r="W632" t="str">
        <x:v>https://www.tcgplayer.com/categories/trading-and-collectible-card-games/pokemon/price-guides/call-of-legends</x:v>
      </x:c>
    </x:row>
    <x:row r="633">
      <x:c r="A633" t="n">
        <x:v>757</x:v>
      </x:c>
      <x:c r="B633" t="str">
        <x:v>PDF Import / Added Cards</x:v>
      </x:c>
      <x:c r="C633" t="str">
        <x:v>Dark Dragonair</x:v>
      </x:c>
      <x:c r="D633" t="str">
        <x:v>33/82</x:v>
      </x:c>
      <x:c r="E633" t="str">
        <x:v>Team Rocket</x:v>
      </x:c>
      <x:c r="F633" t="n">
        <x:v>2000</x:v>
      </x:c>
      <x:c r="G633" t="str">
        <x:v>Regular / Unlimited</x:v>
      </x:c>
      <x:c r="H633" t="str">
        <x:v>1 of 1</x:v>
      </x:c>
      <x:c r="I633" t="n">
        <x:v>5.16</x:v>
      </x:c>
      <x:c r="J633" t="n">
        <x:v>14.49</x:v>
      </x:c>
      <x:c r="K633" t="n">
        <x:v>9.825</x:v>
      </x:c>
      <x:c r="L633" t="str">
        <x:v>$5–20</x:v>
      </x:c>
      <x:c r="M633" t="str">
        <x:v>Yes</x:v>
      </x:c>
      <x:c r="N633" t="str">
        <x:v>No</x:v>
      </x:c>
      <x:c r="O633" t="str">
        <x:v>Yes</x:v>
      </x:c>
      <x:c r="P633" t="str">
        <x:v>Condition not yet reviewed</x:v>
      </x:c>
      <x:c r="Q633" t="n">
        <x:v>5.16</x:v>
      </x:c>
      <x:c r="R633" t="n">
        <x:v>14.49</x:v>
      </x:c>
      <x:c r="S633" t="n">
        <x:v>9.825</x:v>
      </x:c>
      <x:c r="T633" t="str">
        <x:v>TWO-SOURCE REPRICE (2026-08-17): PriceCharting ungraded from the uploaded PDF = $5.16 per card; TCGplayer exact-printing Near Mint market/price-guide value = $14.49. Working raw comp range is the span of those two approved sources ($5.16–$14.49); midpoint $9.82. No eBay or other marketplace data used.</x:v>
      </x:c>
      <x:c r="U633" t="n">
        <x:v>993</x:v>
      </x:c>
      <x:c r="V633" t="str">
        <x:v>TCGplayer + PriceCharting (uploaded PDF), researched 2026-08-17</x:v>
      </x:c>
      <x:c r="W633" t="str">
        <x:v>https://www.tcgplayer.com/search/pokemon/product?q=Dark+Dragonair+33%2F82+Team+Rocket</x:v>
      </x:c>
    </x:row>
    <x:row r="634">
      <x:c r="A634" t="n">
        <x:v>758</x:v>
      </x:c>
      <x:c r="B634" t="str">
        <x:v>PDF Import / Added Cards</x:v>
      </x:c>
      <x:c r="C634" t="str">
        <x:v>Raticate G</x:v>
      </x:c>
      <x:c r="D634" t="str">
        <x:v>78/147</x:v>
      </x:c>
      <x:c r="E634" t="str">
        <x:v>Supreme Victors</x:v>
      </x:c>
      <x:c r="F634" t="n">
        <x:v>2009</x:v>
      </x:c>
      <x:c r="G634" t="str">
        <x:v>Reverse Holo</x:v>
      </x:c>
      <x:c r="H634" t="str">
        <x:v>1 of 1</x:v>
      </x:c>
      <x:c r="I634" t="n">
        <x:v>3.49</x:v>
      </x:c>
      <x:c r="J634" t="n">
        <x:v>4.31</x:v>
      </x:c>
      <x:c r="K634" t="n">
        <x:v>3.9</x:v>
      </x:c>
      <x:c r="L634" t="str">
        <x:v>$1–5</x:v>
      </x:c>
      <x:c r="M634" t="str">
        <x:v>Yes</x:v>
      </x:c>
      <x:c r="N634" t="str">
        <x:v>No</x:v>
      </x:c>
      <x:c r="O634" t="str">
        <x:v>Yes</x:v>
      </x:c>
      <x:c r="P634" t="str">
        <x:v>Condition not yet reviewed</x:v>
      </x:c>
      <x:c r="Q634" t="n">
        <x:v>3.49</x:v>
      </x:c>
      <x:c r="R634" t="n">
        <x:v>4.31</x:v>
      </x:c>
      <x:c r="S634" t="n">
        <x:v>3.9</x:v>
      </x:c>
      <x:c r="T634" t="str">
        <x:v>TWO-SOURCE REPRICE (2026-08-17): PriceCharting ungraded from the uploaded PDF = $3.49 per card; TCGplayer exact-printing Near Mint market/price-guide value = $4.31. Working raw comp range is the span of those two approved sources ($3.49–$4.31); midpoint $3.90. No eBay or other marketplace data used.</x:v>
      </x:c>
      <x:c r="U634" t="n">
        <x:v>993</x:v>
      </x:c>
      <x:c r="V634" t="str">
        <x:v>TCGplayer + PriceCharting (uploaded PDF), researched 2026-08-17</x:v>
      </x:c>
      <x:c r="W634" t="str">
        <x:v>https://www.tcgplayer.com/categories/trading-and-collectible-card-games/pokemon/price-guides/supreme-victors</x:v>
      </x:c>
    </x:row>
    <x:row r="635">
      <x:c r="A635" t="n">
        <x:v>759</x:v>
      </x:c>
      <x:c r="B635" t="str">
        <x:v>PDF Import / Added Cards</x:v>
      </x:c>
      <x:c r="C635" t="str">
        <x:v>Porygon2</x:v>
      </x:c>
      <x:c r="D635" t="str">
        <x:v>49/106</x:v>
      </x:c>
      <x:c r="E635" t="str">
        <x:v>Great Encounters</x:v>
      </x:c>
      <x:c r="F635" t="n">
        <x:v>2008</x:v>
      </x:c>
      <x:c r="G635" t="str">
        <x:v>Reverse Holo</x:v>
      </x:c>
      <x:c r="H635" t="str">
        <x:v>1 of 1</x:v>
      </x:c>
      <x:c r="I635" t="n">
        <x:v>8.8</x:v>
      </x:c>
      <x:c r="J635" t="n">
        <x:v>9.99</x:v>
      </x:c>
      <x:c r="K635" t="n">
        <x:v>9.395</x:v>
      </x:c>
      <x:c r="L635" t="str">
        <x:v>$5–20</x:v>
      </x:c>
      <x:c r="M635" t="str">
        <x:v>Yes</x:v>
      </x:c>
      <x:c r="N635" t="str">
        <x:v>No</x:v>
      </x:c>
      <x:c r="O635" t="str">
        <x:v>Yes</x:v>
      </x:c>
      <x:c r="P635" t="str">
        <x:v>Condition not yet reviewed</x:v>
      </x:c>
      <x:c r="Q635" t="n">
        <x:v>8.8</x:v>
      </x:c>
      <x:c r="R635" t="n">
        <x:v>9.99</x:v>
      </x:c>
      <x:c r="S635" t="n">
        <x:v>9.395</x:v>
      </x:c>
      <x:c r="T635" t="str">
        <x:v>TWO-SOURCE REPRICE (2026-08-17): PriceCharting ungraded from the uploaded PDF = $9.99 per card; TCGplayer exact-printing Near Mint market/price-guide value = $8.80. Working raw comp range is the span of those two approved sources ($8.80–$9.99); midpoint $9.39. No eBay or other marketplace data used.</x:v>
      </x:c>
      <x:c r="U635" t="n">
        <x:v>993</x:v>
      </x:c>
      <x:c r="V635" t="str">
        <x:v>TCGplayer + PriceCharting (uploaded PDF), researched 2026-08-17</x:v>
      </x:c>
      <x:c r="W635" t="str">
        <x:v>https://www.tcgplayer.com/product/88326/pokemon-great-encounters-porygon2</x:v>
      </x:c>
    </x:row>
    <x:row r="636">
      <x:c r="A636" t="n">
        <x:v>760</x:v>
      </x:c>
      <x:c r="B636" t="str">
        <x:v>PDF Import / Added Cards</x:v>
      </x:c>
      <x:c r="C636" t="str">
        <x:v>Dratini</x:v>
      </x:c>
      <x:c r="D636" t="str">
        <x:v>38/130</x:v>
      </x:c>
      <x:c r="E636" t="str">
        <x:v>Base Set 2</x:v>
      </x:c>
      <x:c r="F636" t="n">
        <x:v>2000</x:v>
      </x:c>
      <x:c r="G636" t="str">
        <x:v>Regular</x:v>
      </x:c>
      <x:c r="H636" t="str">
        <x:v>1 of 1</x:v>
      </x:c>
      <x:c r="I636" t="n">
        <x:v>1.26</x:v>
      </x:c>
      <x:c r="J636" t="n">
        <x:v>1.3</x:v>
      </x:c>
      <x:c r="K636" t="n">
        <x:v>1.28</x:v>
      </x:c>
      <x:c r="L636" t="str">
        <x:v>$1–5</x:v>
      </x:c>
      <x:c r="M636" t="str">
        <x:v>Yes</x:v>
      </x:c>
      <x:c r="N636" t="str">
        <x:v>No</x:v>
      </x:c>
      <x:c r="O636" t="str">
        <x:v>Yes</x:v>
      </x:c>
      <x:c r="P636" t="str">
        <x:v>Condition not yet reviewed</x:v>
      </x:c>
      <x:c r="Q636" t="n">
        <x:v>1.26</x:v>
      </x:c>
      <x:c r="R636" t="n">
        <x:v>1.3</x:v>
      </x:c>
      <x:c r="S636" t="n">
        <x:v>1.28</x:v>
      </x:c>
      <x:c r="T636" t="str">
        <x:v>TWO-SOURCE REPRICE (2026-08-17): PriceCharting ungraded from the uploaded PDF = $1.30 per card; TCGplayer exact-printing Near Mint market/price-guide value = $1.26. Working raw comp range is the span of those two approved sources ($1.26–$1.30); midpoint $1.28. No eBay or other marketplace data used.</x:v>
      </x:c>
      <x:c r="U636" t="n">
        <x:v>993</x:v>
      </x:c>
      <x:c r="V636" t="str">
        <x:v>TCGplayer + PriceCharting (uploaded PDF), researched 2026-08-17</x:v>
      </x:c>
      <x:c r="W636" t="str">
        <x:v>https://www.tcgplayer.com/search/pokemon/product?q=Dratini+38%2F130+Base+Set+2</x:v>
      </x:c>
    </x:row>
    <x:row r="637">
      <x:c r="A637" t="n">
        <x:v>761</x:v>
      </x:c>
      <x:c r="B637" t="str">
        <x:v>PDF Import / Added Cards</x:v>
      </x:c>
      <x:c r="C637" t="str">
        <x:v>Ditto</x:v>
      </x:c>
      <x:c r="D637" t="str">
        <x:v>35/113</x:v>
      </x:c>
      <x:c r="E637" t="str">
        <x:v>EX Delta Species</x:v>
      </x:c>
      <x:c r="F637" t="n">
        <x:v>2005</x:v>
      </x:c>
      <x:c r="G637" t="str">
        <x:v>Regular</x:v>
      </x:c>
      <x:c r="H637" t="str">
        <x:v>1 of 1</x:v>
      </x:c>
      <x:c r="I637" t="n">
        <x:v>42.73</x:v>
      </x:c>
      <x:c r="J637" t="n">
        <x:v>69.85</x:v>
      </x:c>
      <x:c r="K637" t="n">
        <x:v>56.28999999999999</x:v>
      </x:c>
      <x:c r="L637" t="str">
        <x:v>$20+</x:v>
      </x:c>
      <x:c r="M637" t="str">
        <x:v>Yes</x:v>
      </x:c>
      <x:c r="N637" t="str">
        <x:v>Yes</x:v>
      </x:c>
      <x:c r="O637" t="str">
        <x:v>Yes</x:v>
      </x:c>
      <x:c r="P637" t="str">
        <x:v>Condition not yet reviewed</x:v>
      </x:c>
      <x:c r="Q637" t="n">
        <x:v>42.73</x:v>
      </x:c>
      <x:c r="R637" t="n">
        <x:v>69.85</x:v>
      </x:c>
      <x:c r="S637" t="n">
        <x:v>56.28999999999999</x:v>
      </x:c>
      <x:c r="T637" t="str">
        <x:v>TWO-SOURCE REPRICE (2026-08-17): PriceCharting ungraded from the uploaded PDF = $42.73 per card; TCGplayer exact-printing Near Mint market/price-guide value = $69.85. Working raw comp range is the span of those two approved sources ($42.73–$69.85); midpoint $56.29. No eBay or other marketplace data used.</x:v>
      </x:c>
      <x:c r="U637" t="n">
        <x:v>993</x:v>
      </x:c>
      <x:c r="V637" t="str">
        <x:v>TCGplayer + PriceCharting (uploaded PDF), researched 2026-08-17</x:v>
      </x:c>
      <x:c r="W637" t="str">
        <x:v>https://www.tcgplayer.com/product/84832/pokemon-ex-delta-species-ditto</x:v>
      </x:c>
    </x:row>
    <x:row r="638">
      <x:c r="A638" t="n">
        <x:v>762</x:v>
      </x:c>
      <x:c r="B638" t="str">
        <x:v>PDF Import / Added Cards</x:v>
      </x:c>
      <x:c r="C638" t="str">
        <x:v>Snorlax</x:v>
      </x:c>
      <x:c r="D638" t="str">
        <x:v>109/149</x:v>
      </x:c>
      <x:c r="E638" t="str">
        <x:v>Boundaries Crossed</x:v>
      </x:c>
      <x:c r="F638" t="n">
        <x:v>2012</x:v>
      </x:c>
      <x:c r="G638" t="str">
        <x:v>Reverse Holo</x:v>
      </x:c>
      <x:c r="H638" t="str">
        <x:v>1 of 2</x:v>
      </x:c>
      <x:c r="I638" t="n">
        <x:v>39.62</x:v>
      </x:c>
      <x:c r="J638" t="n">
        <x:v>51.34</x:v>
      </x:c>
      <x:c r="K638" t="n">
        <x:v>45.480000000000004</x:v>
      </x:c>
      <x:c r="L638" t="str">
        <x:v>$20+</x:v>
      </x:c>
      <x:c r="M638" t="str">
        <x:v>Yes</x:v>
      </x:c>
      <x:c r="N638" t="str">
        <x:v>Yes</x:v>
      </x:c>
      <x:c r="O638" t="str">
        <x:v>Yes</x:v>
      </x:c>
      <x:c r="P638" t="str">
        <x:v>Condition not yet reviewed</x:v>
      </x:c>
      <x:c r="Q638" t="n">
        <x:v>39.62</x:v>
      </x:c>
      <x:c r="R638" t="n">
        <x:v>51.34</x:v>
      </x:c>
      <x:c r="S638" t="n">
        <x:v>45.480000000000004</x:v>
      </x:c>
      <x:c r="T638"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638" t="n">
        <x:v>993</x:v>
      </x:c>
      <x:c r="V638" t="str">
        <x:v>TCGplayer + PriceCharting (uploaded PDF), researched 2026-08-17</x:v>
      </x:c>
      <x:c r="W638" t="str">
        <x:v>https://www.tcgplayer.com/categories/trading-and-collectible-card-games/pokemon/price-guides/boundaries-crossed</x:v>
      </x:c>
    </x:row>
    <x:row r="639">
      <x:c r="A639" t="n">
        <x:v>763</x:v>
      </x:c>
      <x:c r="B639" t="str">
        <x:v>PDF Import / Added Cards</x:v>
      </x:c>
      <x:c r="C639" t="str">
        <x:v>Snorlax</x:v>
      </x:c>
      <x:c r="D639" t="str">
        <x:v>109/149</x:v>
      </x:c>
      <x:c r="E639" t="str">
        <x:v>Boundaries Crossed</x:v>
      </x:c>
      <x:c r="F639" t="n">
        <x:v>2012</x:v>
      </x:c>
      <x:c r="G639" t="str">
        <x:v>Reverse Holo</x:v>
      </x:c>
      <x:c r="H639" t="str">
        <x:v>2 of 2</x:v>
      </x:c>
      <x:c r="I639" t="n">
        <x:v>39.62</x:v>
      </x:c>
      <x:c r="J639" t="n">
        <x:v>51.34</x:v>
      </x:c>
      <x:c r="K639" t="n">
        <x:v>45.480000000000004</x:v>
      </x:c>
      <x:c r="L639" t="str">
        <x:v>$20+</x:v>
      </x:c>
      <x:c r="M639" t="str">
        <x:v>Yes</x:v>
      </x:c>
      <x:c r="N639" t="str">
        <x:v>Yes</x:v>
      </x:c>
      <x:c r="O639" t="str">
        <x:v>Yes</x:v>
      </x:c>
      <x:c r="P639" t="str">
        <x:v>Condition not yet reviewed</x:v>
      </x:c>
      <x:c r="Q639" t="n">
        <x:v>39.62</x:v>
      </x:c>
      <x:c r="R639" t="n">
        <x:v>51.34</x:v>
      </x:c>
      <x:c r="S639" t="n">
        <x:v>45.480000000000004</x:v>
      </x:c>
      <x:c r="T639"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639" t="n">
        <x:v>993</x:v>
      </x:c>
      <x:c r="V639" t="str">
        <x:v>TCGplayer + PriceCharting (uploaded PDF), researched 2026-08-17</x:v>
      </x:c>
      <x:c r="W639" t="str">
        <x:v>https://www.tcgplayer.com/categories/trading-and-collectible-card-games/pokemon/price-guides/boundaries-crossed</x:v>
      </x:c>
    </x:row>
    <x:row r="640">
      <x:c r="A640" t="n">
        <x:v>764</x:v>
      </x:c>
      <x:c r="B640" t="str">
        <x:v>PDF Import / Added Cards</x:v>
      </x:c>
      <x:c r="C640" t="str">
        <x:v>Altaria C</x:v>
      </x:c>
      <x:c r="D640" t="str">
        <x:v>49/147</x:v>
      </x:c>
      <x:c r="E640" t="str">
        <x:v>Supreme Victors</x:v>
      </x:c>
      <x:c r="F640" t="n">
        <x:v>2009</x:v>
      </x:c>
      <x:c r="G640" t="str">
        <x:v>Regular</x:v>
      </x:c>
      <x:c r="H640" t="str">
        <x:v>1 of 1</x:v>
      </x:c>
      <x:c r="I640" t="n">
        <x:v>2.83</x:v>
      </x:c>
      <x:c r="J640" t="n">
        <x:v>2.92</x:v>
      </x:c>
      <x:c r="K640" t="n">
        <x:v>2.875</x:v>
      </x:c>
      <x:c r="L640" t="str">
        <x:v>$1–5</x:v>
      </x:c>
      <x:c r="M640" t="str">
        <x:v>Yes</x:v>
      </x:c>
      <x:c r="N640" t="str">
        <x:v>No</x:v>
      </x:c>
      <x:c r="O640" t="str">
        <x:v>Yes</x:v>
      </x:c>
      <x:c r="P640" t="str">
        <x:v>Condition not yet reviewed</x:v>
      </x:c>
      <x:c r="Q640" t="n">
        <x:v>2.83</x:v>
      </x:c>
      <x:c r="R640" t="n">
        <x:v>2.92</x:v>
      </x:c>
      <x:c r="S640" t="n">
        <x:v>2.875</x:v>
      </x:c>
      <x:c r="T640" t="str">
        <x:v>TWO-SOURCE REPRICE (2026-08-17): PriceCharting ungraded from the uploaded PDF = $2.83 per card; TCGplayer exact-printing Near Mint market/price-guide value = $2.92. Working raw comp range is the span of those two approved sources ($2.83–$2.92); midpoint $2.88. No eBay or other marketplace data used.</x:v>
      </x:c>
      <x:c r="U640" t="n">
        <x:v>993</x:v>
      </x:c>
      <x:c r="V640" t="str">
        <x:v>TCGplayer + PriceCharting (uploaded PDF), researched 2026-08-17</x:v>
      </x:c>
      <x:c r="W640" t="str">
        <x:v>https://www.tcgplayer.com/search/pokemon/product?q=Altaria+C+49%2F147+Supreme+Victors</x:v>
      </x:c>
    </x:row>
    <x:row r="641">
      <x:c r="A641" t="n">
        <x:v>765</x:v>
      </x:c>
      <x:c r="B641" t="str">
        <x:v>PDF Import / Added Cards</x:v>
      </x:c>
      <x:c r="C641" t="str">
        <x:v>Braviary</x:v>
      </x:c>
      <x:c r="D641" t="str">
        <x:v>88/98</x:v>
      </x:c>
      <x:c r="E641" t="str">
        <x:v>Emerging Powers</x:v>
      </x:c>
      <x:c r="F641" t="n">
        <x:v>2011</x:v>
      </x:c>
      <x:c r="G641" t="str">
        <x:v>Reverse Holo</x:v>
      </x:c>
      <x:c r="H641" t="str">
        <x:v>1 of 1</x:v>
      </x:c>
      <x:c r="I641" t="n">
        <x:v>1.78</x:v>
      </x:c>
      <x:c r="J641" t="n">
        <x:v>2.02</x:v>
      </x:c>
      <x:c r="K641" t="n">
        <x:v>1.9</x:v>
      </x:c>
      <x:c r="L641" t="str">
        <x:v>$1–5</x:v>
      </x:c>
      <x:c r="M641" t="str">
        <x:v>Yes</x:v>
      </x:c>
      <x:c r="N641" t="str">
        <x:v>No</x:v>
      </x:c>
      <x:c r="O641" t="str">
        <x:v>Yes</x:v>
      </x:c>
      <x:c r="P641" t="str">
        <x:v>Condition not yet reviewed</x:v>
      </x:c>
      <x:c r="Q641" t="n">
        <x:v>1.78</x:v>
      </x:c>
      <x:c r="R641" t="n">
        <x:v>2.02</x:v>
      </x:c>
      <x:c r="S641" t="n">
        <x:v>1.9</x:v>
      </x:c>
      <x:c r="T641" t="str">
        <x:v>TWO-SOURCE REPRICE (2026-08-17): PriceCharting ungraded from the uploaded PDF = $1.78 per card; TCGplayer exact-printing Near Mint market/price-guide value = $2.02. Working raw comp range is the span of those two approved sources ($1.78–$2.02); midpoint $1.90. No eBay or other marketplace data used.</x:v>
      </x:c>
      <x:c r="U641" t="n">
        <x:v>993</x:v>
      </x:c>
      <x:c r="V641" t="str">
        <x:v>TCGplayer + PriceCharting (uploaded PDF), researched 2026-08-17</x:v>
      </x:c>
      <x:c r="W641" t="str">
        <x:v>https://www.tcgplayer.com/product/83950/pokemon-emerging-powers-braviary</x:v>
      </x:c>
    </x:row>
    <x:row r="642">
      <x:c r="A642" t="n">
        <x:v>766</x:v>
      </x:c>
      <x:c r="B642" t="str">
        <x:v>PDF Import / Added Cards</x:v>
      </x:c>
      <x:c r="C642" t="str">
        <x:v>Braviary</x:v>
      </x:c>
      <x:c r="D642" t="str">
        <x:v>88/98</x:v>
      </x:c>
      <x:c r="E642" t="str">
        <x:v>Emerging Powers</x:v>
      </x:c>
      <x:c r="F642" t="n">
        <x:v>2011</x:v>
      </x:c>
      <x:c r="G642" t="str">
        <x:v>Holofoil / default set printing</x:v>
      </x:c>
      <x:c r="H642" t="str">
        <x:v>1 of 3</x:v>
      </x:c>
      <x:c r="I642" t="n">
        <x:v>1.99</x:v>
      </x:c>
      <x:c r="J642" t="n">
        <x:v>2.09</x:v>
      </x:c>
      <x:c r="K642" t="n">
        <x:v>2.04</x:v>
      </x:c>
      <x:c r="L642" t="str">
        <x:v>$1–5</x:v>
      </x:c>
      <x:c r="M642" t="str">
        <x:v>Yes</x:v>
      </x:c>
      <x:c r="N642" t="str">
        <x:v>No</x:v>
      </x:c>
      <x:c r="O642" t="str">
        <x:v>Yes</x:v>
      </x:c>
      <x:c r="P642" t="str">
        <x:v>Condition not yet reviewed</x:v>
      </x:c>
      <x:c r="Q642" t="n">
        <x:v>1.99</x:v>
      </x:c>
      <x:c r="R642" t="n">
        <x:v>2.09</x:v>
      </x:c>
      <x:c r="S642" t="n">
        <x:v>2.04</x:v>
      </x:c>
      <x:c r="T642"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2" t="n">
        <x:v>993</x:v>
      </x:c>
      <x:c r="V642" t="str">
        <x:v>TCGplayer + PriceCharting (uploaded PDF), researched 2026-08-17</x:v>
      </x:c>
      <x:c r="W642" t="str">
        <x:v>https://www.tcgplayer.com/product/83950/pokemon-emerging-powers-braviary</x:v>
      </x:c>
    </x:row>
    <x:row r="643">
      <x:c r="A643" t="n">
        <x:v>767</x:v>
      </x:c>
      <x:c r="B643" t="str">
        <x:v>PDF Import / Added Cards</x:v>
      </x:c>
      <x:c r="C643" t="str">
        <x:v>Braviary</x:v>
      </x:c>
      <x:c r="D643" t="str">
        <x:v>88/98</x:v>
      </x:c>
      <x:c r="E643" t="str">
        <x:v>Emerging Powers</x:v>
      </x:c>
      <x:c r="F643" t="n">
        <x:v>2011</x:v>
      </x:c>
      <x:c r="G643" t="str">
        <x:v>Holofoil / default set printing</x:v>
      </x:c>
      <x:c r="H643" t="str">
        <x:v>2 of 3</x:v>
      </x:c>
      <x:c r="I643" t="n">
        <x:v>1.99</x:v>
      </x:c>
      <x:c r="J643" t="n">
        <x:v>2.09</x:v>
      </x:c>
      <x:c r="K643" t="n">
        <x:v>2.04</x:v>
      </x:c>
      <x:c r="L643" t="str">
        <x:v>$1–5</x:v>
      </x:c>
      <x:c r="M643" t="str">
        <x:v>Yes</x:v>
      </x:c>
      <x:c r="N643" t="str">
        <x:v>No</x:v>
      </x:c>
      <x:c r="O643" t="str">
        <x:v>Yes</x:v>
      </x:c>
      <x:c r="P643" t="str">
        <x:v>Condition not yet reviewed</x:v>
      </x:c>
      <x:c r="Q643" t="n">
        <x:v>1.99</x:v>
      </x:c>
      <x:c r="R643" t="n">
        <x:v>2.09</x:v>
      </x:c>
      <x:c r="S643" t="n">
        <x:v>2.04</x:v>
      </x:c>
      <x:c r="T643"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3" t="n">
        <x:v>993</x:v>
      </x:c>
      <x:c r="V643" t="str">
        <x:v>TCGplayer + PriceCharting (uploaded PDF), researched 2026-08-17</x:v>
      </x:c>
      <x:c r="W643" t="str">
        <x:v>https://www.tcgplayer.com/product/83950/pokemon-emerging-powers-braviary</x:v>
      </x:c>
    </x:row>
    <x:row r="644">
      <x:c r="A644" t="n">
        <x:v>768</x:v>
      </x:c>
      <x:c r="B644" t="str">
        <x:v>PDF Import / Added Cards</x:v>
      </x:c>
      <x:c r="C644" t="str">
        <x:v>Braviary</x:v>
      </x:c>
      <x:c r="D644" t="str">
        <x:v>88/98</x:v>
      </x:c>
      <x:c r="E644" t="str">
        <x:v>Emerging Powers</x:v>
      </x:c>
      <x:c r="F644" t="n">
        <x:v>2011</x:v>
      </x:c>
      <x:c r="G644" t="str">
        <x:v>Holofoil / default set printing</x:v>
      </x:c>
      <x:c r="H644" t="str">
        <x:v>3 of 3</x:v>
      </x:c>
      <x:c r="I644" t="n">
        <x:v>1.99</x:v>
      </x:c>
      <x:c r="J644" t="n">
        <x:v>2.09</x:v>
      </x:c>
      <x:c r="K644" t="n">
        <x:v>2.04</x:v>
      </x:c>
      <x:c r="L644" t="str">
        <x:v>$1–5</x:v>
      </x:c>
      <x:c r="M644" t="str">
        <x:v>Yes</x:v>
      </x:c>
      <x:c r="N644" t="str">
        <x:v>No</x:v>
      </x:c>
      <x:c r="O644" t="str">
        <x:v>Yes</x:v>
      </x:c>
      <x:c r="P644" t="str">
        <x:v>Condition not yet reviewed</x:v>
      </x:c>
      <x:c r="Q644" t="n">
        <x:v>1.99</x:v>
      </x:c>
      <x:c r="R644" t="n">
        <x:v>2.09</x:v>
      </x:c>
      <x:c r="S644" t="n">
        <x:v>2.04</x:v>
      </x:c>
      <x:c r="T644"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4" t="n">
        <x:v>993</x:v>
      </x:c>
      <x:c r="V644" t="str">
        <x:v>TCGplayer + PriceCharting (uploaded PDF), researched 2026-08-17</x:v>
      </x:c>
      <x:c r="W644" t="str">
        <x:v>https://www.tcgplayer.com/product/83950/pokemon-emerging-powers-braviary</x:v>
      </x:c>
    </x:row>
    <x:row r="645">
      <x:c r="A645" t="n">
        <x:v>769</x:v>
      </x:c>
      <x:c r="B645" t="str">
        <x:v>PDF Import / Added Cards</x:v>
      </x:c>
      <x:c r="C645" t="str">
        <x:v>Druddigon</x:v>
      </x:c>
      <x:c r="D645" t="str">
        <x:v>89/101</x:v>
      </x:c>
      <x:c r="E645" t="str">
        <x:v>Noble Victories</x:v>
      </x:c>
      <x:c r="F645" t="n">
        <x:v>2011</x:v>
      </x:c>
      <x:c r="G645" t="str">
        <x:v>Reverse Holo</x:v>
      </x:c>
      <x:c r="H645" t="str">
        <x:v>1 of 1</x:v>
      </x:c>
      <x:c r="I645" t="n">
        <x:v>0.88</x:v>
      </x:c>
      <x:c r="J645" t="n">
        <x:v>1.69</x:v>
      </x:c>
      <x:c r="K645" t="n">
        <x:v>1.285</x:v>
      </x:c>
      <x:c r="L645" t="str">
        <x:v>$1–5</x:v>
      </x:c>
      <x:c r="M645" t="str">
        <x:v>Yes</x:v>
      </x:c>
      <x:c r="N645" t="str">
        <x:v>No</x:v>
      </x:c>
      <x:c r="O645" t="str">
        <x:v>Yes</x:v>
      </x:c>
      <x:c r="P645" t="str">
        <x:v>Condition not yet reviewed</x:v>
      </x:c>
      <x:c r="Q645" t="n">
        <x:v>0.88</x:v>
      </x:c>
      <x:c r="R645" t="n">
        <x:v>1.69</x:v>
      </x:c>
      <x:c r="S645" t="n">
        <x:v>1.285</x:v>
      </x:c>
      <x:c r="T645" t="str">
        <x:v>TWO-SOURCE REPRICE (2026-08-17): PriceCharting ungraded from the uploaded PDF = $1.69 per card; TCGplayer exact-printing Near Mint market/price-guide value = $0.88. Working raw comp range is the span of those two approved sources ($0.88–$1.69); midpoint $1.28. No eBay or other marketplace data used.</x:v>
      </x:c>
      <x:c r="U645" t="n">
        <x:v>993</x:v>
      </x:c>
      <x:c r="V645" t="str">
        <x:v>TCGplayer + PriceCharting (uploaded PDF), researched 2026-08-17</x:v>
      </x:c>
      <x:c r="W645" t="str">
        <x:v>https://www.tcgplayer.com/product/84978/pokemon-noble-victories-druddigon</x:v>
      </x:c>
    </x:row>
    <x:row r="646">
      <x:c r="A646" t="n">
        <x:v>770</x:v>
      </x:c>
      <x:c r="B646" t="str">
        <x:v>Water / Rares</x:v>
      </x:c>
      <x:c r="C646" t="str">
        <x:v>Samurott</x:v>
      </x:c>
      <x:c r="D646" t="str">
        <x:v>41/149</x:v>
      </x:c>
      <x:c r="E646" t="str">
        <x:v>Boundaries Crossed</x:v>
      </x:c>
      <x:c r="F646" t="n">
        <x:v>2012</x:v>
      </x:c>
      <x:c r="G646" t="str">
        <x:v>Holo Rare (standard set printing)</x:v>
      </x:c>
      <x:c r="H646" t="str">
        <x:v>1 of 1</x:v>
      </x:c>
      <x:c r="I646" t="n">
        <x:v>1.5</x:v>
      </x:c>
      <x:c r="J646" t="n">
        <x:v>2.25</x:v>
      </x:c>
      <x:c r="K646" t="n">
        <x:v>1.875</x:v>
      </x:c>
      <x:c r="L646" t="str">
        <x:v>$1–5</x:v>
      </x:c>
      <x:c r="M646" t="str">
        <x:v>Yes</x:v>
      </x:c>
      <x:c r="N646" t="str">
        <x:v>No</x:v>
      </x:c>
      <x:c r="O646" t="str">
        <x:v>Yes</x:v>
      </x:c>
      <x:c r="P646" t="str">
        <x:v>Clean/NM benchmark unless noted</x:v>
      </x:c>
      <x:c r="Q646" t="n">
        <x:v>1.5</x:v>
      </x:c>
      <x:c r="R646" t="n">
        <x:v>2.25</x:v>
      </x:c>
      <x:c r="S646" t="n">
        <x:v>1.875</x:v>
      </x:c>
      <x:c r="T646" t="str">
        <x:v>Standard Boundaries Crossed Holo Rare. TCGplayer exact-card market is about $1.79. PriceCharting's general #41 page mixes sales of the standard holo with the separate Cold Fire theme-deck non-holo, so the working clean/NM range is anchored to the exact TCGplayer holo market rather than treating the mixed PriceCharting raw figure as an exact variant comp. User also reports owning the separate non-holo deck-exclusive copy; that copy is below the $1 logging threshold and is not counted here.</x:v>
      </x:c>
      <x:c r="U646" t="n">
        <x:v>994</x:v>
      </x:c>
      <x:c r="V646" t="str">
        <x:v>Current chat + TCGplayer exact holo research 2026-08-17; variant structure verified against Boundaries Crossed release information</x:v>
      </x:c>
      <x:c r="W646" t="str">
        <x:v>https://www.tcgplayer.com/search/pokemon/product?q=Samurott+Boundaries+Crossed+41</x:v>
      </x:c>
    </x:row>
    <x:row r="647">
      <x:c r="A647" t="n">
        <x:v>771</x:v>
      </x:c>
      <x:c r="B647" t="str">
        <x:v>Water / Rares</x:v>
      </x:c>
      <x:c r="C647" t="str">
        <x:v>Blastoise</x:v>
      </x:c>
      <x:c r="D647" t="str">
        <x:v>31/149</x:v>
      </x:c>
      <x:c r="E647" t="str">
        <x:v>Boundaries Crossed</x:v>
      </x:c>
      <x:c r="F647" t="n">
        <x:v>2012</x:v>
      </x:c>
      <x:c r="G647" t="str">
        <x:v>Holo Rare (standard set printing)</x:v>
      </x:c>
      <x:c r="H647" t="str">
        <x:v>1 of 1</x:v>
      </x:c>
      <x:c r="I647" t="n">
        <x:v>20</x:v>
      </x:c>
      <x:c r="J647" t="n">
        <x:v>23</x:v>
      </x:c>
      <x:c r="K647" t="n">
        <x:v>21.5</x:v>
      </x:c>
      <x:c r="L647" t="str">
        <x:v>$20+</x:v>
      </x:c>
      <x:c r="M647" t="str">
        <x:v>Yes</x:v>
      </x:c>
      <x:c r="N647" t="str">
        <x:v>Yes</x:v>
      </x:c>
      <x:c r="O647" t="str">
        <x:v>Yes</x:v>
      </x:c>
      <x:c r="P647" t="str">
        <x:v>Clean/NM benchmark unless noted</x:v>
      </x:c>
      <x:c r="Q647" t="n">
        <x:v>20</x:v>
      </x:c>
      <x:c r="R647" t="n">
        <x:v>23</x:v>
      </x:c>
      <x:c r="S647" t="n">
        <x:v>21.5</x:v>
      </x:c>
      <x:c r="T647" t="str">
        <x:v>Standard Boundaries Crossed Holo Rare. Official set checklist marks #31 as a Holo Rare. TCGplayer exact Holofoil market is about $22.94. PriceCharting's main #31 page conflates the non-holo deck printing with holo sales, so the clean/NM benchmark is anchored to the exact TCGplayer holo market and recent clearly identified holo sales rather than its mixed raw guide.</x:v>
      </x:c>
      <x:c r="U647" t="n">
        <x:v>995</x:v>
      </x:c>
      <x:c r="V647" t="str">
        <x:v>Current chat + official Boundaries Crossed checklist + TCGplayer exact holo research 2026-08-17</x:v>
      </x:c>
      <x:c r="W647" t="str">
        <x:v>https://www.tcgplayer.com/product/83896/pokemon-boundaries-crossed-blastoise</x:v>
      </x:c>
    </x:row>
    <x:row r="648">
      <x:c r="A648" t="n">
        <x:v>772</x:v>
      </x:c>
      <x:c r="B648" t="str">
        <x:v>Water / Rares</x:v>
      </x:c>
      <x:c r="C648" t="str">
        <x:v>Blastoise</x:v>
      </x:c>
      <x:c r="D648" t="str">
        <x:v>31/149</x:v>
      </x:c>
      <x:c r="E648" t="str">
        <x:v>Boundaries Crossed</x:v>
      </x:c>
      <x:c r="F648" t="n">
        <x:v>2012</x:v>
      </x:c>
      <x:c r="G648" t="str">
        <x:v>Non-Holo Deck Exclusive</x:v>
      </x:c>
      <x:c r="H648" t="str">
        <x:v>1 of 1</x:v>
      </x:c>
      <x:c r="I648" t="n">
        <x:v>4.47</x:v>
      </x:c>
      <x:c r="J648" t="n">
        <x:v>4.93</x:v>
      </x:c>
      <x:c r="K648" t="n">
        <x:v>4.7</x:v>
      </x:c>
      <x:c r="L648" t="str">
        <x:v>$1–5</x:v>
      </x:c>
      <x:c r="M648" t="str">
        <x:v>Yes</x:v>
      </x:c>
      <x:c r="N648" t="str">
        <x:v>No</x:v>
      </x:c>
      <x:c r="O648" t="str">
        <x:v>Yes</x:v>
      </x:c>
      <x:c r="P648" t="str">
        <x:v>Clean/NM benchmark unless noted</x:v>
      </x:c>
      <x:c r="Q648" t="n">
        <x:v>4.47</x:v>
      </x:c>
      <x:c r="R648" t="n">
        <x:v>4.93</x:v>
      </x:c>
      <x:c r="S648" t="n">
        <x:v>4.7</x:v>
      </x:c>
      <x:c r="T648" t="str">
        <x:v>Separate non-holo deck-exclusive printing of Boundaries Crossed Blastoise #31. Current PriceCharting raw guide is about $4.47 and TCGplayer normal market is about $4.93. This is not the standard set holo and not the reverse holo.</x:v>
      </x:c>
      <x:c r="U648" t="n">
        <x:v>995</x:v>
      </x:c>
      <x:c r="V648" t="str">
        <x:v>TCGplayer + PriceCharting exact non-holo deck-exclusive research 2026-08-17</x:v>
      </x:c>
      <x:c r="W648" t="str">
        <x:v>https://www.tcgplayer.com/product/123456/pokemon-deck-exclusives-blastoise-31-149-non-holo</x:v>
      </x:c>
    </x:row>
    <x:row r="649">
      <x:c r="A649" t="n">
        <x:v>774</x:v>
      </x:c>
      <x:c r="B649" t="str">
        <x:v>PDF Import / Added Cards</x:v>
      </x:c>
      <x:c r="C649" t="str">
        <x:v>Dragonair</x:v>
      </x:c>
      <x:c r="D649" t="str">
        <x:v>82/116</x:v>
      </x:c>
      <x:c r="E649" t="str">
        <x:v>Plasma Freeze</x:v>
      </x:c>
      <x:c r="F649" t="n">
        <x:v>2013</x:v>
      </x:c>
      <x:c r="G649" t="str">
        <x:v>Regular</x:v>
      </x:c>
      <x:c r="H649" t="str">
        <x:v>2 of 2</x:v>
      </x:c>
      <x:c r="I649" t="n">
        <x:v>2</x:v>
      </x:c>
      <x:c r="J649" t="n">
        <x:v>2.06</x:v>
      </x:c>
      <x:c r="K649" t="n">
        <x:v>2.0300000000000002</x:v>
      </x:c>
      <x:c r="L649" t="str">
        <x:v>$1–5</x:v>
      </x:c>
      <x:c r="M649" t="str">
        <x:v>Yes</x:v>
      </x:c>
      <x:c r="N649" t="str">
        <x:v>No</x:v>
      </x:c>
      <x:c r="O649" t="str">
        <x:v>Yes</x:v>
      </x:c>
      <x:c r="P649" t="str">
        <x:v>Condition not yet reviewed</x:v>
      </x:c>
      <x:c r="Q649" t="n">
        <x:v>2</x:v>
      </x:c>
      <x:c r="R649" t="n">
        <x:v>2.06</x:v>
      </x:c>
      <x:c r="S649" t="n">
        <x:v>2.0300000000000002</x:v>
      </x:c>
      <x:c r="T649" t="str">
        <x:v>NEW PHYSICAL COPY from Sokalsky7's Collection.pdf page 2. PriceCharting export allocation = $2.04 per card. Working clean/NM range inherited from the existing exact-printing two-source comp in the collection ($2.00–$2.06).</x:v>
      </x:c>
      <x:c r="U649" t="n">
        <x:v>996</x:v>
      </x:c>
      <x:c r="V649" t="str">
        <x:v>Existing exact-printing TCGplayer + PriceCharting research; new physical copy confirmed by updated Collection.pdf</x:v>
      </x:c>
      <x:c r="W649"/>
    </x:row>
    <x:row r="650">
      <x:c r="A650" t="n">
        <x:v>775</x:v>
      </x:c>
      <x:c r="B650" t="str">
        <x:v>PDF Import / Added Cards</x:v>
      </x:c>
      <x:c r="C650" t="str">
        <x:v>Dratini</x:v>
      </x:c>
      <x:c r="D650" t="str">
        <x:v>81/116</x:v>
      </x:c>
      <x:c r="E650" t="str">
        <x:v>Plasma Freeze</x:v>
      </x:c>
      <x:c r="F650" t="n">
        <x:v>2013</x:v>
      </x:c>
      <x:c r="G650" t="str">
        <x:v>Reverse Holo</x:v>
      </x:c>
      <x:c r="H650" t="str">
        <x:v>1 of 1</x:v>
      </x:c>
      <x:c r="I650" t="n">
        <x:v>6.05</x:v>
      </x:c>
      <x:c r="J650" t="n">
        <x:v>6.05</x:v>
      </x:c>
      <x:c r="K650" t="n">
        <x:v>6.05</x:v>
      </x:c>
      <x:c r="L650" t="str">
        <x:v>$5–20</x:v>
      </x:c>
      <x:c r="M650" t="str">
        <x:v>Yes</x:v>
      </x:c>
      <x:c r="N650" t="str">
        <x:v>No</x:v>
      </x:c>
      <x:c r="O650" t="str">
        <x:v>Yes</x:v>
      </x:c>
      <x:c r="P650" t="str">
        <x:v>Condition not yet reviewed</x:v>
      </x:c>
      <x:c r="Q650" t="n">
        <x:v>6.05</x:v>
      </x:c>
      <x:c r="R650" t="n">
        <x:v>6.05</x:v>
      </x:c>
      <x:c r="S650" t="n">
        <x:v>6.05</x:v>
      </x:c>
      <x:c r="T650" t="str">
        <x:v>NEW PHYSICAL COPY from Sokalsky7's Collection.pdf page 2. Temporary raw benchmark = PriceCharting export allocation $6.05; exact TCGplayer market was not independently resolved in this add-pass.</x:v>
      </x:c>
      <x:c r="U650" t="n">
        <x:v>996</x:v>
      </x:c>
      <x:c r="V650" t="str">
        <x:v>PriceCharting updated Collection.pdf; TCGplayer exact reprice pending</x:v>
      </x:c>
      <x:c r="W650" t="str">
        <x:v>https://www.tcgplayer.com/search/pokemon/product?q=Dratini+81+Plasma+Freeze</x:v>
      </x:c>
    </x:row>
    <x:row r="651">
      <x:c r="A651" t="n">
        <x:v>776</x:v>
      </x:c>
      <x:c r="B651" t="str">
        <x:v>PDF Import / Added Cards</x:v>
      </x:c>
      <x:c r="C651" t="str">
        <x:v>Black Kyurem EX</x:v>
      </x:c>
      <x:c r="D651" t="str">
        <x:v>101/149</x:v>
      </x:c>
      <x:c r="E651" t="str">
        <x:v>Boundaries Crossed</x:v>
      </x:c>
      <x:c r="F651" t="n">
        <x:v>2012</x:v>
      </x:c>
      <x:c r="G651" t="str">
        <x:v>Holo EX / default printing</x:v>
      </x:c>
      <x:c r="H651" t="str">
        <x:v>1 of 1</x:v>
      </x:c>
      <x:c r="I651" t="n">
        <x:v>3.75</x:v>
      </x:c>
      <x:c r="J651" t="n">
        <x:v>3.86</x:v>
      </x:c>
      <x:c r="K651" t="n">
        <x:v>3.8049999999999997</x:v>
      </x:c>
      <x:c r="L651" t="str">
        <x:v>$1–5</x:v>
      </x:c>
      <x:c r="M651" t="str">
        <x:v>Yes</x:v>
      </x:c>
      <x:c r="N651" t="str">
        <x:v>No</x:v>
      </x:c>
      <x:c r="O651" t="str">
        <x:v>Yes</x:v>
      </x:c>
      <x:c r="P651" t="str">
        <x:v>Condition not yet reviewed</x:v>
      </x:c>
      <x:c r="Q651" t="n">
        <x:v>3.75</x:v>
      </x:c>
      <x:c r="R651" t="n">
        <x:v>3.86</x:v>
      </x:c>
      <x:c r="S651" t="n">
        <x:v>3.8049999999999997</x:v>
      </x:c>
      <x:c r="T651" t="str">
        <x:v>NEW PHYSICAL COPY from Sokalsky7's Collection.pdf page 2. PriceCharting export = $3.75 per card; current TCGplayer market checked at about $3.86. Working range spans those two approved sources.</x:v>
      </x:c>
      <x:c r="U651" t="n">
        <x:v>996</x:v>
      </x:c>
      <x:c r="V651" t="str">
        <x:v>TCGplayer + PriceCharting (updated Collection.pdf), researched 2026-08-17</x:v>
      </x:c>
      <x:c r="W651" t="str">
        <x:v>https://www.tcgplayer.com/search/pokemon/product?q=Black+Kyurem+EX+101+Boundaries+Crossed</x:v>
      </x:c>
    </x:row>
    <x:row r="652">
      <x:c r="A652" t="n">
        <x:v>777</x:v>
      </x:c>
      <x:c r="B652" t="str">
        <x:v>PDF Import / Added Cards</x:v>
      </x:c>
      <x:c r="C652" t="str">
        <x:v>Serperior</x:v>
      </x:c>
      <x:c r="D652" t="str">
        <x:v>5/114</x:v>
      </x:c>
      <x:c r="E652" t="str">
        <x:v>Black &amp; White</x:v>
      </x:c>
      <x:c r="F652" t="n">
        <x:v>2011</x:v>
      </x:c>
      <x:c r="G652" t="str">
        <x:v>Cracked Ice Holo</x:v>
      </x:c>
      <x:c r="H652" t="str">
        <x:v>1 of 1</x:v>
      </x:c>
      <x:c r="I652" t="n">
        <x:v>2.79</x:v>
      </x:c>
      <x:c r="J652" t="n">
        <x:v>3.03</x:v>
      </x:c>
      <x:c r="K652" t="n">
        <x:v>2.91</x:v>
      </x:c>
      <x:c r="L652" t="str">
        <x:v>$1–5</x:v>
      </x:c>
      <x:c r="M652" t="str">
        <x:v>Yes</x:v>
      </x:c>
      <x:c r="N652" t="str">
        <x:v>No</x:v>
      </x:c>
      <x:c r="O652" t="str">
        <x:v>Yes</x:v>
      </x:c>
      <x:c r="P652" t="str">
        <x:v>Condition not yet reviewed</x:v>
      </x:c>
      <x:c r="Q652" t="n">
        <x:v>2.79</x:v>
      </x:c>
      <x:c r="R652" t="n">
        <x:v>3.03</x:v>
      </x:c>
      <x:c r="S652" t="n">
        <x:v>2.91</x:v>
      </x:c>
      <x:c r="T652" t="str">
        <x:v>NEW PHYSICAL COPY from Sokalsky7's Collection.pdf page 2. PriceCharting export = $2.79 per card; current TCGplayer market checked at about $3.03. Working range spans those two approved sources.</x:v>
      </x:c>
      <x:c r="U652" t="n">
        <x:v>996</x:v>
      </x:c>
      <x:c r="V652" t="str">
        <x:v>TCGplayer + PriceCharting (updated Collection.pdf), researched 2026-08-17</x:v>
      </x:c>
      <x:c r="W652" t="str">
        <x:v>https://www.tcgplayer.com/search/pokemon/product?q=Serperior+5+Black+White</x:v>
      </x:c>
    </x:row>
    <x:row r="653">
      <x:c r="A653" t="n">
        <x:v>778</x:v>
      </x:c>
      <x:c r="B653" t="str">
        <x:v>PDF Import / Added Cards</x:v>
      </x:c>
      <x:c r="C653" t="str">
        <x:v>Ivysaur</x:v>
      </x:c>
      <x:c r="D653" t="str">
        <x:v>62/147</x:v>
      </x:c>
      <x:c r="E653" t="str">
        <x:v>Supreme Victors</x:v>
      </x:c>
      <x:c r="F653" t="n">
        <x:v>2009</x:v>
      </x:c>
      <x:c r="G653" t="str">
        <x:v>Regular / default set printing</x:v>
      </x:c>
      <x:c r="H653" t="str">
        <x:v>1 of 1</x:v>
      </x:c>
      <x:c r="I653" t="n">
        <x:v>3.61</x:v>
      </x:c>
      <x:c r="J653" t="n">
        <x:v>4.14</x:v>
      </x:c>
      <x:c r="K653" t="n">
        <x:v>3.875</x:v>
      </x:c>
      <x:c r="L653" t="str">
        <x:v>$1–5</x:v>
      </x:c>
      <x:c r="M653" t="str">
        <x:v>Yes</x:v>
      </x:c>
      <x:c r="N653" t="str">
        <x:v>No</x:v>
      </x:c>
      <x:c r="O653" t="str">
        <x:v>Yes</x:v>
      </x:c>
      <x:c r="P653" t="str">
        <x:v>Condition not yet reviewed</x:v>
      </x:c>
      <x:c r="Q653" t="n">
        <x:v>3.61</x:v>
      </x:c>
      <x:c r="R653" t="n">
        <x:v>4.14</x:v>
      </x:c>
      <x:c r="S653" t="n">
        <x:v>3.875</x:v>
      </x:c>
      <x:c r="T653" t="str">
        <x:v>NEW PHYSICAL COPY from Sokalsky7's Collection.pdf page 2. PriceCharting export = $3.61 per card; current TCGplayer market checked at about $4.14. Working range spans those two approved sources.</x:v>
      </x:c>
      <x:c r="U653" t="n">
        <x:v>996</x:v>
      </x:c>
      <x:c r="V653" t="str">
        <x:v>TCGplayer + PriceCharting (updated Collection.pdf), researched 2026-08-17</x:v>
      </x:c>
      <x:c r="W653" t="str">
        <x:v>https://www.tcgplayer.com/search/pokemon/product?q=Ivysaur+62+Supreme+Victors</x:v>
      </x:c>
    </x:row>
    <x:row r="654">
      <x:c r="A654" t="n">
        <x:v>779</x:v>
      </x:c>
      <x:c r="B654" t="str">
        <x:v>PDF Import / Added Cards</x:v>
      </x:c>
      <x:c r="C654" t="str">
        <x:v>Empoleon</x:v>
      </x:c>
      <x:c r="D654" t="str">
        <x:v>BW56</x:v>
      </x:c>
      <x:c r="E654" t="str">
        <x:v>Black &amp; White Promos</x:v>
      </x:c>
      <x:c r="F654"/>
      <x:c r="G654" t="str">
        <x:v>Holo Promo</x:v>
      </x:c>
      <x:c r="H654" t="str">
        <x:v>1 of 1</x:v>
      </x:c>
      <x:c r="I654" t="n">
        <x:v>6.85</x:v>
      </x:c>
      <x:c r="J654" t="n">
        <x:v>6.85</x:v>
      </x:c>
      <x:c r="K654" t="n">
        <x:v>6.85</x:v>
      </x:c>
      <x:c r="L654" t="str">
        <x:v>$5–20</x:v>
      </x:c>
      <x:c r="M654" t="str">
        <x:v>Yes</x:v>
      </x:c>
      <x:c r="N654" t="str">
        <x:v>No</x:v>
      </x:c>
      <x:c r="O654" t="str">
        <x:v>Yes</x:v>
      </x:c>
      <x:c r="P654" t="str">
        <x:v>Condition not yet reviewed</x:v>
      </x:c>
      <x:c r="Q654" t="n">
        <x:v>6.85</x:v>
      </x:c>
      <x:c r="R654" t="n">
        <x:v>6.85</x:v>
      </x:c>
      <x:c r="S654" t="n">
        <x:v>6.85</x:v>
      </x:c>
      <x:c r="T654" t="str">
        <x:v>NEW PHYSICAL COPY from Sokalsky7's Collection.pdf page 2. Temporary raw benchmark = PriceCharting export allocation $6.85; exact TCGplayer market was not independently resolved in this add-pass.</x:v>
      </x:c>
      <x:c r="U654" t="n">
        <x:v>996</x:v>
      </x:c>
      <x:c r="V654" t="str">
        <x:v>PriceCharting updated Collection.pdf; TCGplayer exact reprice pending</x:v>
      </x:c>
      <x:c r="W654" t="str">
        <x:v>https://www.tcgplayer.com/search/pokemon/product?q=Empoleon+BW56+Promo</x:v>
      </x:c>
    </x:row>
    <x:row r="655">
      <x:c r="A655" t="n">
        <x:v>780</x:v>
      </x:c>
      <x:c r="B655" t="str">
        <x:v>PDF Import / Added Cards</x:v>
      </x:c>
      <x:c r="C655" t="str">
        <x:v>Latias</x:v>
      </x:c>
      <x:c r="D655" t="str">
        <x:v>9/20</x:v>
      </x:c>
      <x:c r="E655" t="str">
        <x:v>Dragon Vault</x:v>
      </x:c>
      <x:c r="F655" t="n">
        <x:v>2012</x:v>
      </x:c>
      <x:c r="G655" t="str">
        <x:v>Holo</x:v>
      </x:c>
      <x:c r="H655" t="str">
        <x:v>3 of 3</x:v>
      </x:c>
      <x:c r="I655" t="n">
        <x:v>13</x:v>
      </x:c>
      <x:c r="J655" t="n">
        <x:v>19</x:v>
      </x:c>
      <x:c r="K655" t="n">
        <x:v>16</x:v>
      </x:c>
      <x:c r="L655" t="str">
        <x:v>$5–20</x:v>
      </x:c>
      <x:c r="M655" t="str">
        <x:v>Yes</x:v>
      </x:c>
      <x:c r="N655" t="str">
        <x:v>No</x:v>
      </x:c>
      <x:c r="O655" t="str">
        <x:v>Yes</x:v>
      </x:c>
      <x:c r="P655" t="str">
        <x:v>Condition not yet reviewed</x:v>
      </x:c>
      <x:c r="Q655" t="n">
        <x:v>13</x:v>
      </x:c>
      <x:c r="R655" t="n">
        <x:v>19</x:v>
      </x:c>
      <x:c r="S655" t="n">
        <x:v>16</x:v>
      </x:c>
      <x:c r="T655" t="str">
        <x:v>NEW PHYSICAL COPY from Sokalsky7's Collection.pdf page 3. PriceCharting export allocation = $11.06 per card. Working clean/NM range inherited from the existing exact-printing two-source comp in the collection ($13.00–$19.00).</x:v>
      </x:c>
      <x:c r="U655" t="n">
        <x:v>996</x:v>
      </x:c>
      <x:c r="V655" t="str">
        <x:v>Existing exact-printing TCGplayer + PriceCharting research; new physical copy confirmed by updated Collection.pdf</x:v>
      </x:c>
      <x:c r="W655"/>
    </x:row>
    <x:row r="656">
      <x:c r="A656" t="n">
        <x:v>781</x:v>
      </x:c>
      <x:c r="B656" t="str">
        <x:v>PDF Import / Added Cards</x:v>
      </x:c>
      <x:c r="C656" t="str">
        <x:v>Salamence</x:v>
      </x:c>
      <x:c r="D656" t="str">
        <x:v>8/20</x:v>
      </x:c>
      <x:c r="E656" t="str">
        <x:v>Dragon Vault</x:v>
      </x:c>
      <x:c r="F656" t="n">
        <x:v>2012</x:v>
      </x:c>
      <x:c r="G656" t="str">
        <x:v>Holo</x:v>
      </x:c>
      <x:c r="H656" t="str">
        <x:v>4 of 6</x:v>
      </x:c>
      <x:c r="I656" t="n">
        <x:v>5.5</x:v>
      </x:c>
      <x:c r="J656" t="n">
        <x:v>6</x:v>
      </x:c>
      <x:c r="K656" t="n">
        <x:v>5.75</x:v>
      </x:c>
      <x:c r="L656" t="str">
        <x:v>$5–20</x:v>
      </x:c>
      <x:c r="M656" t="str">
        <x:v>Yes</x:v>
      </x:c>
      <x:c r="N656" t="str">
        <x:v>No</x:v>
      </x:c>
      <x:c r="O656" t="str">
        <x:v>Yes</x:v>
      </x:c>
      <x:c r="P656" t="str">
        <x:v>Condition not yet reviewed</x:v>
      </x:c>
      <x:c r="Q656" t="n">
        <x:v>5.5</x:v>
      </x:c>
      <x:c r="R656" t="n">
        <x:v>6</x:v>
      </x:c>
      <x:c r="S656" t="n">
        <x:v>5.75</x:v>
      </x:c>
      <x:c r="T656" t="str">
        <x:v>NEW PHYSICAL COPY from Sokalsky7's Collection.pdf page 3. PriceCharting export allocation = $5.59 per card. Working clean/NM range inherited from the existing exact-printing two-source comp in the collection ($5.50–$6.00).</x:v>
      </x:c>
      <x:c r="U656" t="n">
        <x:v>996</x:v>
      </x:c>
      <x:c r="V656" t="str">
        <x:v>Existing exact-printing TCGplayer + PriceCharting research; new physical copy confirmed by updated Collection.pdf</x:v>
      </x:c>
      <x:c r="W656"/>
    </x:row>
    <x:row r="657">
      <x:c r="A657" t="n">
        <x:v>782</x:v>
      </x:c>
      <x:c r="B657" t="str">
        <x:v>PDF Import / Added Cards</x:v>
      </x:c>
      <x:c r="C657" t="str">
        <x:v>Salamence</x:v>
      </x:c>
      <x:c r="D657" t="str">
        <x:v>8/20</x:v>
      </x:c>
      <x:c r="E657" t="str">
        <x:v>Dragon Vault</x:v>
      </x:c>
      <x:c r="F657" t="n">
        <x:v>2012</x:v>
      </x:c>
      <x:c r="G657" t="str">
        <x:v>Holo</x:v>
      </x:c>
      <x:c r="H657" t="str">
        <x:v>5 of 6</x:v>
      </x:c>
      <x:c r="I657" t="n">
        <x:v>5.5</x:v>
      </x:c>
      <x:c r="J657" t="n">
        <x:v>6</x:v>
      </x:c>
      <x:c r="K657" t="n">
        <x:v>5.75</x:v>
      </x:c>
      <x:c r="L657" t="str">
        <x:v>$5–20</x:v>
      </x:c>
      <x:c r="M657" t="str">
        <x:v>Yes</x:v>
      </x:c>
      <x:c r="N657" t="str">
        <x:v>No</x:v>
      </x:c>
      <x:c r="O657" t="str">
        <x:v>Yes</x:v>
      </x:c>
      <x:c r="P657" t="str">
        <x:v>Condition not yet reviewed</x:v>
      </x:c>
      <x:c r="Q657" t="n">
        <x:v>5.5</x:v>
      </x:c>
      <x:c r="R657" t="n">
        <x:v>6</x:v>
      </x:c>
      <x:c r="S657" t="n">
        <x:v>5.75</x:v>
      </x:c>
      <x:c r="T657" t="str">
        <x:v>NEW PHYSICAL COPY from Sokalsky7's Collection.pdf page 3. PriceCharting export allocation = $5.59 per card. Working clean/NM range inherited from the existing exact-printing two-source comp in the collection ($5.50–$6.00).</x:v>
      </x:c>
      <x:c r="U657" t="n">
        <x:v>996</x:v>
      </x:c>
      <x:c r="V657" t="str">
        <x:v>Existing exact-printing TCGplayer + PriceCharting research; new physical copy confirmed by updated Collection.pdf</x:v>
      </x:c>
      <x:c r="W657"/>
    </x:row>
    <x:row r="658">
      <x:c r="A658" t="n">
        <x:v>783</x:v>
      </x:c>
      <x:c r="B658" t="str">
        <x:v>PDF Import / Added Cards</x:v>
      </x:c>
      <x:c r="C658" t="str">
        <x:v>Salamence</x:v>
      </x:c>
      <x:c r="D658" t="str">
        <x:v>8/20</x:v>
      </x:c>
      <x:c r="E658" t="str">
        <x:v>Dragon Vault</x:v>
      </x:c>
      <x:c r="F658" t="n">
        <x:v>2012</x:v>
      </x:c>
      <x:c r="G658" t="str">
        <x:v>Holo</x:v>
      </x:c>
      <x:c r="H658" t="str">
        <x:v>6 of 6</x:v>
      </x:c>
      <x:c r="I658" t="n">
        <x:v>5.5</x:v>
      </x:c>
      <x:c r="J658" t="n">
        <x:v>6</x:v>
      </x:c>
      <x:c r="K658" t="n">
        <x:v>5.75</x:v>
      </x:c>
      <x:c r="L658" t="str">
        <x:v>$5–20</x:v>
      </x:c>
      <x:c r="M658" t="str">
        <x:v>Yes</x:v>
      </x:c>
      <x:c r="N658" t="str">
        <x:v>No</x:v>
      </x:c>
      <x:c r="O658" t="str">
        <x:v>Yes</x:v>
      </x:c>
      <x:c r="P658" t="str">
        <x:v>Condition not yet reviewed</x:v>
      </x:c>
      <x:c r="Q658" t="n">
        <x:v>5.5</x:v>
      </x:c>
      <x:c r="R658" t="n">
        <x:v>6</x:v>
      </x:c>
      <x:c r="S658" t="n">
        <x:v>5.75</x:v>
      </x:c>
      <x:c r="T658" t="str">
        <x:v>NEW PHYSICAL COPY from Sokalsky7's Collection.pdf page 3. PriceCharting export allocation = $5.59 per card. Working clean/NM range inherited from the existing exact-printing two-source comp in the collection ($5.50–$6.00).</x:v>
      </x:c>
      <x:c r="U658" t="n">
        <x:v>996</x:v>
      </x:c>
      <x:c r="V658" t="str">
        <x:v>Existing exact-printing TCGplayer + PriceCharting research; new physical copy confirmed by updated Collection.pdf</x:v>
      </x:c>
      <x:c r="W658"/>
    </x:row>
    <x:row r="659">
      <x:c r="A659" t="n">
        <x:v>784</x:v>
      </x:c>
      <x:c r="B659" t="str">
        <x:v>PDF Import / Added Cards</x:v>
      </x:c>
      <x:c r="C659" t="str">
        <x:v>Druddigon</x:v>
      </x:c>
      <x:c r="D659" t="str">
        <x:v>17/20</x:v>
      </x:c>
      <x:c r="E659" t="str">
        <x:v>Dragon Vault</x:v>
      </x:c>
      <x:c r="F659" t="n">
        <x:v>2012</x:v>
      </x:c>
      <x:c r="G659" t="str">
        <x:v>Normal Holo</x:v>
      </x:c>
      <x:c r="H659" t="str">
        <x:v>2 of 2</x:v>
      </x:c>
      <x:c r="I659" t="n">
        <x:v>2.5</x:v>
      </x:c>
      <x:c r="J659" t="n">
        <x:v>3</x:v>
      </x:c>
      <x:c r="K659" t="n">
        <x:v>2.75</x:v>
      </x:c>
      <x:c r="L659" t="str">
        <x:v>$1–5</x:v>
      </x:c>
      <x:c r="M659" t="str">
        <x:v>Yes</x:v>
      </x:c>
      <x:c r="N659" t="str">
        <x:v>No</x:v>
      </x:c>
      <x:c r="O659" t="str">
        <x:v>Yes</x:v>
      </x:c>
      <x:c r="P659" t="str">
        <x:v>Condition not yet reviewed</x:v>
      </x:c>
      <x:c r="Q659" t="n">
        <x:v>2.5</x:v>
      </x:c>
      <x:c r="R659" t="n">
        <x:v>3</x:v>
      </x:c>
      <x:c r="S659" t="n">
        <x:v>2.75</x:v>
      </x:c>
      <x:c r="T659" t="str">
        <x:v>NEW PHYSICAL COPY from Sokalsky7's Collection.pdf page 3. PriceCharting export allocation = $3.00 per card. Working clean/NM range inherited from the existing exact-printing two-source comp in the collection ($2.50–$3.00).</x:v>
      </x:c>
      <x:c r="U659" t="n">
        <x:v>996</x:v>
      </x:c>
      <x:c r="V659" t="str">
        <x:v>Existing exact-printing TCGplayer + PriceCharting research; new physical copy confirmed by updated Collection.pdf</x:v>
      </x:c>
      <x:c r="W659"/>
    </x:row>
    <x:row r="660">
      <x:c r="A660" t="n">
        <x:v>785</x:v>
      </x:c>
      <x:c r="B660" t="str">
        <x:v>PDF Import / Added Cards</x:v>
      </x:c>
      <x:c r="C660" t="str">
        <x:v>Zoroark</x:v>
      </x:c>
      <x:c r="D660" t="str">
        <x:v>71/114</x:v>
      </x:c>
      <x:c r="E660" t="str">
        <x:v>Black &amp; White</x:v>
      </x:c>
      <x:c r="F660" t="n">
        <x:v>2011</x:v>
      </x:c>
      <x:c r="G660" t="str">
        <x:v>Reverse Holo</x:v>
      </x:c>
      <x:c r="H660" t="str">
        <x:v>1 of 1</x:v>
      </x:c>
      <x:c r="I660" t="n">
        <x:v>5.3</x:v>
      </x:c>
      <x:c r="J660" t="n">
        <x:v>8.16</x:v>
      </x:c>
      <x:c r="K660" t="n">
        <x:v>6.73</x:v>
      </x:c>
      <x:c r="L660" t="str">
        <x:v>$5–20</x:v>
      </x:c>
      <x:c r="M660" t="str">
        <x:v>Yes</x:v>
      </x:c>
      <x:c r="N660" t="str">
        <x:v>No</x:v>
      </x:c>
      <x:c r="O660" t="str">
        <x:v>Yes</x:v>
      </x:c>
      <x:c r="P660" t="str">
        <x:v>Condition not yet reviewed</x:v>
      </x:c>
      <x:c r="Q660" t="n">
        <x:v>5.3</x:v>
      </x:c>
      <x:c r="R660" t="n">
        <x:v>8.16</x:v>
      </x:c>
      <x:c r="S660" t="n">
        <x:v>6.73</x:v>
      </x:c>
      <x:c r="T660" t="str">
        <x:v>NEW PHYSICAL COPY from Sokalsky7's Collection.pdf page 3. PriceCharting export = $5.30 per card; current TCGplayer market checked at about $8.16. Working range spans those two approved sources.</x:v>
      </x:c>
      <x:c r="U660" t="n">
        <x:v>996</x:v>
      </x:c>
      <x:c r="V660" t="str">
        <x:v>TCGplayer + PriceCharting (updated Collection.pdf), researched 2026-08-17</x:v>
      </x:c>
      <x:c r="W660" t="str">
        <x:v>https://www.tcgplayer.com/search/pokemon/product?q=Zoroark+71+Black+White</x:v>
      </x:c>
    </x:row>
    <x:row r="661">
      <x:c r="A661" t="n">
        <x:v>786</x:v>
      </x:c>
      <x:c r="B661" t="str">
        <x:v>PDF Import / Added Cards</x:v>
      </x:c>
      <x:c r="C661" t="str">
        <x:v>Flygon</x:v>
      </x:c>
      <x:c r="D661" t="str">
        <x:v>99/149</x:v>
      </x:c>
      <x:c r="E661" t="str">
        <x:v>Boundaries Crossed</x:v>
      </x:c>
      <x:c r="F661" t="n">
        <x:v>2012</x:v>
      </x:c>
      <x:c r="G661" t="str">
        <x:v>Holo Rare</x:v>
      </x:c>
      <x:c r="H661" t="str">
        <x:v>3 of 3</x:v>
      </x:c>
      <x:c r="I661" t="n">
        <x:v>13</x:v>
      </x:c>
      <x:c r="J661" t="n">
        <x:v>14</x:v>
      </x:c>
      <x:c r="K661" t="n">
        <x:v>13.5</x:v>
      </x:c>
      <x:c r="L661" t="str">
        <x:v>$5–20</x:v>
      </x:c>
      <x:c r="M661" t="str">
        <x:v>Yes</x:v>
      </x:c>
      <x:c r="N661" t="str">
        <x:v>No</x:v>
      </x:c>
      <x:c r="O661" t="str">
        <x:v>Yes</x:v>
      </x:c>
      <x:c r="P661" t="str">
        <x:v>Condition not yet reviewed</x:v>
      </x:c>
      <x:c r="Q661" t="n">
        <x:v>13</x:v>
      </x:c>
      <x:c r="R661" t="n">
        <x:v>14</x:v>
      </x:c>
      <x:c r="S661" t="n">
        <x:v>13.5</x:v>
      </x:c>
      <x:c r="T661" t="str">
        <x:v>NEW PHYSICAL COPY from Sokalsky7's Collection.pdf page 3. PriceCharting export allocation = $13.38 per card. Working clean/NM range inherited from the existing exact-printing two-source comp in the collection ($13.00–$14.00).</x:v>
      </x:c>
      <x:c r="U661" t="n">
        <x:v>996</x:v>
      </x:c>
      <x:c r="V661" t="str">
        <x:v>Existing exact-printing TCGplayer + PriceCharting research; new physical copy confirmed by updated Collection.pdf</x:v>
      </x:c>
      <x:c r="W661"/>
    </x:row>
    <x:row r="662">
      <x:c r="A662" t="n">
        <x:v>787</x:v>
      </x:c>
      <x:c r="B662" t="str">
        <x:v>PDF Import / Added Cards</x:v>
      </x:c>
      <x:c r="C662" t="str">
        <x:v>Articuno</x:v>
      </x:c>
      <x:c r="D662" t="str">
        <x:v>17/62</x:v>
      </x:c>
      <x:c r="E662" t="str">
        <x:v>Fossil</x:v>
      </x:c>
      <x:c r="F662" t="n">
        <x:v>1999</x:v>
      </x:c>
      <x:c r="G662" t="str">
        <x:v>Regular / default set printing</x:v>
      </x:c>
      <x:c r="H662" t="str">
        <x:v>1 of 1</x:v>
      </x:c>
      <x:c r="I662" t="n">
        <x:v>8.48</x:v>
      </x:c>
      <x:c r="J662" t="n">
        <x:v>26.94</x:v>
      </x:c>
      <x:c r="K662" t="n">
        <x:v>17.71</x:v>
      </x:c>
      <x:c r="L662" t="str">
        <x:v>$5–20</x:v>
      </x:c>
      <x:c r="M662" t="str">
        <x:v>Yes</x:v>
      </x:c>
      <x:c r="N662" t="str">
        <x:v>No</x:v>
      </x:c>
      <x:c r="O662" t="str">
        <x:v>Yes</x:v>
      </x:c>
      <x:c r="P662" t="str">
        <x:v>Condition not yet reviewed</x:v>
      </x:c>
      <x:c r="Q662" t="n">
        <x:v>8.48</x:v>
      </x:c>
      <x:c r="R662" t="n">
        <x:v>26.94</x:v>
      </x:c>
      <x:c r="S662" t="n">
        <x:v>17.71</x:v>
      </x:c>
      <x:c r="T662" t="str">
        <x:v>NEW PHYSICAL COPY from Sokalsky7's Collection.pdf page 3. PriceCharting export = $8.48 per card; current TCGplayer market checked at about $26.94. Working range spans those two approved sources.</x:v>
      </x:c>
      <x:c r="U662" t="n">
        <x:v>996</x:v>
      </x:c>
      <x:c r="V662" t="str">
        <x:v>TCGplayer + PriceCharting (updated Collection.pdf), researched 2026-08-17</x:v>
      </x:c>
      <x:c r="W662" t="str">
        <x:v>https://www.tcgplayer.com/search/pokemon/product?q=Articuno+17+Fossil</x:v>
      </x:c>
    </x:row>
    <x:row r="663">
      <x:c r="A663" t="n">
        <x:v>788</x:v>
      </x:c>
      <x:c r="B663" t="str">
        <x:v>PDF Import / Added Cards</x:v>
      </x:c>
      <x:c r="C663" t="str">
        <x:v>Kingdra</x:v>
      </x:c>
      <x:c r="D663" t="str">
        <x:v>84/116</x:v>
      </x:c>
      <x:c r="E663" t="str">
        <x:v>Plasma Freeze</x:v>
      </x:c>
      <x:c r="F663" t="n">
        <x:v>2013</x:v>
      </x:c>
      <x:c r="G663" t="str">
        <x:v>Reverse Holo</x:v>
      </x:c>
      <x:c r="H663" t="str">
        <x:v>1 of 1</x:v>
      </x:c>
      <x:c r="I663" t="n">
        <x:v>5.69</x:v>
      </x:c>
      <x:c r="J663" t="n">
        <x:v>5.69</x:v>
      </x:c>
      <x:c r="K663" t="n">
        <x:v>5.69</x:v>
      </x:c>
      <x:c r="L663" t="str">
        <x:v>$5–20</x:v>
      </x:c>
      <x:c r="M663" t="str">
        <x:v>Yes</x:v>
      </x:c>
      <x:c r="N663" t="str">
        <x:v>No</x:v>
      </x:c>
      <x:c r="O663" t="str">
        <x:v>Yes</x:v>
      </x:c>
      <x:c r="P663" t="str">
        <x:v>Condition not yet reviewed</x:v>
      </x:c>
      <x:c r="Q663" t="n">
        <x:v>5.69</x:v>
      </x:c>
      <x:c r="R663" t="n">
        <x:v>5.69</x:v>
      </x:c>
      <x:c r="S663" t="n">
        <x:v>5.69</x:v>
      </x:c>
      <x:c r="T663" t="str">
        <x:v>NEW PHYSICAL COPY from Sokalsky7's Collection.pdf page 3. Temporary raw benchmark = PriceCharting export allocation $5.69; exact TCGplayer market was not independently resolved in this add-pass.</x:v>
      </x:c>
      <x:c r="U663" t="n">
        <x:v>996</x:v>
      </x:c>
      <x:c r="V663" t="str">
        <x:v>PriceCharting updated Collection.pdf; TCGplayer exact reprice pending</x:v>
      </x:c>
      <x:c r="W663" t="str">
        <x:v>https://www.tcgplayer.com/search/pokemon/product?q=Kingdra+84+Plasma+Freeze</x:v>
      </x:c>
    </x:row>
    <x:row r="664">
      <x:c r="A664" t="n">
        <x:v>789</x:v>
      </x:c>
      <x:c r="B664" t="str">
        <x:v>PDF Import / Added Cards</x:v>
      </x:c>
      <x:c r="C664" t="str">
        <x:v>Porygon-Z</x:v>
      </x:c>
      <x:c r="D664" t="str">
        <x:v>74/101</x:v>
      </x:c>
      <x:c r="E664" t="str">
        <x:v>Plasma Blast</x:v>
      </x:c>
      <x:c r="F664" t="n">
        <x:v>2013</x:v>
      </x:c>
      <x:c r="G664" t="str">
        <x:v>Holo Rare (Team Plasma)</x:v>
      </x:c>
      <x:c r="H664" t="str">
        <x:v>1 of 1</x:v>
      </x:c>
      <x:c r="I664" t="n">
        <x:v>3.35</x:v>
      </x:c>
      <x:c r="J664" t="n">
        <x:v>4.22</x:v>
      </x:c>
      <x:c r="K664" t="n">
        <x:v>3.785</x:v>
      </x:c>
      <x:c r="L664" t="str">
        <x:v>$1–5</x:v>
      </x:c>
      <x:c r="M664" t="str">
        <x:v>Yes</x:v>
      </x:c>
      <x:c r="N664" t="str">
        <x:v>No</x:v>
      </x:c>
      <x:c r="O664" t="str">
        <x:v>Yes</x:v>
      </x:c>
      <x:c r="P664" t="str">
        <x:v>Condition not yet reviewed</x:v>
      </x:c>
      <x:c r="Q664" t="n">
        <x:v>3.35</x:v>
      </x:c>
      <x:c r="R664" t="n">
        <x:v>4.22</x:v>
      </x:c>
      <x:c r="S664" t="n">
        <x:v>3.785</x:v>
      </x:c>
      <x:c r="T664" t="str">
        <x:v>NEW PHYSICAL COPY from Sokalsky7's Collection.pdf page 4. PriceCharting export = $3.35 per card; current TCGplayer market checked at about $4.22. Working range spans those two approved sources.</x:v>
      </x:c>
      <x:c r="U664" t="n">
        <x:v>996</x:v>
      </x:c>
      <x:c r="V664" t="str">
        <x:v>TCGplayer + PriceCharting (updated Collection.pdf), researched 2026-08-17</x:v>
      </x:c>
      <x:c r="W664" t="str">
        <x:v>https://www.tcgplayer.com/search/pokemon/product?q=Porygon+Z+74+Plasma+Blast</x:v>
      </x:c>
    </x:row>
    <x:row r="665">
      <x:c r="A665" t="n">
        <x:v>790</x:v>
      </x:c>
      <x:c r="B665" t="str">
        <x:v>PDF Import / Added Cards</x:v>
      </x:c>
      <x:c r="C665" t="str">
        <x:v>Dark Wartortle</x:v>
      </x:c>
      <x:c r="D665" t="str">
        <x:v>46/82</x:v>
      </x:c>
      <x:c r="E665" t="str">
        <x:v>Team Rocket</x:v>
      </x:c>
      <x:c r="F665" t="n">
        <x:v>2000</x:v>
      </x:c>
      <x:c r="G665" t="str">
        <x:v>Regular / default set printing</x:v>
      </x:c>
      <x:c r="H665" t="str">
        <x:v>1 of 1</x:v>
      </x:c>
      <x:c r="I665" t="n">
        <x:v>3.67</x:v>
      </x:c>
      <x:c r="J665" t="n">
        <x:v>13.14</x:v>
      </x:c>
      <x:c r="K665" t="n">
        <x:v>8.405000000000001</x:v>
      </x:c>
      <x:c r="L665" t="str">
        <x:v>$5–20</x:v>
      </x:c>
      <x:c r="M665" t="str">
        <x:v>Yes</x:v>
      </x:c>
      <x:c r="N665" t="str">
        <x:v>No</x:v>
      </x:c>
      <x:c r="O665" t="str">
        <x:v>Yes</x:v>
      </x:c>
      <x:c r="P665" t="str">
        <x:v>Condition not yet reviewed</x:v>
      </x:c>
      <x:c r="Q665" t="n">
        <x:v>3.67</x:v>
      </x:c>
      <x:c r="R665" t="n">
        <x:v>13.14</x:v>
      </x:c>
      <x:c r="S665" t="n">
        <x:v>8.405000000000001</x:v>
      </x:c>
      <x:c r="T665" t="str">
        <x:v>NEW PHYSICAL COPY from Sokalsky7's Collection.pdf page 4. PriceCharting export = $3.67 per card; current TCGplayer market checked at about $13.14. Working range spans those two approved sources.</x:v>
      </x:c>
      <x:c r="U665" t="n">
        <x:v>996</x:v>
      </x:c>
      <x:c r="V665" t="str">
        <x:v>TCGplayer + PriceCharting (updated Collection.pdf), researched 2026-08-17</x:v>
      </x:c>
      <x:c r="W665" t="str">
        <x:v>https://www.tcgplayer.com/search/pokemon/product?q=Dark+Wartortle+46+Team+Rocket</x:v>
      </x:c>
    </x:row>
    <x:row r="666">
      <x:c r="A666" t="n">
        <x:v>791</x:v>
      </x:c>
      <x:c r="B666" t="str">
        <x:v>PDF Import / Added Cards</x:v>
      </x:c>
      <x:c r="C666" t="str">
        <x:v>Grovyle</x:v>
      </x:c>
      <x:c r="D666" t="str">
        <x:v>7/116</x:v>
      </x:c>
      <x:c r="E666" t="str">
        <x:v>Plasma Freeze</x:v>
      </x:c>
      <x:c r="F666" t="n">
        <x:v>2013</x:v>
      </x:c>
      <x:c r="G666" t="str">
        <x:v>Reverse Holo</x:v>
      </x:c>
      <x:c r="H666" t="str">
        <x:v>1 of 1</x:v>
      </x:c>
      <x:c r="I666" t="n">
        <x:v>2.49</x:v>
      </x:c>
      <x:c r="J666" t="n">
        <x:v>2.49</x:v>
      </x:c>
      <x:c r="K666" t="n">
        <x:v>2.49</x:v>
      </x:c>
      <x:c r="L666" t="str">
        <x:v>$1–5</x:v>
      </x:c>
      <x:c r="M666" t="str">
        <x:v>Yes</x:v>
      </x:c>
      <x:c r="N666" t="str">
        <x:v>No</x:v>
      </x:c>
      <x:c r="O666" t="str">
        <x:v>Yes</x:v>
      </x:c>
      <x:c r="P666" t="str">
        <x:v>Condition not yet reviewed</x:v>
      </x:c>
      <x:c r="Q666" t="n">
        <x:v>2.49</x:v>
      </x:c>
      <x:c r="R666" t="n">
        <x:v>2.49</x:v>
      </x:c>
      <x:c r="S666" t="n">
        <x:v>2.49</x:v>
      </x:c>
      <x:c r="T666" t="str">
        <x:v>NEW PHYSICAL COPY from Sokalsky7's Collection.pdf page 4. Temporary raw benchmark = PriceCharting export allocation $2.49; exact TCGplayer market was not independently resolved in this add-pass.</x:v>
      </x:c>
      <x:c r="U666" t="n">
        <x:v>996</x:v>
      </x:c>
      <x:c r="V666" t="str">
        <x:v>PriceCharting updated Collection.pdf; TCGplayer exact reprice pending</x:v>
      </x:c>
      <x:c r="W666" t="str">
        <x:v>https://www.tcgplayer.com/search/pokemon/product?q=Grovyle+7+Plasma+Freeze</x:v>
      </x:c>
    </x:row>
    <x:row r="667">
      <x:c r="A667" t="n">
        <x:v>792</x:v>
      </x:c>
      <x:c r="B667" t="str">
        <x:v>PDF Import / Added Cards</x:v>
      </x:c>
      <x:c r="C667" t="str">
        <x:v>Servine</x:v>
      </x:c>
      <x:c r="D667" t="str">
        <x:v>4/114</x:v>
      </x:c>
      <x:c r="E667" t="str">
        <x:v>Black &amp; White</x:v>
      </x:c>
      <x:c r="F667" t="n">
        <x:v>2011</x:v>
      </x:c>
      <x:c r="G667" t="str">
        <x:v>Reverse Holo</x:v>
      </x:c>
      <x:c r="H667" t="str">
        <x:v>1 of 1</x:v>
      </x:c>
      <x:c r="I667" t="n">
        <x:v>2.67</x:v>
      </x:c>
      <x:c r="J667" t="n">
        <x:v>3.49</x:v>
      </x:c>
      <x:c r="K667" t="n">
        <x:v>3.08</x:v>
      </x:c>
      <x:c r="L667" t="str">
        <x:v>$1–5</x:v>
      </x:c>
      <x:c r="M667" t="str">
        <x:v>Yes</x:v>
      </x:c>
      <x:c r="N667" t="str">
        <x:v>No</x:v>
      </x:c>
      <x:c r="O667" t="str">
        <x:v>Yes</x:v>
      </x:c>
      <x:c r="P667" t="str">
        <x:v>Condition not yet reviewed</x:v>
      </x:c>
      <x:c r="Q667" t="n">
        <x:v>2.67</x:v>
      </x:c>
      <x:c r="R667" t="n">
        <x:v>3.49</x:v>
      </x:c>
      <x:c r="S667" t="n">
        <x:v>3.08</x:v>
      </x:c>
      <x:c r="T667" t="str">
        <x:v>NEW PHYSICAL COPY from Sokalsky7's Collection.pdf page 4. PriceCharting export = $3.49 per card; current TCGplayer market checked at about $2.67. Working range spans those two approved sources.</x:v>
      </x:c>
      <x:c r="U667" t="n">
        <x:v>996</x:v>
      </x:c>
      <x:c r="V667" t="str">
        <x:v>TCGplayer + PriceCharting (updated Collection.pdf), researched 2026-08-17</x:v>
      </x:c>
      <x:c r="W667" t="str">
        <x:v>https://www.tcgplayer.com/search/pokemon/product?q=Servine+4+Black+White</x:v>
      </x:c>
    </x:row>
    <x:row r="668">
      <x:c r="A668" t="n">
        <x:v>793</x:v>
      </x:c>
      <x:c r="B668" t="str">
        <x:v>PDF Import / Added Cards</x:v>
      </x:c>
      <x:c r="C668" t="str">
        <x:v>Vileplume</x:v>
      </x:c>
      <x:c r="D668" t="str">
        <x:v>45/146</x:v>
      </x:c>
      <x:c r="E668" t="str">
        <x:v>Legends Awakened</x:v>
      </x:c>
      <x:c r="F668" t="n">
        <x:v>2008</x:v>
      </x:c>
      <x:c r="G668" t="str">
        <x:v>Reverse Holo</x:v>
      </x:c>
      <x:c r="H668" t="str">
        <x:v>1 of 1</x:v>
      </x:c>
      <x:c r="I668" t="n">
        <x:v>3.8</x:v>
      </x:c>
      <x:c r="J668" t="n">
        <x:v>3.8</x:v>
      </x:c>
      <x:c r="K668" t="n">
        <x:v>3.8</x:v>
      </x:c>
      <x:c r="L668" t="str">
        <x:v>$1–5</x:v>
      </x:c>
      <x:c r="M668" t="str">
        <x:v>Yes</x:v>
      </x:c>
      <x:c r="N668" t="str">
        <x:v>No</x:v>
      </x:c>
      <x:c r="O668" t="str">
        <x:v>Yes</x:v>
      </x:c>
      <x:c r="P668" t="str">
        <x:v>Condition not yet reviewed</x:v>
      </x:c>
      <x:c r="Q668" t="n">
        <x:v>3.8</x:v>
      </x:c>
      <x:c r="R668" t="n">
        <x:v>3.8</x:v>
      </x:c>
      <x:c r="S668" t="n">
        <x:v>3.8</x:v>
      </x:c>
      <x:c r="T668" t="str">
        <x:v>NEW PHYSICAL COPY from Sokalsky7's Collection.pdf page 4. Temporary raw benchmark = PriceCharting export allocation $3.80; exact TCGplayer market was not independently resolved in this add-pass.</x:v>
      </x:c>
      <x:c r="U668" t="n">
        <x:v>996</x:v>
      </x:c>
      <x:c r="V668" t="str">
        <x:v>PriceCharting updated Collection.pdf; TCGplayer exact reprice pending</x:v>
      </x:c>
      <x:c r="W668" t="str">
        <x:v>https://www.tcgplayer.com/search/pokemon/product?q=Vileplume+45+Legends+Awakened</x:v>
      </x:c>
    </x:row>
    <x:row r="669">
      <x:c r="A669" t="n">
        <x:v>794</x:v>
      </x:c>
      <x:c r="B669" t="str">
        <x:v>PDF Import / Added Cards</x:v>
      </x:c>
      <x:c r="C669" t="str">
        <x:v>Serperior</x:v>
      </x:c>
      <x:c r="D669" t="str">
        <x:v>5/114</x:v>
      </x:c>
      <x:c r="E669" t="str">
        <x:v>Black &amp; White</x:v>
      </x:c>
      <x:c r="F669" t="n">
        <x:v>2011</x:v>
      </x:c>
      <x:c r="G669" t="str">
        <x:v>Reverse Holo</x:v>
      </x:c>
      <x:c r="H669" t="str">
        <x:v>1 of 1</x:v>
      </x:c>
      <x:c r="I669" t="n">
        <x:v>3.74</x:v>
      </x:c>
      <x:c r="J669" t="n">
        <x:v>5.47</x:v>
      </x:c>
      <x:c r="K669" t="n">
        <x:v>4.605</x:v>
      </x:c>
      <x:c r="L669" t="str">
        <x:v>$1–5</x:v>
      </x:c>
      <x:c r="M669" t="str">
        <x:v>Yes</x:v>
      </x:c>
      <x:c r="N669" t="str">
        <x:v>No</x:v>
      </x:c>
      <x:c r="O669" t="str">
        <x:v>Yes</x:v>
      </x:c>
      <x:c r="P669" t="str">
        <x:v>Condition not yet reviewed</x:v>
      </x:c>
      <x:c r="Q669" t="n">
        <x:v>3.74</x:v>
      </x:c>
      <x:c r="R669" t="n">
        <x:v>5.47</x:v>
      </x:c>
      <x:c r="S669" t="n">
        <x:v>4.605</x:v>
      </x:c>
      <x:c r="T669" t="str">
        <x:v>NEW PHYSICAL COPY from Sokalsky7's Collection.pdf page 4. PriceCharting export = $3.74 per card; current TCGplayer market checked at about $5.47. Working range spans those two approved sources.</x:v>
      </x:c>
      <x:c r="U669" t="n">
        <x:v>996</x:v>
      </x:c>
      <x:c r="V669" t="str">
        <x:v>TCGplayer + PriceCharting (updated Collection.pdf), researched 2026-08-17</x:v>
      </x:c>
      <x:c r="W669" t="str">
        <x:v>https://www.tcgplayer.com/search/pokemon/product?q=Serperior+5+Black+White</x:v>
      </x:c>
    </x:row>
    <x:row r="670">
      <x:c r="A670" t="n">
        <x:v>795</x:v>
      </x:c>
      <x:c r="B670" t="str">
        <x:v>PDF Import / Added Cards</x:v>
      </x:c>
      <x:c r="C670" t="str">
        <x:v>Servine</x:v>
      </x:c>
      <x:c r="D670" t="str">
        <x:v>3/114</x:v>
      </x:c>
      <x:c r="E670" t="str">
        <x:v>Black &amp; White</x:v>
      </x:c>
      <x:c r="F670" t="n">
        <x:v>2011</x:v>
      </x:c>
      <x:c r="G670" t="str">
        <x:v>Reverse Holo</x:v>
      </x:c>
      <x:c r="H670" t="str">
        <x:v>1 of 1</x:v>
      </x:c>
      <x:c r="I670" t="n">
        <x:v>2.45</x:v>
      </x:c>
      <x:c r="J670" t="n">
        <x:v>2.99</x:v>
      </x:c>
      <x:c r="K670" t="n">
        <x:v>2.72</x:v>
      </x:c>
      <x:c r="L670" t="str">
        <x:v>$1–5</x:v>
      </x:c>
      <x:c r="M670" t="str">
        <x:v>Yes</x:v>
      </x:c>
      <x:c r="N670" t="str">
        <x:v>No</x:v>
      </x:c>
      <x:c r="O670" t="str">
        <x:v>Yes</x:v>
      </x:c>
      <x:c r="P670" t="str">
        <x:v>Condition not yet reviewed</x:v>
      </x:c>
      <x:c r="Q670" t="n">
        <x:v>2.45</x:v>
      </x:c>
      <x:c r="R670" t="n">
        <x:v>2.99</x:v>
      </x:c>
      <x:c r="S670" t="n">
        <x:v>2.72</x:v>
      </x:c>
      <x:c r="T670" t="str">
        <x:v>NEW PHYSICAL COPY from Sokalsky7's Collection.pdf page 4. PriceCharting export = $2.99 per card; current TCGplayer market checked at about $2.45. Working range spans those two approved sources.</x:v>
      </x:c>
      <x:c r="U670" t="n">
        <x:v>996</x:v>
      </x:c>
      <x:c r="V670" t="str">
        <x:v>TCGplayer + PriceCharting (updated Collection.pdf), researched 2026-08-17</x:v>
      </x:c>
      <x:c r="W670" t="str">
        <x:v>https://www.tcgplayer.com/search/pokemon/product?q=Servine+3+Black+White</x:v>
      </x:c>
    </x:row>
    <x:row r="671">
      <x:c r="A671" t="n">
        <x:v>796</x:v>
      </x:c>
      <x:c r="B671" t="str">
        <x:v>PDF Import / Added Cards</x:v>
      </x:c>
      <x:c r="C671" t="str">
        <x:v>Keldeo</x:v>
      </x:c>
      <x:c r="D671" t="str">
        <x:v>47/149</x:v>
      </x:c>
      <x:c r="E671" t="str">
        <x:v>Boundaries Crossed</x:v>
      </x:c>
      <x:c r="F671" t="n">
        <x:v>2012</x:v>
      </x:c>
      <x:c r="G671" t="str">
        <x:v>Reverse Holo</x:v>
      </x:c>
      <x:c r="H671" t="str">
        <x:v>1 of 1</x:v>
      </x:c>
      <x:c r="I671" t="n">
        <x:v>3.82</x:v>
      </x:c>
      <x:c r="J671" t="n">
        <x:v>3.82</x:v>
      </x:c>
      <x:c r="K671" t="n">
        <x:v>3.82</x:v>
      </x:c>
      <x:c r="L671" t="str">
        <x:v>$1–5</x:v>
      </x:c>
      <x:c r="M671" t="str">
        <x:v>Yes</x:v>
      </x:c>
      <x:c r="N671" t="str">
        <x:v>No</x:v>
      </x:c>
      <x:c r="O671" t="str">
        <x:v>Yes</x:v>
      </x:c>
      <x:c r="P671" t="str">
        <x:v>Condition not yet reviewed</x:v>
      </x:c>
      <x:c r="Q671" t="n">
        <x:v>3.82</x:v>
      </x:c>
      <x:c r="R671" t="n">
        <x:v>3.82</x:v>
      </x:c>
      <x:c r="S671" t="n">
        <x:v>3.82</x:v>
      </x:c>
      <x:c r="T671" t="str">
        <x:v>NEW PHYSICAL COPY from Sokalsky7's Collection.pdf page 5. Temporary raw benchmark = PriceCharting export allocation $3.82; exact TCGplayer market was not independently resolved in this add-pass.</x:v>
      </x:c>
      <x:c r="U671" t="n">
        <x:v>996</x:v>
      </x:c>
      <x:c r="V671" t="str">
        <x:v>PriceCharting updated Collection.pdf; TCGplayer exact reprice pending</x:v>
      </x:c>
      <x:c r="W671" t="str">
        <x:v>https://www.tcgplayer.com/search/pokemon/product?q=Keldeo+47+Boundaries+Crossed</x:v>
      </x:c>
    </x:row>
    <x:row r="672">
      <x:c r="A672" t="n">
        <x:v>797</x:v>
      </x:c>
      <x:c r="B672" t="str">
        <x:v>PDF Import / Added Cards</x:v>
      </x:c>
      <x:c r="C672" t="str">
        <x:v>Regigigas</x:v>
      </x:c>
      <x:c r="D672" t="str">
        <x:v>37/146</x:v>
      </x:c>
      <x:c r="E672" t="str">
        <x:v>Legends Awakened</x:v>
      </x:c>
      <x:c r="F672" t="n">
        <x:v>2008</x:v>
      </x:c>
      <x:c r="G672" t="str">
        <x:v>Cosmos Holo</x:v>
      </x:c>
      <x:c r="H672" t="str">
        <x:v>1 of 1</x:v>
      </x:c>
      <x:c r="I672" t="n">
        <x:v>3.96</x:v>
      </x:c>
      <x:c r="J672" t="n">
        <x:v>3.96</x:v>
      </x:c>
      <x:c r="K672" t="n">
        <x:v>3.96</x:v>
      </x:c>
      <x:c r="L672" t="str">
        <x:v>$1–5</x:v>
      </x:c>
      <x:c r="M672" t="str">
        <x:v>Yes</x:v>
      </x:c>
      <x:c r="N672" t="str">
        <x:v>No</x:v>
      </x:c>
      <x:c r="O672" t="str">
        <x:v>Yes</x:v>
      </x:c>
      <x:c r="P672" t="str">
        <x:v>Condition not yet reviewed</x:v>
      </x:c>
      <x:c r="Q672" t="n">
        <x:v>3.96</x:v>
      </x:c>
      <x:c r="R672" t="n">
        <x:v>3.96</x:v>
      </x:c>
      <x:c r="S672" t="n">
        <x:v>3.96</x:v>
      </x:c>
      <x:c r="T672" t="str">
        <x:v>NEW PHYSICAL COPY from Sokalsky7's Collection.pdf page 5. Temporary raw benchmark = PriceCharting export allocation $3.96; exact TCGplayer market was not independently resolved in this add-pass.</x:v>
      </x:c>
      <x:c r="U672" t="n">
        <x:v>996</x:v>
      </x:c>
      <x:c r="V672" t="str">
        <x:v>PriceCharting updated Collection.pdf; TCGplayer exact reprice pending</x:v>
      </x:c>
      <x:c r="W672" t="str">
        <x:v>https://www.tcgplayer.com/search/pokemon/product?q=Regigigas+37+Legends+Awakened</x:v>
      </x:c>
    </x:row>
    <x:row r="673">
      <x:c r="A673" t="n">
        <x:v>798</x:v>
      </x:c>
      <x:c r="B673" t="str">
        <x:v>PDF Import / Added Cards</x:v>
      </x:c>
      <x:c r="C673" t="str">
        <x:v>Hydreigon</x:v>
      </x:c>
      <x:c r="D673" t="str">
        <x:v>78/116</x:v>
      </x:c>
      <x:c r="E673" t="str">
        <x:v>Plasma Freeze</x:v>
      </x:c>
      <x:c r="F673" t="n">
        <x:v>2013</x:v>
      </x:c>
      <x:c r="G673" t="str">
        <x:v>Holo Rare (Team Plasma)</x:v>
      </x:c>
      <x:c r="H673" t="str">
        <x:v>1 of 1</x:v>
      </x:c>
      <x:c r="I673" t="n">
        <x:v>7.31</x:v>
      </x:c>
      <x:c r="J673" t="n">
        <x:v>8.69</x:v>
      </x:c>
      <x:c r="K673" t="n">
        <x:v>8</x:v>
      </x:c>
      <x:c r="L673" t="str">
        <x:v>$5–20</x:v>
      </x:c>
      <x:c r="M673" t="str">
        <x:v>Yes</x:v>
      </x:c>
      <x:c r="N673" t="str">
        <x:v>No</x:v>
      </x:c>
      <x:c r="O673" t="str">
        <x:v>Yes</x:v>
      </x:c>
      <x:c r="P673" t="str">
        <x:v>Condition not yet reviewed</x:v>
      </x:c>
      <x:c r="Q673" t="n">
        <x:v>7.31</x:v>
      </x:c>
      <x:c r="R673" t="n">
        <x:v>8.69</x:v>
      </x:c>
      <x:c r="S673" t="n">
        <x:v>8</x:v>
      </x:c>
      <x:c r="T673" t="str">
        <x:v>NEW PHYSICAL COPY from Sokalsky7's Collection.pdf page 5. PriceCharting export = $8.69 per card; current TCGplayer market checked at about $7.31. Working range spans those two approved sources.</x:v>
      </x:c>
      <x:c r="U673" t="n">
        <x:v>996</x:v>
      </x:c>
      <x:c r="V673" t="str">
        <x:v>TCGplayer + PriceCharting (updated Collection.pdf), researched 2026-08-17</x:v>
      </x:c>
      <x:c r="W673" t="str">
        <x:v>https://www.tcgplayer.com/search/pokemon/product?q=Hydreigon+78+Plasma+Freeze</x:v>
      </x:c>
    </x:row>
    <x:row r="674">
      <x:c r="A674" t="n">
        <x:v>799</x:v>
      </x:c>
      <x:c r="B674" t="str">
        <x:v>PDF Import / Added Cards</x:v>
      </x:c>
      <x:c r="C674" t="str">
        <x:v>Articuno</x:v>
      </x:c>
      <x:c r="D674" t="str">
        <x:v>27/99</x:v>
      </x:c>
      <x:c r="E674" t="str">
        <x:v>Next Destinies</x:v>
      </x:c>
      <x:c r="F674" t="n">
        <x:v>2012</x:v>
      </x:c>
      <x:c r="G674" t="str">
        <x:v>Reverse Holo</x:v>
      </x:c>
      <x:c r="H674" t="str">
        <x:v>1 of 1</x:v>
      </x:c>
      <x:c r="I674" t="n">
        <x:v>8.12</x:v>
      </x:c>
      <x:c r="J674" t="n">
        <x:v>8.12</x:v>
      </x:c>
      <x:c r="K674" t="n">
        <x:v>8.12</x:v>
      </x:c>
      <x:c r="L674" t="str">
        <x:v>$5–20</x:v>
      </x:c>
      <x:c r="M674" t="str">
        <x:v>Yes</x:v>
      </x:c>
      <x:c r="N674" t="str">
        <x:v>No</x:v>
      </x:c>
      <x:c r="O674" t="str">
        <x:v>Yes</x:v>
      </x:c>
      <x:c r="P674" t="str">
        <x:v>Condition not yet reviewed</x:v>
      </x:c>
      <x:c r="Q674" t="n">
        <x:v>8.12</x:v>
      </x:c>
      <x:c r="R674" t="n">
        <x:v>8.12</x:v>
      </x:c>
      <x:c r="S674" t="n">
        <x:v>8.12</x:v>
      </x:c>
      <x:c r="T674" t="str">
        <x:v>NEW PHYSICAL COPY from Sokalsky7's Collection.pdf page 5. Temporary raw benchmark = PriceCharting export allocation $8.12; exact TCGplayer market was not independently resolved in this add-pass.</x:v>
      </x:c>
      <x:c r="U674" t="n">
        <x:v>996</x:v>
      </x:c>
      <x:c r="V674" t="str">
        <x:v>PriceCharting updated Collection.pdf; TCGplayer exact reprice pending</x:v>
      </x:c>
      <x:c r="W674" t="str">
        <x:v>https://www.tcgplayer.com/search/pokemon/product?q=Articuno+27+Next+Destinies</x:v>
      </x:c>
    </x:row>
    <x:row r="675">
      <x:c r="A675" t="n">
        <x:v>800</x:v>
      </x:c>
      <x:c r="B675" t="str">
        <x:v>PDF Import / Added Cards</x:v>
      </x:c>
      <x:c r="C675" t="str">
        <x:v>Beartic</x:v>
      </x:c>
      <x:c r="D675" t="str">
        <x:v>30/98</x:v>
      </x:c>
      <x:c r="E675" t="str">
        <x:v>Emerging Powers</x:v>
      </x:c>
      <x:c r="F675" t="n">
        <x:v>2011</x:v>
      </x:c>
      <x:c r="G675" t="str">
        <x:v>Reverse Holo</x:v>
      </x:c>
      <x:c r="H675" t="str">
        <x:v>1 of 1</x:v>
      </x:c>
      <x:c r="I675" t="n">
        <x:v>2.01</x:v>
      </x:c>
      <x:c r="J675" t="n">
        <x:v>2.01</x:v>
      </x:c>
      <x:c r="K675" t="n">
        <x:v>2.01</x:v>
      </x:c>
      <x:c r="L675" t="str">
        <x:v>$1–5</x:v>
      </x:c>
      <x:c r="M675" t="str">
        <x:v>Yes</x:v>
      </x:c>
      <x:c r="N675" t="str">
        <x:v>No</x:v>
      </x:c>
      <x:c r="O675" t="str">
        <x:v>Yes</x:v>
      </x:c>
      <x:c r="P675" t="str">
        <x:v>Condition not yet reviewed</x:v>
      </x:c>
      <x:c r="Q675" t="n">
        <x:v>2.01</x:v>
      </x:c>
      <x:c r="R675" t="n">
        <x:v>2.01</x:v>
      </x:c>
      <x:c r="S675" t="n">
        <x:v>2.01</x:v>
      </x:c>
      <x:c r="T675" t="str">
        <x:v>NEW PHYSICAL COPY from Sokalsky7's Collection.pdf page 5. Temporary raw benchmark = PriceCharting export allocation $2.01; exact TCGplayer market was not independently resolved in this add-pass.</x:v>
      </x:c>
      <x:c r="U675" t="n">
        <x:v>996</x:v>
      </x:c>
      <x:c r="V675" t="str">
        <x:v>PriceCharting updated Collection.pdf; TCGplayer exact reprice pending</x:v>
      </x:c>
      <x:c r="W675" t="str">
        <x:v>https://www.tcgplayer.com/search/pokemon/product?q=Beartic+30+Emerging+Powers</x:v>
      </x:c>
    </x:row>
    <x:row r="676">
      <x:c r="A676" t="n">
        <x:v>801</x:v>
      </x:c>
      <x:c r="B676" t="str">
        <x:v>PDF Import / Added Cards</x:v>
      </x:c>
      <x:c r="C676" t="str">
        <x:v>Beartic</x:v>
      </x:c>
      <x:c r="D676" t="str">
        <x:v>30/98</x:v>
      </x:c>
      <x:c r="E676" t="str">
        <x:v>Emerging Powers</x:v>
      </x:c>
      <x:c r="F676" t="n">
        <x:v>2011</x:v>
      </x:c>
      <x:c r="G676" t="str">
        <x:v>Cracked Ice Holo</x:v>
      </x:c>
      <x:c r="H676" t="str">
        <x:v>1 of 1</x:v>
      </x:c>
      <x:c r="I676" t="n">
        <x:v>5.24</x:v>
      </x:c>
      <x:c r="J676" t="n">
        <x:v>5.24</x:v>
      </x:c>
      <x:c r="K676" t="n">
        <x:v>5.24</x:v>
      </x:c>
      <x:c r="L676" t="str">
        <x:v>$5–20</x:v>
      </x:c>
      <x:c r="M676" t="str">
        <x:v>Yes</x:v>
      </x:c>
      <x:c r="N676" t="str">
        <x:v>No</x:v>
      </x:c>
      <x:c r="O676" t="str">
        <x:v>Yes</x:v>
      </x:c>
      <x:c r="P676" t="str">
        <x:v>Condition not yet reviewed</x:v>
      </x:c>
      <x:c r="Q676" t="n">
        <x:v>5.24</x:v>
      </x:c>
      <x:c r="R676" t="n">
        <x:v>5.24</x:v>
      </x:c>
      <x:c r="S676" t="n">
        <x:v>5.24</x:v>
      </x:c>
      <x:c r="T676" t="str">
        <x:v>NEW PHYSICAL COPY from Sokalsky7's Collection.pdf page 5. Temporary raw benchmark = PriceCharting export allocation $5.24; exact TCGplayer market was not independently resolved in this add-pass.</x:v>
      </x:c>
      <x:c r="U676" t="n">
        <x:v>996</x:v>
      </x:c>
      <x:c r="V676" t="str">
        <x:v>PriceCharting updated Collection.pdf; TCGplayer exact reprice pending</x:v>
      </x:c>
      <x:c r="W676" t="str">
        <x:v>https://www.tcgplayer.com/search/pokemon/product?q=Beartic+30+Emerging+Powers</x:v>
      </x:c>
    </x:row>
    <x:row r="677">
      <x:c r="A677" t="n">
        <x:v>802</x:v>
      </x:c>
      <x:c r="B677" t="str">
        <x:v>PDF Import / Added Cards</x:v>
      </x:c>
      <x:c r="C677" t="str">
        <x:v>Kyurem</x:v>
      </x:c>
      <x:c r="D677" t="str">
        <x:v>BW44</x:v>
      </x:c>
      <x:c r="E677" t="str">
        <x:v>Black &amp; White Promos</x:v>
      </x:c>
      <x:c r="F677"/>
      <x:c r="G677" t="str">
        <x:v>Holo Promo</x:v>
      </x:c>
      <x:c r="H677" t="str">
        <x:v>1 of 1</x:v>
      </x:c>
      <x:c r="I677" t="n">
        <x:v>6.58</x:v>
      </x:c>
      <x:c r="J677" t="n">
        <x:v>6.58</x:v>
      </x:c>
      <x:c r="K677" t="n">
        <x:v>6.58</x:v>
      </x:c>
      <x:c r="L677" t="str">
        <x:v>$5–20</x:v>
      </x:c>
      <x:c r="M677" t="str">
        <x:v>Yes</x:v>
      </x:c>
      <x:c r="N677" t="str">
        <x:v>No</x:v>
      </x:c>
      <x:c r="O677" t="str">
        <x:v>Yes</x:v>
      </x:c>
      <x:c r="P677" t="str">
        <x:v>Condition not yet reviewed</x:v>
      </x:c>
      <x:c r="Q677" t="n">
        <x:v>6.58</x:v>
      </x:c>
      <x:c r="R677" t="n">
        <x:v>6.58</x:v>
      </x:c>
      <x:c r="S677" t="n">
        <x:v>6.58</x:v>
      </x:c>
      <x:c r="T677" t="str">
        <x:v>NEW PHYSICAL COPY from Sokalsky7's Collection.pdf page 6. Temporary raw benchmark = PriceCharting export allocation $6.58; exact TCGplayer market was not independently resolved in this add-pass.</x:v>
      </x:c>
      <x:c r="U677" t="n">
        <x:v>996</x:v>
      </x:c>
      <x:c r="V677" t="str">
        <x:v>PriceCharting updated Collection.pdf; TCGplayer exact reprice pending</x:v>
      </x:c>
      <x:c r="W677" t="str">
        <x:v>https://www.tcgplayer.com/search/pokemon/product?q=Kyurem+BW44+Promo</x:v>
      </x:c>
    </x:row>
    <x:row r="678">
      <x:c r="A678" t="n">
        <x:v>803</x:v>
      </x:c>
      <x:c r="B678" t="str">
        <x:v>PDF Import / Added Cards</x:v>
      </x:c>
      <x:c r="C678" t="str">
        <x:v>Samurott</x:v>
      </x:c>
      <x:c r="D678" t="str">
        <x:v>41/149</x:v>
      </x:c>
      <x:c r="E678" t="str">
        <x:v>Boundaries Crossed</x:v>
      </x:c>
      <x:c r="F678" t="n">
        <x:v>2012</x:v>
      </x:c>
      <x:c r="G678" t="str">
        <x:v>Non-Holo Deck Exclusive</x:v>
      </x:c>
      <x:c r="H678" t="str">
        <x:v>1 of 1</x:v>
      </x:c>
      <x:c r="I678" t="n">
        <x:v>1.02</x:v>
      </x:c>
      <x:c r="J678" t="n">
        <x:v>1.02</x:v>
      </x:c>
      <x:c r="K678" t="n">
        <x:v>1.02</x:v>
      </x:c>
      <x:c r="L678" t="str">
        <x:v>$1–5</x:v>
      </x:c>
      <x:c r="M678" t="str">
        <x:v>Yes</x:v>
      </x:c>
      <x:c r="N678" t="str">
        <x:v>No</x:v>
      </x:c>
      <x:c r="O678" t="str">
        <x:v>Yes</x:v>
      </x:c>
      <x:c r="P678" t="str">
        <x:v>Condition not yet reviewed</x:v>
      </x:c>
      <x:c r="Q678" t="n">
        <x:v>1.02</x:v>
      </x:c>
      <x:c r="R678" t="n">
        <x:v>1.02</x:v>
      </x:c>
      <x:c r="S678" t="n">
        <x:v>1.02</x:v>
      </x:c>
      <x:c r="T678" t="str">
        <x:v>NEW PHYSICAL COPY from Sokalsky7's Collection.pdf page 6. Temporary raw benchmark = PriceCharting export allocation $1.02; exact TCGplayer market was not independently resolved in this add-pass.</x:v>
      </x:c>
      <x:c r="U678" t="n">
        <x:v>996</x:v>
      </x:c>
      <x:c r="V678" t="str">
        <x:v>PriceCharting updated Collection.pdf; TCGplayer exact reprice pending</x:v>
      </x:c>
      <x:c r="W678" t="str">
        <x:v>https://www.tcgplayer.com/search/pokemon/product?q=Samurott+41+Boundaries+Crossed</x:v>
      </x:c>
    </x:row>
    <x:row r="679">
      <x:c r="A679" t="n">
        <x:v>804</x:v>
      </x:c>
      <x:c r="B679" t="str">
        <x:v>PDF Import / Added Cards</x:v>
      </x:c>
      <x:c r="C679" t="str">
        <x:v>Misty's Seel</x:v>
      </x:c>
      <x:c r="D679" t="str">
        <x:v>88/132</x:v>
      </x:c>
      <x:c r="E679" t="str">
        <x:v>Gym Heroes</x:v>
      </x:c>
      <x:c r="F679" t="n">
        <x:v>2000</x:v>
      </x:c>
      <x:c r="G679" t="str">
        <x:v>Regular / default set printing</x:v>
      </x:c>
      <x:c r="H679" t="str">
        <x:v>1 of 1</x:v>
      </x:c>
      <x:c r="I679" t="n">
        <x:v>1.67</x:v>
      </x:c>
      <x:c r="J679" t="n">
        <x:v>3.22</x:v>
      </x:c>
      <x:c r="K679" t="n">
        <x:v>2.4450000000000003</x:v>
      </x:c>
      <x:c r="L679" t="str">
        <x:v>$1–5</x:v>
      </x:c>
      <x:c r="M679" t="str">
        <x:v>Yes</x:v>
      </x:c>
      <x:c r="N679" t="str">
        <x:v>No</x:v>
      </x:c>
      <x:c r="O679" t="str">
        <x:v>Yes</x:v>
      </x:c>
      <x:c r="P679" t="str">
        <x:v>Condition not yet reviewed</x:v>
      </x:c>
      <x:c r="Q679" t="n">
        <x:v>1.67</x:v>
      </x:c>
      <x:c r="R679" t="n">
        <x:v>3.22</x:v>
      </x:c>
      <x:c r="S679" t="n">
        <x:v>2.4450000000000003</x:v>
      </x:c>
      <x:c r="T679" t="str">
        <x:v>NEW PHYSICAL COPY from Sokalsky7's Collection.pdf page 6. PriceCharting export = $1.67 per card; current TCGplayer market checked at about $3.22. Working range spans those two approved sources.</x:v>
      </x:c>
      <x:c r="U679" t="n">
        <x:v>996</x:v>
      </x:c>
      <x:c r="V679" t="str">
        <x:v>TCGplayer + PriceCharting (updated Collection.pdf), researched 2026-08-17</x:v>
      </x:c>
      <x:c r="W679" t="str">
        <x:v>https://www.tcgplayer.com/search/pokemon/product?q=Misty+s+Seel+88+Gym+Heroes</x:v>
      </x:c>
    </x:row>
    <x:row r="680">
      <x:c r="A680" t="n">
        <x:v>805</x:v>
      </x:c>
      <x:c r="B680" t="str">
        <x:v>PDF Import / Added Cards</x:v>
      </x:c>
      <x:c r="C680" t="str">
        <x:v>Mudkip</x:v>
      </x:c>
      <x:c r="D680" t="str">
        <x:v>116/147</x:v>
      </x:c>
      <x:c r="E680" t="str">
        <x:v>Supreme Victors</x:v>
      </x:c>
      <x:c r="F680" t="n">
        <x:v>2009</x:v>
      </x:c>
      <x:c r="G680" t="str">
        <x:v>Regular / default set printing</x:v>
      </x:c>
      <x:c r="H680" t="str">
        <x:v>1 of 1</x:v>
      </x:c>
      <x:c r="I680" t="n">
        <x:v>2.68</x:v>
      </x:c>
      <x:c r="J680" t="n">
        <x:v>2.99</x:v>
      </x:c>
      <x:c r="K680" t="n">
        <x:v>2.835</x:v>
      </x:c>
      <x:c r="L680" t="str">
        <x:v>$1–5</x:v>
      </x:c>
      <x:c r="M680" t="str">
        <x:v>Yes</x:v>
      </x:c>
      <x:c r="N680" t="str">
        <x:v>No</x:v>
      </x:c>
      <x:c r="O680" t="str">
        <x:v>Yes</x:v>
      </x:c>
      <x:c r="P680" t="str">
        <x:v>Condition not yet reviewed</x:v>
      </x:c>
      <x:c r="Q680" t="n">
        <x:v>2.68</x:v>
      </x:c>
      <x:c r="R680" t="n">
        <x:v>2.99</x:v>
      </x:c>
      <x:c r="S680" t="n">
        <x:v>2.835</x:v>
      </x:c>
      <x:c r="T680" t="str">
        <x:v>NEW PHYSICAL COPY from Sokalsky7's Collection.pdf page 6. PriceCharting export = $2.68 per card; current TCGplayer market checked at about $2.99. Working range spans those two approved sources.</x:v>
      </x:c>
      <x:c r="U680" t="n">
        <x:v>996</x:v>
      </x:c>
      <x:c r="V680" t="str">
        <x:v>TCGplayer + PriceCharting (updated Collection.pdf), researched 2026-08-17</x:v>
      </x:c>
      <x:c r="W680" t="str">
        <x:v>https://www.tcgplayer.com/search/pokemon/product?q=Mudkip+116+Supreme+Victors</x:v>
      </x:c>
    </x:row>
    <x:row r="681">
      <x:c r="A681" t="n">
        <x:v>806</x:v>
      </x:c>
      <x:c r="B681" t="str">
        <x:v>PDF Import / Added Cards</x:v>
      </x:c>
      <x:c r="C681" t="str">
        <x:v>Wooper</x:v>
      </x:c>
      <x:c r="D681" t="str">
        <x:v>71/75</x:v>
      </x:c>
      <x:c r="E681" t="str">
        <x:v>Neo Discovery</x:v>
      </x:c>
      <x:c r="F681" t="n">
        <x:v>2001</x:v>
      </x:c>
      <x:c r="G681" t="str">
        <x:v>Regular / default set printing</x:v>
      </x:c>
      <x:c r="H681" t="str">
        <x:v>1 of 1</x:v>
      </x:c>
      <x:c r="I681" t="n">
        <x:v>2.08</x:v>
      </x:c>
      <x:c r="J681" t="n">
        <x:v>2.08</x:v>
      </x:c>
      <x:c r="K681" t="n">
        <x:v>2.08</x:v>
      </x:c>
      <x:c r="L681" t="str">
        <x:v>$1–5</x:v>
      </x:c>
      <x:c r="M681" t="str">
        <x:v>Yes</x:v>
      </x:c>
      <x:c r="N681" t="str">
        <x:v>No</x:v>
      </x:c>
      <x:c r="O681" t="str">
        <x:v>Yes</x:v>
      </x:c>
      <x:c r="P681" t="str">
        <x:v>Condition not yet reviewed</x:v>
      </x:c>
      <x:c r="Q681" t="n">
        <x:v>2.08</x:v>
      </x:c>
      <x:c r="R681" t="n">
        <x:v>2.08</x:v>
      </x:c>
      <x:c r="S681" t="n">
        <x:v>2.08</x:v>
      </x:c>
      <x:c r="T681" t="str">
        <x:v>NEW PHYSICAL COPY from Sokalsky7's Collection.pdf page 6. Temporary raw benchmark = PriceCharting export allocation $2.08; exact TCGplayer market was not independently resolved in this add-pass.</x:v>
      </x:c>
      <x:c r="U681" t="n">
        <x:v>996</x:v>
      </x:c>
      <x:c r="V681" t="str">
        <x:v>PriceCharting updated Collection.pdf; TCGplayer exact reprice pending</x:v>
      </x:c>
      <x:c r="W681" t="str">
        <x:v>https://www.tcgplayer.com/search/pokemon/product?q=Wooper+71+Neo+Discovery</x:v>
      </x:c>
    </x:row>
    <x:row r="682">
      <x:c r="A682" t="n">
        <x:v>807</x:v>
      </x:c>
      <x:c r="B682" t="str">
        <x:v>PDF Import / Added Cards</x:v>
      </x:c>
      <x:c r="C682" t="str">
        <x:v>Marshtomp</x:v>
      </x:c>
      <x:c r="D682" t="str">
        <x:v>67/147</x:v>
      </x:c>
      <x:c r="E682" t="str">
        <x:v>Supreme Victors</x:v>
      </x:c>
      <x:c r="F682" t="n">
        <x:v>2009</x:v>
      </x:c>
      <x:c r="G682" t="str">
        <x:v>Regular / default set printing</x:v>
      </x:c>
      <x:c r="H682" t="str">
        <x:v>1 of 2</x:v>
      </x:c>
      <x:c r="I682" t="n">
        <x:v>2.2</x:v>
      </x:c>
      <x:c r="J682" t="n">
        <x:v>2.78</x:v>
      </x:c>
      <x:c r="K682" t="n">
        <x:v>2.49</x:v>
      </x:c>
      <x:c r="L682" t="str">
        <x:v>$1–5</x:v>
      </x:c>
      <x:c r="M682" t="str">
        <x:v>Yes</x:v>
      </x:c>
      <x:c r="N682" t="str">
        <x:v>No</x:v>
      </x:c>
      <x:c r="O682" t="str">
        <x:v>Yes</x:v>
      </x:c>
      <x:c r="P682" t="str">
        <x:v>Condition not yet reviewed</x:v>
      </x:c>
      <x:c r="Q682" t="n">
        <x:v>2.2</x:v>
      </x:c>
      <x:c r="R682" t="n">
        <x:v>2.78</x:v>
      </x:c>
      <x:c r="S682" t="n">
        <x:v>2.49</x:v>
      </x:c>
      <x:c r="T682" t="str">
        <x:v>NEW PHYSICAL COPY from Sokalsky7's Collection.pdf page 7. PriceCharting export = $2.78 per card; current TCGplayer market checked at about $2.20. Working range spans those two approved sources.</x:v>
      </x:c>
      <x:c r="U682" t="n">
        <x:v>996</x:v>
      </x:c>
      <x:c r="V682" t="str">
        <x:v>TCGplayer + PriceCharting (updated Collection.pdf), researched 2026-08-17</x:v>
      </x:c>
      <x:c r="W682" t="str">
        <x:v>https://www.tcgplayer.com/search/pokemon/product?q=Marshtomp+67+Supreme+Victors</x:v>
      </x:c>
    </x:row>
    <x:row r="683">
      <x:c r="A683" t="n">
        <x:v>808</x:v>
      </x:c>
      <x:c r="B683" t="str">
        <x:v>PDF Import / Added Cards</x:v>
      </x:c>
      <x:c r="C683" t="str">
        <x:v>Tentacruel</x:v>
      </x:c>
      <x:c r="D683" t="str">
        <x:v>75/146</x:v>
      </x:c>
      <x:c r="E683" t="str">
        <x:v>Legends Awakened</x:v>
      </x:c>
      <x:c r="F683" t="n">
        <x:v>2008</x:v>
      </x:c>
      <x:c r="G683" t="str">
        <x:v>Regular / default set printing</x:v>
      </x:c>
      <x:c r="H683" t="str">
        <x:v>1 of 2</x:v>
      </x:c>
      <x:c r="I683" t="n">
        <x:v>1</x:v>
      </x:c>
      <x:c r="J683" t="n">
        <x:v>1</x:v>
      </x:c>
      <x:c r="K683" t="n">
        <x:v>1</x:v>
      </x:c>
      <x:c r="L683" t="str">
        <x:v>$1–5</x:v>
      </x:c>
      <x:c r="M683" t="str">
        <x:v>Yes</x:v>
      </x:c>
      <x:c r="N683" t="str">
        <x:v>No</x:v>
      </x:c>
      <x:c r="O683" t="str">
        <x:v>Yes</x:v>
      </x:c>
      <x:c r="P683" t="str">
        <x:v>Condition not yet reviewed</x:v>
      </x:c>
      <x:c r="Q683" t="n">
        <x:v>1</x:v>
      </x:c>
      <x:c r="R683" t="n">
        <x:v>1</x:v>
      </x:c>
      <x:c r="S683" t="n">
        <x:v>1</x:v>
      </x:c>
      <x:c r="T683" t="str">
        <x:v>NEW PHYSICAL COPY from Sokalsky7's Collection.pdf page 7. Temporary raw benchmark = PriceCharting export allocation $1.00; exact TCGplayer market was not independently resolved in this add-pass.</x:v>
      </x:c>
      <x:c r="U683" t="n">
        <x:v>996</x:v>
      </x:c>
      <x:c r="V683" t="str">
        <x:v>PriceCharting updated Collection.pdf; TCGplayer exact reprice pending</x:v>
      </x:c>
      <x:c r="W683" t="str">
        <x:v>https://www.tcgplayer.com/search/pokemon/product?q=Tentacruel+75+Legends+Awakened</x:v>
      </x:c>
    </x:row>
    <x:row r="684">
      <x:c r="A684" t="n">
        <x:v>809</x:v>
      </x:c>
      <x:c r="B684" t="str">
        <x:v>PDF Import / Added Cards</x:v>
      </x:c>
      <x:c r="C684" t="str">
        <x:v>Floatzel</x:v>
      </x:c>
      <x:c r="D684" t="str">
        <x:v>37/106</x:v>
      </x:c>
      <x:c r="E684" t="str">
        <x:v>Great Encounters</x:v>
      </x:c>
      <x:c r="F684" t="n">
        <x:v>2008</x:v>
      </x:c>
      <x:c r="G684" t="str">
        <x:v>Regular / default set printing</x:v>
      </x:c>
      <x:c r="H684" t="str">
        <x:v>1 of 1</x:v>
      </x:c>
      <x:c r="I684" t="n">
        <x:v>0.69</x:v>
      </x:c>
      <x:c r="J684" t="n">
        <x:v>1.69</x:v>
      </x:c>
      <x:c r="K684" t="n">
        <x:v>1.19</x:v>
      </x:c>
      <x:c r="L684" t="str">
        <x:v>$1–5</x:v>
      </x:c>
      <x:c r="M684" t="str">
        <x:v>Yes</x:v>
      </x:c>
      <x:c r="N684" t="str">
        <x:v>No</x:v>
      </x:c>
      <x:c r="O684" t="str">
        <x:v>Yes</x:v>
      </x:c>
      <x:c r="P684" t="str">
        <x:v>Condition not yet reviewed</x:v>
      </x:c>
      <x:c r="Q684" t="n">
        <x:v>0.69</x:v>
      </x:c>
      <x:c r="R684" t="n">
        <x:v>1.69</x:v>
      </x:c>
      <x:c r="S684" t="n">
        <x:v>1.19</x:v>
      </x:c>
      <x:c r="T684" t="str">
        <x:v>NEW PHYSICAL COPY from Sokalsky7's Collection.pdf page 7. PriceCharting export = $1.69 per card; current TCGplayer market checked at about $0.69. Working range spans those two approved sources.</x:v>
      </x:c>
      <x:c r="U684" t="n">
        <x:v>996</x:v>
      </x:c>
      <x:c r="V684" t="str">
        <x:v>TCGplayer + PriceCharting (updated Collection.pdf), researched 2026-08-17</x:v>
      </x:c>
      <x:c r="W684" t="str">
        <x:v>https://www.tcgplayer.com/search/pokemon/product?q=Floatzel+37+Great+Encounters</x:v>
      </x:c>
    </x:row>
    <x:row r="685">
      <x:c r="A685" t="n">
        <x:v>810</x:v>
      </x:c>
      <x:c r="B685" t="str">
        <x:v>PDF Import / Added Cards</x:v>
      </x:c>
      <x:c r="C685" t="str">
        <x:v>Slowbro</x:v>
      </x:c>
      <x:c r="D685" t="str">
        <x:v>54/106</x:v>
      </x:c>
      <x:c r="E685" t="str">
        <x:v>Great Encounters</x:v>
      </x:c>
      <x:c r="F685" t="n">
        <x:v>2008</x:v>
      </x:c>
      <x:c r="G685" t="str">
        <x:v>Regular / default set printing</x:v>
      </x:c>
      <x:c r="H685" t="str">
        <x:v>1 of 1</x:v>
      </x:c>
      <x:c r="I685" t="n">
        <x:v>2.63</x:v>
      </x:c>
      <x:c r="J685" t="n">
        <x:v>3.62</x:v>
      </x:c>
      <x:c r="K685" t="n">
        <x:v>3.125</x:v>
      </x:c>
      <x:c r="L685" t="str">
        <x:v>$1–5</x:v>
      </x:c>
      <x:c r="M685" t="str">
        <x:v>Yes</x:v>
      </x:c>
      <x:c r="N685" t="str">
        <x:v>No</x:v>
      </x:c>
      <x:c r="O685" t="str">
        <x:v>Yes</x:v>
      </x:c>
      <x:c r="P685" t="str">
        <x:v>Condition not yet reviewed</x:v>
      </x:c>
      <x:c r="Q685" t="n">
        <x:v>2.63</x:v>
      </x:c>
      <x:c r="R685" t="n">
        <x:v>3.62</x:v>
      </x:c>
      <x:c r="S685" t="n">
        <x:v>3.125</x:v>
      </x:c>
      <x:c r="T685" t="str">
        <x:v>NEW PHYSICAL COPY from Sokalsky7's Collection.pdf page 7. PriceCharting export = $3.62 per card; current TCGplayer market checked at about $2.63. Working range spans those two approved sources.</x:v>
      </x:c>
      <x:c r="U685" t="n">
        <x:v>996</x:v>
      </x:c>
      <x:c r="V685" t="str">
        <x:v>TCGplayer + PriceCharting (updated Collection.pdf), researched 2026-08-17</x:v>
      </x:c>
      <x:c r="W685" t="str">
        <x:v>https://www.tcgplayer.com/search/pokemon/product?q=Slowbro+54+Great+Encounters</x:v>
      </x:c>
    </x:row>
    <x:row r="686">
      <x:c r="A686" t="n">
        <x:v>811</x:v>
      </x:c>
      <x:c r="B686" t="str">
        <x:v>PDF Import / Added Cards</x:v>
      </x:c>
      <x:c r="C686" t="str">
        <x:v>Slowbro</x:v>
      </x:c>
      <x:c r="D686" t="str">
        <x:v>52/123</x:v>
      </x:c>
      <x:c r="E686" t="str">
        <x:v>HeartGold &amp; SoulSilver</x:v>
      </x:c>
      <x:c r="F686" t="n">
        <x:v>2010</x:v>
      </x:c>
      <x:c r="G686" t="str">
        <x:v>Regular / default set printing</x:v>
      </x:c>
      <x:c r="H686" t="str">
        <x:v>1 of 1</x:v>
      </x:c>
      <x:c r="I686" t="n">
        <x:v>2.39</x:v>
      </x:c>
      <x:c r="J686" t="n">
        <x:v>2.39</x:v>
      </x:c>
      <x:c r="K686" t="n">
        <x:v>2.39</x:v>
      </x:c>
      <x:c r="L686" t="str">
        <x:v>$1–5</x:v>
      </x:c>
      <x:c r="M686" t="str">
        <x:v>Yes</x:v>
      </x:c>
      <x:c r="N686" t="str">
        <x:v>No</x:v>
      </x:c>
      <x:c r="O686" t="str">
        <x:v>Yes</x:v>
      </x:c>
      <x:c r="P686" t="str">
        <x:v>Condition not yet reviewed</x:v>
      </x:c>
      <x:c r="Q686" t="n">
        <x:v>2.39</x:v>
      </x:c>
      <x:c r="R686" t="n">
        <x:v>2.39</x:v>
      </x:c>
      <x:c r="S686" t="n">
        <x:v>2.39</x:v>
      </x:c>
      <x:c r="T686" t="str">
        <x:v>NEW PHYSICAL COPY from Sokalsky7's Collection.pdf page 7. Temporary raw benchmark = PriceCharting export allocation $2.39; exact TCGplayer market was not independently resolved in this add-pass.</x:v>
      </x:c>
      <x:c r="U686" t="n">
        <x:v>996</x:v>
      </x:c>
      <x:c r="V686" t="str">
        <x:v>PriceCharting updated Collection.pdf; TCGplayer exact reprice pending</x:v>
      </x:c>
      <x:c r="W686" t="str">
        <x:v>https://www.tcgplayer.com/search/pokemon/product?q=Slowbro+52+HeartGold+SoulSilver</x:v>
      </x:c>
    </x:row>
    <x:row r="687">
      <x:c r="A687" t="n">
        <x:v>812</x:v>
      </x:c>
      <x:c r="B687" t="str">
        <x:v>PDF Import / Added Cards</x:v>
      </x:c>
      <x:c r="C687" t="str">
        <x:v>Tentacruel</x:v>
      </x:c>
      <x:c r="D687" t="str">
        <x:v>75/146</x:v>
      </x:c>
      <x:c r="E687" t="str">
        <x:v>Legends Awakened</x:v>
      </x:c>
      <x:c r="F687" t="n">
        <x:v>2008</x:v>
      </x:c>
      <x:c r="G687" t="str">
        <x:v>Regular / default set printing</x:v>
      </x:c>
      <x:c r="H687" t="str">
        <x:v>2 of 2</x:v>
      </x:c>
      <x:c r="I687" t="n">
        <x:v>1</x:v>
      </x:c>
      <x:c r="J687" t="n">
        <x:v>1</x:v>
      </x:c>
      <x:c r="K687" t="n">
        <x:v>1</x:v>
      </x:c>
      <x:c r="L687" t="str">
        <x:v>$1–5</x:v>
      </x:c>
      <x:c r="M687" t="str">
        <x:v>Yes</x:v>
      </x:c>
      <x:c r="N687" t="str">
        <x:v>No</x:v>
      </x:c>
      <x:c r="O687" t="str">
        <x:v>Yes</x:v>
      </x:c>
      <x:c r="P687" t="str">
        <x:v>Condition not yet reviewed</x:v>
      </x:c>
      <x:c r="Q687" t="n">
        <x:v>1</x:v>
      </x:c>
      <x:c r="R687" t="n">
        <x:v>1</x:v>
      </x:c>
      <x:c r="S687" t="n">
        <x:v>1</x:v>
      </x:c>
      <x:c r="T687" t="str">
        <x:v>NEW PHYSICAL COPY from Sokalsky7's Collection.pdf page 7. Temporary raw benchmark = PriceCharting export allocation $1.00; exact TCGplayer market was not independently resolved in this add-pass.</x:v>
      </x:c>
      <x:c r="U687" t="n">
        <x:v>996</x:v>
      </x:c>
      <x:c r="V687" t="str">
        <x:v>PriceCharting updated Collection.pdf; TCGplayer exact reprice pending</x:v>
      </x:c>
      <x:c r="W687" t="str">
        <x:v>https://www.tcgplayer.com/search/pokemon/product?q=Tentacruel+75+Legends+Awakened</x:v>
      </x:c>
    </x:row>
    <x:row r="688">
      <x:c r="A688" t="n">
        <x:v>814</x:v>
      </x:c>
      <x:c r="B688" t="str">
        <x:v>PDF Import / Added Cards</x:v>
      </x:c>
      <x:c r="C688" t="str">
        <x:v>Marshtomp</x:v>
      </x:c>
      <x:c r="D688" t="str">
        <x:v>67/147</x:v>
      </x:c>
      <x:c r="E688" t="str">
        <x:v>Supreme Victors</x:v>
      </x:c>
      <x:c r="F688" t="n">
        <x:v>2009</x:v>
      </x:c>
      <x:c r="G688" t="str">
        <x:v>Regular / default set printing</x:v>
      </x:c>
      <x:c r="H688" t="str">
        <x:v>2 of 2</x:v>
      </x:c>
      <x:c r="I688" t="n">
        <x:v>2.2</x:v>
      </x:c>
      <x:c r="J688" t="n">
        <x:v>2.78</x:v>
      </x:c>
      <x:c r="K688" t="n">
        <x:v>2.49</x:v>
      </x:c>
      <x:c r="L688" t="str">
        <x:v>$1–5</x:v>
      </x:c>
      <x:c r="M688" t="str">
        <x:v>Yes</x:v>
      </x:c>
      <x:c r="N688" t="str">
        <x:v>No</x:v>
      </x:c>
      <x:c r="O688" t="str">
        <x:v>Yes</x:v>
      </x:c>
      <x:c r="P688" t="str">
        <x:v>Condition not yet reviewed</x:v>
      </x:c>
      <x:c r="Q688" t="n">
        <x:v>2.2</x:v>
      </x:c>
      <x:c r="R688" t="n">
        <x:v>2.78</x:v>
      </x:c>
      <x:c r="S688" t="n">
        <x:v>2.49</x:v>
      </x:c>
      <x:c r="T688" t="str">
        <x:v>NEW PHYSICAL COPY from Sokalsky7's Collection.pdf page 7. PriceCharting export = $2.78 per card; current TCGplayer market checked at about $2.20. Working range spans those two approved sources.</x:v>
      </x:c>
      <x:c r="U688" t="n">
        <x:v>996</x:v>
      </x:c>
      <x:c r="V688" t="str">
        <x:v>TCGplayer + PriceCharting (updated Collection.pdf), researched 2026-08-17</x:v>
      </x:c>
      <x:c r="W688" t="str">
        <x:v>https://www.tcgplayer.com/search/pokemon/product?q=Marshtomp+67+Supreme+Victors</x:v>
      </x:c>
    </x:row>
    <x:row r="689">
      <x:c r="A689" t="n">
        <x:v>817</x:v>
      </x:c>
      <x:c r="B689" t="str">
        <x:v>PDF Import / Added Cards</x:v>
      </x:c>
      <x:c r="C689" t="str">
        <x:v>Wartortle</x:v>
      </x:c>
      <x:c r="D689" t="str">
        <x:v>43/100</x:v>
      </x:c>
      <x:c r="E689" t="str">
        <x:v>Crystal Guardians</x:v>
      </x:c>
      <x:c r="F689" t="n">
        <x:v>2006</x:v>
      </x:c>
      <x:c r="G689" t="str">
        <x:v>Regular / default set printing</x:v>
      </x:c>
      <x:c r="H689" t="str">
        <x:v>1 of 1</x:v>
      </x:c>
      <x:c r="I689" t="n">
        <x:v>1.91</x:v>
      </x:c>
      <x:c r="J689" t="n">
        <x:v>1.91</x:v>
      </x:c>
      <x:c r="K689" t="n">
        <x:v>1.91</x:v>
      </x:c>
      <x:c r="L689" t="str">
        <x:v>$1–5</x:v>
      </x:c>
      <x:c r="M689" t="str">
        <x:v>Yes</x:v>
      </x:c>
      <x:c r="N689" t="str">
        <x:v>No</x:v>
      </x:c>
      <x:c r="O689" t="str">
        <x:v>Yes</x:v>
      </x:c>
      <x:c r="P689" t="str">
        <x:v>Condition not yet reviewed</x:v>
      </x:c>
      <x:c r="Q689" t="n">
        <x:v>1.91</x:v>
      </x:c>
      <x:c r="R689" t="n">
        <x:v>1.91</x:v>
      </x:c>
      <x:c r="S689" t="n">
        <x:v>1.91</x:v>
      </x:c>
      <x:c r="T689" t="str">
        <x:v>NEW PHYSICAL COPY from Sokalsky7's Collection.pdf page 8. Temporary raw benchmark = PriceCharting export allocation $1.91; exact TCGplayer market was not independently resolved in this add-pass.</x:v>
      </x:c>
      <x:c r="U689" t="n">
        <x:v>996</x:v>
      </x:c>
      <x:c r="V689" t="str">
        <x:v>PriceCharting updated Collection.pdf; TCGplayer exact reprice pending</x:v>
      </x:c>
      <x:c r="W689" t="str">
        <x:v>https://www.tcgplayer.com/search/pokemon/product?q=Wartortle+43+Crystal+Guardians</x:v>
      </x:c>
    </x:row>
    <x:row r="690">
      <x:c r="A690" t="n">
        <x:v>818</x:v>
      </x:c>
      <x:c r="B690" t="str">
        <x:v>PDF Import / Added Cards</x:v>
      </x:c>
      <x:c r="C690" t="str">
        <x:v>Jellicent</x:v>
      </x:c>
      <x:c r="D690" t="str">
        <x:v>39/135</x:v>
      </x:c>
      <x:c r="E690" t="str">
        <x:v>Plasma Storm</x:v>
      </x:c>
      <x:c r="F690" t="n">
        <x:v>2013</x:v>
      </x:c>
      <x:c r="G690" t="str">
        <x:v>Reverse Holo</x:v>
      </x:c>
      <x:c r="H690" t="str">
        <x:v>1 of 1</x:v>
      </x:c>
      <x:c r="I690" t="n">
        <x:v>3.68</x:v>
      </x:c>
      <x:c r="J690" t="n">
        <x:v>3.68</x:v>
      </x:c>
      <x:c r="K690" t="n">
        <x:v>3.68</x:v>
      </x:c>
      <x:c r="L690" t="str">
        <x:v>$1–5</x:v>
      </x:c>
      <x:c r="M690" t="str">
        <x:v>Yes</x:v>
      </x:c>
      <x:c r="N690" t="str">
        <x:v>No</x:v>
      </x:c>
      <x:c r="O690" t="str">
        <x:v>Yes</x:v>
      </x:c>
      <x:c r="P690" t="str">
        <x:v>Condition not yet reviewed</x:v>
      </x:c>
      <x:c r="Q690" t="n">
        <x:v>3.68</x:v>
      </x:c>
      <x:c r="R690" t="n">
        <x:v>3.68</x:v>
      </x:c>
      <x:c r="S690" t="n">
        <x:v>3.68</x:v>
      </x:c>
      <x:c r="T690" t="str">
        <x:v>NEW PHYSICAL COPY from Sokalsky7's Collection.pdf page 8. Temporary raw benchmark = PriceCharting export allocation $3.68; exact TCGplayer market was not independently resolved in this add-pass.</x:v>
      </x:c>
      <x:c r="U690" t="n">
        <x:v>996</x:v>
      </x:c>
      <x:c r="V690" t="str">
        <x:v>PriceCharting updated Collection.pdf; TCGplayer exact reprice pending</x:v>
      </x:c>
      <x:c r="W690" t="str">
        <x:v>https://www.tcgplayer.com/search/pokemon/product?q=Jellicent+39+Plasma+Storm</x:v>
      </x:c>
    </x:row>
    <x:row r="691">
      <x:c r="A691" t="n">
        <x:v>819</x:v>
      </x:c>
      <x:c r="B691" t="str">
        <x:v>PDF Import / Added Cards</x:v>
      </x:c>
      <x:c r="C691" t="str">
        <x:v>Golduck</x:v>
      </x:c>
      <x:c r="D691" t="str">
        <x:v>28/132</x:v>
      </x:c>
      <x:c r="E691" t="str">
        <x:v>Secret Wonders</x:v>
      </x:c>
      <x:c r="F691" t="n">
        <x:v>2007</x:v>
      </x:c>
      <x:c r="G691" t="str">
        <x:v>Regular / default set printing</x:v>
      </x:c>
      <x:c r="H691" t="str">
        <x:v>1 of 1</x:v>
      </x:c>
      <x:c r="I691" t="n">
        <x:v>1.4</x:v>
      </x:c>
      <x:c r="J691" t="n">
        <x:v>1.4</x:v>
      </x:c>
      <x:c r="K691" t="n">
        <x:v>1.4</x:v>
      </x:c>
      <x:c r="L691" t="str">
        <x:v>$1–5</x:v>
      </x:c>
      <x:c r="M691" t="str">
        <x:v>Yes</x:v>
      </x:c>
      <x:c r="N691" t="str">
        <x:v>No</x:v>
      </x:c>
      <x:c r="O691" t="str">
        <x:v>Yes</x:v>
      </x:c>
      <x:c r="P691" t="str">
        <x:v>Condition not yet reviewed</x:v>
      </x:c>
      <x:c r="Q691" t="n">
        <x:v>1.4</x:v>
      </x:c>
      <x:c r="R691" t="n">
        <x:v>1.4</x:v>
      </x:c>
      <x:c r="S691" t="n">
        <x:v>1.4</x:v>
      </x:c>
      <x:c r="T691" t="str">
        <x:v>NEW PHYSICAL COPY from Sokalsky7's Collection.pdf page 8. Temporary raw benchmark = PriceCharting export allocation $1.40; exact TCGplayer market was not independently resolved in this add-pass.</x:v>
      </x:c>
      <x:c r="U691" t="n">
        <x:v>996</x:v>
      </x:c>
      <x:c r="V691" t="str">
        <x:v>PriceCharting updated Collection.pdf; TCGplayer exact reprice pending</x:v>
      </x:c>
      <x:c r="W691" t="str">
        <x:v>https://www.tcgplayer.com/search/pokemon/product?q=Golduck+28+Secret+Wonders</x:v>
      </x:c>
    </x:row>
    <x:row r="692">
      <x:c r="A692" t="n">
        <x:v>820</x:v>
      </x:c>
      <x:c r="B692" t="str">
        <x:v>PDF Import / Added Cards</x:v>
      </x:c>
      <x:c r="C692" t="str">
        <x:v>Misty's Cloyster</x:v>
      </x:c>
      <x:c r="D692" t="str">
        <x:v>29/132</x:v>
      </x:c>
      <x:c r="E692" t="str">
        <x:v>Gym Heroes</x:v>
      </x:c>
      <x:c r="F692" t="n">
        <x:v>2000</x:v>
      </x:c>
      <x:c r="G692" t="str">
        <x:v>Regular / default set printing</x:v>
      </x:c>
      <x:c r="H692" t="str">
        <x:v>1 of 1</x:v>
      </x:c>
      <x:c r="I692" t="n">
        <x:v>11.25</x:v>
      </x:c>
      <x:c r="J692" t="n">
        <x:v>25.9</x:v>
      </x:c>
      <x:c r="K692" t="n">
        <x:v>18.575</x:v>
      </x:c>
      <x:c r="L692" t="str">
        <x:v>$5–20</x:v>
      </x:c>
      <x:c r="M692" t="str">
        <x:v>Yes</x:v>
      </x:c>
      <x:c r="N692" t="str">
        <x:v>No</x:v>
      </x:c>
      <x:c r="O692" t="str">
        <x:v>Yes</x:v>
      </x:c>
      <x:c r="P692" t="str">
        <x:v>Condition not yet reviewed</x:v>
      </x:c>
      <x:c r="Q692" t="n">
        <x:v>11.25</x:v>
      </x:c>
      <x:c r="R692" t="n">
        <x:v>25.9</x:v>
      </x:c>
      <x:c r="S692" t="n">
        <x:v>18.575</x:v>
      </x:c>
      <x:c r="T692" t="str">
        <x:v>NEW PHYSICAL COPY from Sokalsky7's Collection.pdf page 8. PriceCharting export = $11.25 per card; current TCGplayer market checked at about $25.90. Working range spans those two approved sources.</x:v>
      </x:c>
      <x:c r="U692" t="n">
        <x:v>996</x:v>
      </x:c>
      <x:c r="V692" t="str">
        <x:v>TCGplayer + PriceCharting (updated Collection.pdf), researched 2026-08-17</x:v>
      </x:c>
      <x:c r="W692" t="str">
        <x:v>https://www.tcgplayer.com/search/pokemon/product?q=Misty+s+Cloyster+29+Gym+Heroes</x:v>
      </x:c>
    </x:row>
    <x:row r="693">
      <x:c r="A693" t="n">
        <x:v>821</x:v>
      </x:c>
      <x:c r="B693" t="str">
        <x:v>PDF Import / Added Cards</x:v>
      </x:c>
      <x:c r="C693" t="str">
        <x:v>Poliwrath</x:v>
      </x:c>
      <x:c r="D693" t="str">
        <x:v>35/146</x:v>
      </x:c>
      <x:c r="E693" t="str">
        <x:v>Legends Awakened</x:v>
      </x:c>
      <x:c r="F693" t="n">
        <x:v>2008</x:v>
      </x:c>
      <x:c r="G693" t="str">
        <x:v>Regular / default set printing</x:v>
      </x:c>
      <x:c r="H693" t="str">
        <x:v>1 of 1</x:v>
      </x:c>
      <x:c r="I693" t="n">
        <x:v>3.37</x:v>
      </x:c>
      <x:c r="J693" t="n">
        <x:v>3.37</x:v>
      </x:c>
      <x:c r="K693" t="n">
        <x:v>3.37</x:v>
      </x:c>
      <x:c r="L693" t="str">
        <x:v>$1–5</x:v>
      </x:c>
      <x:c r="M693" t="str">
        <x:v>Yes</x:v>
      </x:c>
      <x:c r="N693" t="str">
        <x:v>No</x:v>
      </x:c>
      <x:c r="O693" t="str">
        <x:v>Yes</x:v>
      </x:c>
      <x:c r="P693" t="str">
        <x:v>Condition not yet reviewed</x:v>
      </x:c>
      <x:c r="Q693" t="n">
        <x:v>3.37</x:v>
      </x:c>
      <x:c r="R693" t="n">
        <x:v>3.37</x:v>
      </x:c>
      <x:c r="S693" t="n">
        <x:v>3.37</x:v>
      </x:c>
      <x:c r="T693" t="str">
        <x:v>NEW PHYSICAL COPY from Sokalsky7's Collection.pdf page 8. Temporary raw benchmark = PriceCharting export allocation $3.37; exact TCGplayer market was not independently resolved in this add-pass.</x:v>
      </x:c>
      <x:c r="U693" t="n">
        <x:v>996</x:v>
      </x:c>
      <x:c r="V693" t="str">
        <x:v>PriceCharting updated Collection.pdf; TCGplayer exact reprice pending</x:v>
      </x:c>
      <x:c r="W693" t="str">
        <x:v>https://www.tcgplayer.com/search/pokemon/product?q=Poliwrath+35+Legends+Awakened</x:v>
      </x:c>
    </x:row>
    <x:row r="694">
      <x:c r="A694" t="n">
        <x:v>822</x:v>
      </x:c>
      <x:c r="B694" t="str">
        <x:v>PDF Import / Added Cards</x:v>
      </x:c>
      <x:c r="C694" t="str">
        <x:v>Kingler</x:v>
      </x:c>
      <x:c r="D694" t="str">
        <x:v>20/106</x:v>
      </x:c>
      <x:c r="E694" t="str">
        <x:v>Great Encounters</x:v>
      </x:c>
      <x:c r="F694" t="n">
        <x:v>2008</x:v>
      </x:c>
      <x:c r="G694" t="str">
        <x:v>Regular / default set printing</x:v>
      </x:c>
      <x:c r="H694" t="str">
        <x:v>1 of 2</x:v>
      </x:c>
      <x:c r="I694" t="n">
        <x:v>2.01</x:v>
      </x:c>
      <x:c r="J694" t="n">
        <x:v>2.05</x:v>
      </x:c>
      <x:c r="K694" t="n">
        <x:v>2.03</x:v>
      </x:c>
      <x:c r="L694" t="str">
        <x:v>$1–5</x:v>
      </x:c>
      <x:c r="M694" t="str">
        <x:v>Yes</x:v>
      </x:c>
      <x:c r="N694" t="str">
        <x:v>No</x:v>
      </x:c>
      <x:c r="O694" t="str">
        <x:v>Yes</x:v>
      </x:c>
      <x:c r="P694" t="str">
        <x:v>Condition not yet reviewed</x:v>
      </x:c>
      <x:c r="Q694" t="n">
        <x:v>2.01</x:v>
      </x:c>
      <x:c r="R694" t="n">
        <x:v>2.05</x:v>
      </x:c>
      <x:c r="S694" t="n">
        <x:v>2.03</x:v>
      </x:c>
      <x:c r="T694" t="str">
        <x:v>NEW PHYSICAL COPY from Sokalsky7's Collection.pdf page 8. PriceCharting export = $2.05 per card; current TCGplayer market checked at about $2.01. Working range spans those two approved sources.</x:v>
      </x:c>
      <x:c r="U694" t="n">
        <x:v>996</x:v>
      </x:c>
      <x:c r="V694" t="str">
        <x:v>TCGplayer + PriceCharting (updated Collection.pdf), researched 2026-08-17</x:v>
      </x:c>
      <x:c r="W694" t="str">
        <x:v>https://www.tcgplayer.com/search/pokemon/product?q=Kingler+20+Great+Encounters</x:v>
      </x:c>
    </x:row>
    <x:row r="695">
      <x:c r="A695" t="n">
        <x:v>823</x:v>
      </x:c>
      <x:c r="B695" t="str">
        <x:v>PDF Import / Added Cards</x:v>
      </x:c>
      <x:c r="C695" t="str">
        <x:v>Kingler</x:v>
      </x:c>
      <x:c r="D695" t="str">
        <x:v>20/106</x:v>
      </x:c>
      <x:c r="E695" t="str">
        <x:v>Great Encounters</x:v>
      </x:c>
      <x:c r="F695" t="n">
        <x:v>2008</x:v>
      </x:c>
      <x:c r="G695" t="str">
        <x:v>Regular / default set printing</x:v>
      </x:c>
      <x:c r="H695" t="str">
        <x:v>2 of 2</x:v>
      </x:c>
      <x:c r="I695" t="n">
        <x:v>2.01</x:v>
      </x:c>
      <x:c r="J695" t="n">
        <x:v>2.05</x:v>
      </x:c>
      <x:c r="K695" t="n">
        <x:v>2.03</x:v>
      </x:c>
      <x:c r="L695" t="str">
        <x:v>$1–5</x:v>
      </x:c>
      <x:c r="M695" t="str">
        <x:v>Yes</x:v>
      </x:c>
      <x:c r="N695" t="str">
        <x:v>No</x:v>
      </x:c>
      <x:c r="O695" t="str">
        <x:v>Yes</x:v>
      </x:c>
      <x:c r="P695" t="str">
        <x:v>Condition not yet reviewed</x:v>
      </x:c>
      <x:c r="Q695" t="n">
        <x:v>2.01</x:v>
      </x:c>
      <x:c r="R695" t="n">
        <x:v>2.05</x:v>
      </x:c>
      <x:c r="S695" t="n">
        <x:v>2.03</x:v>
      </x:c>
      <x:c r="T695" t="str">
        <x:v>NEW PHYSICAL COPY from Sokalsky7's Collection.pdf page 8. PriceCharting export = $2.05 per card; current TCGplayer market checked at about $2.01. Working range spans those two approved sources.</x:v>
      </x:c>
      <x:c r="U695" t="n">
        <x:v>996</x:v>
      </x:c>
      <x:c r="V695" t="str">
        <x:v>TCGplayer + PriceCharting (updated Collection.pdf), researched 2026-08-17</x:v>
      </x:c>
      <x:c r="W695" t="str">
        <x:v>https://www.tcgplayer.com/search/pokemon/product?q=Kingler+20+Great+Encounters</x:v>
      </x:c>
    </x:row>
    <x:row r="696">
      <x:c r="A696" t="n">
        <x:v>824</x:v>
      </x:c>
      <x:c r="B696" t="str">
        <x:v>PDF Import / Added Cards</x:v>
      </x:c>
      <x:c r="C696" t="str">
        <x:v>Abomasnow</x:v>
      </x:c>
      <x:c r="D696" t="str">
        <x:v>12/100</x:v>
      </x:c>
      <x:c r="E696" t="str">
        <x:v>Stormfront</x:v>
      </x:c>
      <x:c r="F696" t="n">
        <x:v>2008</x:v>
      </x:c>
      <x:c r="G696" t="str">
        <x:v>Regular / default set printing</x:v>
      </x:c>
      <x:c r="H696" t="str">
        <x:v>1 of 1</x:v>
      </x:c>
      <x:c r="I696" t="n">
        <x:v>1.75</x:v>
      </x:c>
      <x:c r="J696" t="n">
        <x:v>1.75</x:v>
      </x:c>
      <x:c r="K696" t="n">
        <x:v>1.75</x:v>
      </x:c>
      <x:c r="L696" t="str">
        <x:v>$1–5</x:v>
      </x:c>
      <x:c r="M696" t="str">
        <x:v>Yes</x:v>
      </x:c>
      <x:c r="N696" t="str">
        <x:v>No</x:v>
      </x:c>
      <x:c r="O696" t="str">
        <x:v>Yes</x:v>
      </x:c>
      <x:c r="P696" t="str">
        <x:v>Condition not yet reviewed</x:v>
      </x:c>
      <x:c r="Q696" t="n">
        <x:v>1.75</x:v>
      </x:c>
      <x:c r="R696" t="n">
        <x:v>1.75</x:v>
      </x:c>
      <x:c r="S696" t="n">
        <x:v>1.75</x:v>
      </x:c>
      <x:c r="T696" t="str">
        <x:v>NEW PHYSICAL COPY from Sokalsky7's Collection.pdf page 9. Temporary raw benchmark = PriceCharting export allocation $1.75; exact TCGplayer market was not independently resolved in this add-pass.</x:v>
      </x:c>
      <x:c r="U696" t="n">
        <x:v>996</x:v>
      </x:c>
      <x:c r="V696" t="str">
        <x:v>PriceCharting updated Collection.pdf; TCGplayer exact reprice pending</x:v>
      </x:c>
      <x:c r="W696" t="str">
        <x:v>https://www.tcgplayer.com/search/pokemon/product?q=Abomasnow+12+Stormfront</x:v>
      </x:c>
    </x:row>
    <x:row r="697">
      <x:c r="A697" t="n">
        <x:v>825</x:v>
      </x:c>
      <x:c r="B697" t="str">
        <x:v>PDF Import / Added Cards</x:v>
      </x:c>
      <x:c r="C697" t="str">
        <x:v>Floatzel</x:v>
      </x:c>
      <x:c r="D697" t="str">
        <x:v>16/95</x:v>
      </x:c>
      <x:c r="E697" t="str">
        <x:v>Unleashed</x:v>
      </x:c>
      <x:c r="F697" t="n">
        <x:v>2010</x:v>
      </x:c>
      <x:c r="G697" t="str">
        <x:v>Regular / default set printing</x:v>
      </x:c>
      <x:c r="H697" t="str">
        <x:v>1 of 1</x:v>
      </x:c>
      <x:c r="I697" t="n">
        <x:v>1.51</x:v>
      </x:c>
      <x:c r="J697" t="n">
        <x:v>1.51</x:v>
      </x:c>
      <x:c r="K697" t="n">
        <x:v>1.51</x:v>
      </x:c>
      <x:c r="L697" t="str">
        <x:v>$1–5</x:v>
      </x:c>
      <x:c r="M697" t="str">
        <x:v>Yes</x:v>
      </x:c>
      <x:c r="N697" t="str">
        <x:v>No</x:v>
      </x:c>
      <x:c r="O697" t="str">
        <x:v>Yes</x:v>
      </x:c>
      <x:c r="P697" t="str">
        <x:v>Condition not yet reviewed</x:v>
      </x:c>
      <x:c r="Q697" t="n">
        <x:v>1.51</x:v>
      </x:c>
      <x:c r="R697" t="n">
        <x:v>1.51</x:v>
      </x:c>
      <x:c r="S697" t="n">
        <x:v>1.51</x:v>
      </x:c>
      <x:c r="T697" t="str">
        <x:v>NEW PHYSICAL COPY from Sokalsky7's Collection.pdf page 9. Temporary raw benchmark = PriceCharting export allocation $1.51; exact TCGplayer market was not independently resolved in this add-pass.</x:v>
      </x:c>
      <x:c r="U697" t="n">
        <x:v>996</x:v>
      </x:c>
      <x:c r="V697" t="str">
        <x:v>PriceCharting updated Collection.pdf; TCGplayer exact reprice pending</x:v>
      </x:c>
      <x:c r="W697" t="str">
        <x:v>https://www.tcgplayer.com/search/pokemon/product?q=Floatzel+16+Unleashed</x:v>
      </x:c>
    </x:row>
    <x:row r="698">
      <x:c r="A698" t="n">
        <x:v>826</x:v>
      </x:c>
      <x:c r="B698" t="str">
        <x:v>PDF Import / Added Cards</x:v>
      </x:c>
      <x:c r="C698" t="str">
        <x:v>Poliwrath</x:v>
      </x:c>
      <x:c r="D698" t="str">
        <x:v>21/95</x:v>
      </x:c>
      <x:c r="E698" t="str">
        <x:v>Unleashed</x:v>
      </x:c>
      <x:c r="F698" t="n">
        <x:v>2010</x:v>
      </x:c>
      <x:c r="G698" t="str">
        <x:v>Regular / default set printing</x:v>
      </x:c>
      <x:c r="H698" t="str">
        <x:v>1 of 2</x:v>
      </x:c>
      <x:c r="I698" t="n">
        <x:v>2.25</x:v>
      </x:c>
      <x:c r="J698" t="n">
        <x:v>2.25</x:v>
      </x:c>
      <x:c r="K698" t="n">
        <x:v>2.25</x:v>
      </x:c>
      <x:c r="L698" t="str">
        <x:v>$1–5</x:v>
      </x:c>
      <x:c r="M698" t="str">
        <x:v>Yes</x:v>
      </x:c>
      <x:c r="N698" t="str">
        <x:v>No</x:v>
      </x:c>
      <x:c r="O698" t="str">
        <x:v>Yes</x:v>
      </x:c>
      <x:c r="P698" t="str">
        <x:v>Condition not yet reviewed</x:v>
      </x:c>
      <x:c r="Q698" t="n">
        <x:v>2.25</x:v>
      </x:c>
      <x:c r="R698" t="n">
        <x:v>2.25</x:v>
      </x:c>
      <x:c r="S698" t="n">
        <x:v>2.25</x:v>
      </x:c>
      <x:c r="T698" t="str">
        <x:v>NEW PHYSICAL COPY from Sokalsky7's Collection.pdf page 9. Temporary raw benchmark = PriceCharting export allocation $2.25; exact TCGplayer market was not independently resolved in this add-pass.</x:v>
      </x:c>
      <x:c r="U698" t="n">
        <x:v>996</x:v>
      </x:c>
      <x:c r="V698" t="str">
        <x:v>PriceCharting updated Collection.pdf; TCGplayer exact reprice pending</x:v>
      </x:c>
      <x:c r="W698" t="str">
        <x:v>https://www.tcgplayer.com/search/pokemon/product?q=Poliwrath+21+Unleashed</x:v>
      </x:c>
    </x:row>
    <x:row r="699">
      <x:c r="A699" t="n">
        <x:v>827</x:v>
      </x:c>
      <x:c r="B699" t="str">
        <x:v>PDF Import / Added Cards</x:v>
      </x:c>
      <x:c r="C699" t="str">
        <x:v>Poliwrath</x:v>
      </x:c>
      <x:c r="D699" t="str">
        <x:v>21/95</x:v>
      </x:c>
      <x:c r="E699" t="str">
        <x:v>Unleashed</x:v>
      </x:c>
      <x:c r="F699" t="n">
        <x:v>2010</x:v>
      </x:c>
      <x:c r="G699" t="str">
        <x:v>Regular / default set printing</x:v>
      </x:c>
      <x:c r="H699" t="str">
        <x:v>2 of 2</x:v>
      </x:c>
      <x:c r="I699" t="n">
        <x:v>2.25</x:v>
      </x:c>
      <x:c r="J699" t="n">
        <x:v>2.25</x:v>
      </x:c>
      <x:c r="K699" t="n">
        <x:v>2.25</x:v>
      </x:c>
      <x:c r="L699" t="str">
        <x:v>$1–5</x:v>
      </x:c>
      <x:c r="M699" t="str">
        <x:v>Yes</x:v>
      </x:c>
      <x:c r="N699" t="str">
        <x:v>No</x:v>
      </x:c>
      <x:c r="O699" t="str">
        <x:v>Yes</x:v>
      </x:c>
      <x:c r="P699" t="str">
        <x:v>Condition not yet reviewed</x:v>
      </x:c>
      <x:c r="Q699" t="n">
        <x:v>2.25</x:v>
      </x:c>
      <x:c r="R699" t="n">
        <x:v>2.25</x:v>
      </x:c>
      <x:c r="S699" t="n">
        <x:v>2.25</x:v>
      </x:c>
      <x:c r="T699" t="str">
        <x:v>NEW PHYSICAL COPY from Sokalsky7's Collection.pdf page 9. Temporary raw benchmark = PriceCharting export allocation $2.25; exact TCGplayer market was not independently resolved in this add-pass.</x:v>
      </x:c>
      <x:c r="U699" t="n">
        <x:v>996</x:v>
      </x:c>
      <x:c r="V699" t="str">
        <x:v>PriceCharting updated Collection.pdf; TCGplayer exact reprice pending</x:v>
      </x:c>
      <x:c r="W699" t="str">
        <x:v>https://www.tcgplayer.com/search/pokemon/product?q=Poliwrath+21+Unleashed</x:v>
      </x:c>
    </x:row>
    <x:row r="700">
      <x:c r="A700" t="n">
        <x:v>828</x:v>
      </x:c>
      <x:c r="B700" t="str">
        <x:v>PDF Import / Added Cards</x:v>
      </x:c>
      <x:c r="C700" t="str">
        <x:v>Feraligatr</x:v>
      </x:c>
      <x:c r="D700" t="str">
        <x:v>25/95</x:v>
      </x:c>
      <x:c r="E700" t="str">
        <x:v>Call of Legends</x:v>
      </x:c>
      <x:c r="F700" t="n">
        <x:v>2011</x:v>
      </x:c>
      <x:c r="G700" t="str">
        <x:v>Regular / default set printing</x:v>
      </x:c>
      <x:c r="H700" t="str">
        <x:v>1 of 1</x:v>
      </x:c>
      <x:c r="I700" t="n">
        <x:v>5.99</x:v>
      </x:c>
      <x:c r="J700" t="n">
        <x:v>5.99</x:v>
      </x:c>
      <x:c r="K700" t="n">
        <x:v>5.99</x:v>
      </x:c>
      <x:c r="L700" t="str">
        <x:v>$5–20</x:v>
      </x:c>
      <x:c r="M700" t="str">
        <x:v>Yes</x:v>
      </x:c>
      <x:c r="N700" t="str">
        <x:v>No</x:v>
      </x:c>
      <x:c r="O700" t="str">
        <x:v>Yes</x:v>
      </x:c>
      <x:c r="P700" t="str">
        <x:v>Condition not yet reviewed</x:v>
      </x:c>
      <x:c r="Q700" t="n">
        <x:v>5.99</x:v>
      </x:c>
      <x:c r="R700" t="n">
        <x:v>5.99</x:v>
      </x:c>
      <x:c r="S700" t="n">
        <x:v>5.99</x:v>
      </x:c>
      <x:c r="T700" t="str">
        <x:v>NEW PHYSICAL COPY from Sokalsky7's Collection.pdf page 9. Temporary raw benchmark = PriceCharting export allocation $5.99; exact TCGplayer market was not independently resolved in this add-pass.</x:v>
      </x:c>
      <x:c r="U700" t="n">
        <x:v>996</x:v>
      </x:c>
      <x:c r="V700" t="str">
        <x:v>PriceCharting updated Collection.pdf; TCGplayer exact reprice pending</x:v>
      </x:c>
      <x:c r="W700" t="str">
        <x:v>https://www.tcgplayer.com/search/pokemon/product?q=Feraligatr+25+Call+of+Legends</x:v>
      </x:c>
    </x:row>
    <x:row r="701">
      <x:c r="A701" t="n">
        <x:v>829</x:v>
      </x:c>
      <x:c r="B701" t="str">
        <x:v>PDF Import / Added Cards</x:v>
      </x:c>
      <x:c r="C701" t="str">
        <x:v>Empoleon FB</x:v>
      </x:c>
      <x:c r="D701" t="str">
        <x:v>27/147</x:v>
      </x:c>
      <x:c r="E701" t="str">
        <x:v>Supreme Victors</x:v>
      </x:c>
      <x:c r="F701" t="n">
        <x:v>2009</x:v>
      </x:c>
      <x:c r="G701" t="str">
        <x:v>Regular / default set printing</x:v>
      </x:c>
      <x:c r="H701" t="str">
        <x:v>1 of 1</x:v>
      </x:c>
      <x:c r="I701" t="n">
        <x:v>3.74</x:v>
      </x:c>
      <x:c r="J701" t="n">
        <x:v>4.57</x:v>
      </x:c>
      <x:c r="K701" t="n">
        <x:v>4.155</x:v>
      </x:c>
      <x:c r="L701" t="str">
        <x:v>$1–5</x:v>
      </x:c>
      <x:c r="M701" t="str">
        <x:v>Yes</x:v>
      </x:c>
      <x:c r="N701" t="str">
        <x:v>No</x:v>
      </x:c>
      <x:c r="O701" t="str">
        <x:v>Yes</x:v>
      </x:c>
      <x:c r="P701" t="str">
        <x:v>Condition not yet reviewed</x:v>
      </x:c>
      <x:c r="Q701" t="n">
        <x:v>3.74</x:v>
      </x:c>
      <x:c r="R701" t="n">
        <x:v>4.57</x:v>
      </x:c>
      <x:c r="S701" t="n">
        <x:v>4.155</x:v>
      </x:c>
      <x:c r="T701" t="str">
        <x:v>NEW PHYSICAL COPY from Sokalsky7's Collection.pdf page 9. PriceCharting export = $3.74 per card; current TCGplayer market checked at about $4.57. Working range spans those two approved sources.</x:v>
      </x:c>
      <x:c r="U701" t="n">
        <x:v>996</x:v>
      </x:c>
      <x:c r="V701" t="str">
        <x:v>TCGplayer + PriceCharting (updated Collection.pdf), researched 2026-08-17</x:v>
      </x:c>
      <x:c r="W701" t="str">
        <x:v>https://www.tcgplayer.com/search/pokemon/product?q=Empoleon+FB+27+Supreme+Victors</x:v>
      </x:c>
    </x:row>
    <x:row r="702">
      <x:c r="A702" t="n">
        <x:v>830</x:v>
      </x:c>
      <x:c r="B702" t="str">
        <x:v>PDF Import / Added Cards</x:v>
      </x:c>
      <x:c r="C702" t="str">
        <x:v>Victini</x:v>
      </x:c>
      <x:c r="D702" t="str">
        <x:v>43/101</x:v>
      </x:c>
      <x:c r="E702" t="str">
        <x:v>Noble Victories</x:v>
      </x:c>
      <x:c r="F702" t="n">
        <x:v>2011</x:v>
      </x:c>
      <x:c r="G702" t="str">
        <x:v>Regular / default set printing</x:v>
      </x:c>
      <x:c r="H702" t="str">
        <x:v>1 of 1</x:v>
      </x:c>
      <x:c r="I702" t="n">
        <x:v>9.57</x:v>
      </x:c>
      <x:c r="J702" t="n">
        <x:v>9.57</x:v>
      </x:c>
      <x:c r="K702" t="n">
        <x:v>9.57</x:v>
      </x:c>
      <x:c r="L702" t="str">
        <x:v>$5–20</x:v>
      </x:c>
      <x:c r="M702" t="str">
        <x:v>Yes</x:v>
      </x:c>
      <x:c r="N702" t="str">
        <x:v>No</x:v>
      </x:c>
      <x:c r="O702" t="str">
        <x:v>Yes</x:v>
      </x:c>
      <x:c r="P702" t="str">
        <x:v>Condition not yet reviewed</x:v>
      </x:c>
      <x:c r="Q702" t="n">
        <x:v>9.57</x:v>
      </x:c>
      <x:c r="R702" t="n">
        <x:v>9.57</x:v>
      </x:c>
      <x:c r="S702" t="n">
        <x:v>9.57</x:v>
      </x:c>
      <x:c r="T702" t="str">
        <x:v>NEW PHYSICAL COPY from Sokalsky7's Collection.pdf page 9. Temporary raw benchmark = PriceCharting export allocation $9.57; exact TCGplayer market was not independently resolved in this add-pass.</x:v>
      </x:c>
      <x:c r="U702" t="n">
        <x:v>996</x:v>
      </x:c>
      <x:c r="V702" t="str">
        <x:v>PriceCharting updated Collection.pdf; TCGplayer exact reprice pending</x:v>
      </x:c>
      <x:c r="W702" t="str">
        <x:v>https://www.tcgplayer.com/search/pokemon/product?q=Victini+43+Noble+Victories</x:v>
      </x:c>
    </x:row>
    <x:row r="703">
      <x:c r="A703" t="n">
        <x:v>831</x:v>
      </x:c>
      <x:c r="B703" t="str">
        <x:v>PDF Import / Added Cards</x:v>
      </x:c>
      <x:c r="C703" t="str">
        <x:v>Pikachu</x:v>
      </x:c>
      <x:c r="D703" t="str">
        <x:v>HGSS03</x:v>
      </x:c>
      <x:c r="E703" t="str">
        <x:v>HGSS Black Star Promos</x:v>
      </x:c>
      <x:c r="F703" t="n">
        <x:v>2010</x:v>
      </x:c>
      <x:c r="G703" t="str">
        <x:v>Holo Promo</x:v>
      </x:c>
      <x:c r="H703" t="str">
        <x:v>2 of 2</x:v>
      </x:c>
      <x:c r="I703" t="n">
        <x:v>27</x:v>
      </x:c>
      <x:c r="J703" t="n">
        <x:v>46</x:v>
      </x:c>
      <x:c r="K703" t="n">
        <x:v>36.5</x:v>
      </x:c>
      <x:c r="L703" t="str">
        <x:v>$20+</x:v>
      </x:c>
      <x:c r="M703" t="str">
        <x:v>Yes</x:v>
      </x:c>
      <x:c r="N703" t="str">
        <x:v>Yes</x:v>
      </x:c>
      <x:c r="O703" t="str">
        <x:v>Yes</x:v>
      </x:c>
      <x:c r="P703" t="str">
        <x:v>Condition not yet reviewed</x:v>
      </x:c>
      <x:c r="Q703" t="n">
        <x:v>27</x:v>
      </x:c>
      <x:c r="R703" t="n">
        <x:v>46</x:v>
      </x:c>
      <x:c r="S703" t="n">
        <x:v>36.5</x:v>
      </x:c>
      <x:c r="T703" t="str">
        <x:v>NEW PHYSICAL COPY from Sokalsky7's Collection.pdf page 9. PriceCharting export allocation = $24.31 per card. Working clean/NM range inherited from the existing exact-printing two-source comp in the collection ($27.00–$46.00).</x:v>
      </x:c>
      <x:c r="U703" t="n">
        <x:v>996</x:v>
      </x:c>
      <x:c r="V703" t="str">
        <x:v>Existing exact-printing TCGplayer + PriceCharting research; new physical copy confirmed by updated Collection.pdf</x:v>
      </x:c>
      <x:c r="W703" t="str">
        <x:v>https://www.pricecharting.com/game/pokemon-promo/pikachu-hgss03</x:v>
      </x:c>
    </x:row>
    <x:row r="704">
      <x:c r="A704" t="n">
        <x:v>832</x:v>
      </x:c>
      <x:c r="B704" t="str">
        <x:v>PDF Import / Added Cards</x:v>
      </x:c>
      <x:c r="C704" t="str">
        <x:v>Mareep</x:v>
      </x:c>
      <x:c r="D704" t="str">
        <x:v>67/109</x:v>
      </x:c>
      <x:c r="E704" t="str">
        <x:v>EX Team Rocket Returns</x:v>
      </x:c>
      <x:c r="F704" t="n">
        <x:v>2004</x:v>
      </x:c>
      <x:c r="G704" t="str">
        <x:v>Stamped Reverse Holo</x:v>
      </x:c>
      <x:c r="H704" t="str">
        <x:v>2 of 2</x:v>
      </x:c>
      <x:c r="I704" t="n">
        <x:v>26</x:v>
      </x:c>
      <x:c r="J704" t="n">
        <x:v>50.5</x:v>
      </x:c>
      <x:c r="K704" t="n">
        <x:v>38.25</x:v>
      </x:c>
      <x:c r="L704" t="str">
        <x:v>$20+</x:v>
      </x:c>
      <x:c r="M704" t="str">
        <x:v>Yes</x:v>
      </x:c>
      <x:c r="N704" t="str">
        <x:v>Yes</x:v>
      </x:c>
      <x:c r="O704" t="str">
        <x:v>Yes</x:v>
      </x:c>
      <x:c r="P704" t="str">
        <x:v>Condition not yet reviewed</x:v>
      </x:c>
      <x:c r="Q704" t="n">
        <x:v>26</x:v>
      </x:c>
      <x:c r="R704" t="n">
        <x:v>50.5</x:v>
      </x:c>
      <x:c r="S704" t="n">
        <x:v>38.25</x:v>
      </x:c>
      <x:c r="T704" t="str">
        <x:v>NEW PHYSICAL COPY from Sokalsky7's Collection.pdf page 10. PriceCharting export allocation = $25.24 per card. Working clean/NM range inherited from the existing exact-printing two-source comp in the collection ($26.00–$50.50).</x:v>
      </x:c>
      <x:c r="U704" t="n">
        <x:v>996</x:v>
      </x:c>
      <x:c r="V704" t="str">
        <x:v>Existing exact-printing TCGplayer + PriceCharting research; new physical copy confirmed by updated Collection.pdf</x:v>
      </x:c>
      <x:c r="W704" t="str">
        <x:v>https://www.pricecharting.com/game/pokemon-team-rocket-returns/mareep-reverse-holo-67</x:v>
      </x:c>
    </x:row>
    <x:row r="705">
      <x:c r="A705" t="n">
        <x:v>833</x:v>
      </x:c>
      <x:c r="B705" t="str">
        <x:v>PDF Import / Added Cards</x:v>
      </x:c>
      <x:c r="C705" t="str">
        <x:v>Chikorita δ</x:v>
      </x:c>
      <x:c r="D705" t="str">
        <x:v>44/101</x:v>
      </x:c>
      <x:c r="E705" t="str">
        <x:v>EX Dragon Frontiers</x:v>
      </x:c>
      <x:c r="F705" t="n">
        <x:v>2006</x:v>
      </x:c>
      <x:c r="G705" t="str">
        <x:v>Stamped Reverse Holo (Delta Species — Fighting type)</x:v>
      </x:c>
      <x:c r="H705" t="str">
        <x:v>2 of 2</x:v>
      </x:c>
      <x:c r="I705" t="n">
        <x:v>34</x:v>
      </x:c>
      <x:c r="J705" t="n">
        <x:v>44</x:v>
      </x:c>
      <x:c r="K705" t="n">
        <x:v>39</x:v>
      </x:c>
      <x:c r="L705" t="str">
        <x:v>$20+</x:v>
      </x:c>
      <x:c r="M705" t="str">
        <x:v>Yes</x:v>
      </x:c>
      <x:c r="N705" t="str">
        <x:v>Yes</x:v>
      </x:c>
      <x:c r="O705" t="str">
        <x:v>Yes</x:v>
      </x:c>
      <x:c r="P705" t="str">
        <x:v>Condition not yet reviewed</x:v>
      </x:c>
      <x:c r="Q705" t="n">
        <x:v>34</x:v>
      </x:c>
      <x:c r="R705" t="n">
        <x:v>44</x:v>
      </x:c>
      <x:c r="S705" t="n">
        <x:v>39</x:v>
      </x:c>
      <x:c r="T705" t="str">
        <x:v>NEW PHYSICAL COPY from Sokalsky7's Collection.pdf page 10. PriceCharting export allocation = $34.75 per card. Working clean/NM range inherited from the existing exact-printing two-source comp in the collection ($34.00–$44.00).</x:v>
      </x:c>
      <x:c r="U705" t="n">
        <x:v>996</x:v>
      </x:c>
      <x:c r="V705" t="str">
        <x:v>Existing exact-printing TCGplayer + PriceCharting research; new physical copy confirmed by updated Collection.pdf</x:v>
      </x:c>
      <x:c r="W705" t="str">
        <x:v>https://www.tcgplayer.com/product/84281/pokemon-ex-dragon-frontiers-chikorita-delta-species</x:v>
      </x:c>
    </x:row>
    <x:row r="706">
      <x:c r="A706" t="n">
        <x:v>834</x:v>
      </x:c>
      <x:c r="B706" t="str">
        <x:v>PDF Import / Added Cards</x:v>
      </x:c>
      <x:c r="C706" t="str">
        <x:v>Cubone</x:v>
      </x:c>
      <x:c r="D706" t="str">
        <x:v>60/102</x:v>
      </x:c>
      <x:c r="E706" t="str">
        <x:v>Triumphant</x:v>
      </x:c>
      <x:c r="F706" t="n">
        <x:v>2010</x:v>
      </x:c>
      <x:c r="G706" t="str">
        <x:v>Reverse Holo</x:v>
      </x:c>
      <x:c r="H706" t="str">
        <x:v>2 of 2</x:v>
      </x:c>
      <x:c r="I706" t="n">
        <x:v>30</x:v>
      </x:c>
      <x:c r="J706" t="n">
        <x:v>50</x:v>
      </x:c>
      <x:c r="K706" t="n">
        <x:v>40</x:v>
      </x:c>
      <x:c r="L706" t="str">
        <x:v>$20+</x:v>
      </x:c>
      <x:c r="M706" t="str">
        <x:v>Yes</x:v>
      </x:c>
      <x:c r="N706" t="str">
        <x:v>Yes</x:v>
      </x:c>
      <x:c r="O706" t="str">
        <x:v>Yes</x:v>
      </x:c>
      <x:c r="P706" t="str">
        <x:v>Condition not yet reviewed</x:v>
      </x:c>
      <x:c r="Q706" t="n">
        <x:v>30</x:v>
      </x:c>
      <x:c r="R706" t="n">
        <x:v>50</x:v>
      </x:c>
      <x:c r="S706" t="n">
        <x:v>40</x:v>
      </x:c>
      <x:c r="T706" t="str">
        <x:v>NEW PHYSICAL COPY from Sokalsky7's Collection.pdf page 10. PriceCharting export allocation = $35.21 per card. Working clean/NM range inherited from the existing exact-printing two-source comp in the collection ($30.00–$50.00).</x:v>
      </x:c>
      <x:c r="U706" t="n">
        <x:v>996</x:v>
      </x:c>
      <x:c r="V706" t="str">
        <x:v>Existing exact-printing TCGplayer + PriceCharting research; new physical copy confirmed by updated Collection.pdf</x:v>
      </x:c>
      <x:c r="W706" t="str">
        <x:v>https://www.pricecharting.com/game/pokemon-triumphant/cubone-reverse-holo-60</x:v>
      </x:c>
    </x:row>
    <x:row r="707">
      <x:c r="A707" t="n">
        <x:v>835</x:v>
      </x:c>
      <x:c r="B707" t="str">
        <x:v>PDF Import / Added Cards</x:v>
      </x:c>
      <x:c r="C707" t="str">
        <x:v>Absol G</x:v>
      </x:c>
      <x:c r="D707" t="str">
        <x:v>1/147</x:v>
      </x:c>
      <x:c r="E707" t="str">
        <x:v>Supreme Victors</x:v>
      </x:c>
      <x:c r="F707" t="n">
        <x:v>2009</x:v>
      </x:c>
      <x:c r="G707" t="str">
        <x:v>Reverse Holo</x:v>
      </x:c>
      <x:c r="H707" t="str">
        <x:v>2 of 2</x:v>
      </x:c>
      <x:c r="I707" t="n">
        <x:v>40</x:v>
      </x:c>
      <x:c r="J707" t="n">
        <x:v>45</x:v>
      </x:c>
      <x:c r="K707" t="n">
        <x:v>42.5</x:v>
      </x:c>
      <x:c r="L707" t="str">
        <x:v>$20+</x:v>
      </x:c>
      <x:c r="M707" t="str">
        <x:v>Yes</x:v>
      </x:c>
      <x:c r="N707" t="str">
        <x:v>Yes</x:v>
      </x:c>
      <x:c r="O707" t="str">
        <x:v>Yes</x:v>
      </x:c>
      <x:c r="P707" t="str">
        <x:v>Condition not yet reviewed</x:v>
      </x:c>
      <x:c r="Q707" t="n">
        <x:v>40</x:v>
      </x:c>
      <x:c r="R707" t="n">
        <x:v>45</x:v>
      </x:c>
      <x:c r="S707" t="n">
        <x:v>42.5</x:v>
      </x:c>
      <x:c r="T707" t="str">
        <x:v>NEW PHYSICAL COPY from Sokalsky7's Collection.pdf page 10. PriceCharting export allocation = $20.65 per card. Working clean/NM range inherited from the existing exact-printing two-source comp in the collection ($40.00–$45.00).</x:v>
      </x:c>
      <x:c r="U707" t="n">
        <x:v>996</x:v>
      </x:c>
      <x:c r="V707" t="str">
        <x:v>Existing exact-printing TCGplayer + PriceCharting research; new physical copy confirmed by updated Collection.pdf</x:v>
      </x:c>
      <x:c r="W707" t="str">
        <x:v>https://www.tcgplayer.com/categories/trading-and-collectible-card-games/pokemon/price-guides/supreme-victors</x:v>
      </x:c>
    </x:row>
    <x:row r="708">
      <x:c r="A708" t="n">
        <x:v>836</x:v>
      </x:c>
      <x:c r="B708" t="str">
        <x:v>PDF Import / Added Cards</x:v>
      </x:c>
      <x:c r="C708" t="str">
        <x:v>Ninetales</x:v>
      </x:c>
      <x:c r="D708" t="str">
        <x:v>17/95</x:v>
      </x:c>
      <x:c r="E708" t="str">
        <x:v>Call of Legends</x:v>
      </x:c>
      <x:c r="F708" t="n">
        <x:v>2011</x:v>
      </x:c>
      <x:c r="G708" t="str">
        <x:v>Reverse Holo</x:v>
      </x:c>
      <x:c r="H708" t="str">
        <x:v>2 of 2</x:v>
      </x:c>
      <x:c r="I708" t="n">
        <x:v>48</x:v>
      </x:c>
      <x:c r="J708" t="n">
        <x:v>63</x:v>
      </x:c>
      <x:c r="K708" t="n">
        <x:v>55.5</x:v>
      </x:c>
      <x:c r="L708" t="str">
        <x:v>$20+</x:v>
      </x:c>
      <x:c r="M708" t="str">
        <x:v>Yes</x:v>
      </x:c>
      <x:c r="N708" t="str">
        <x:v>Yes</x:v>
      </x:c>
      <x:c r="O708" t="str">
        <x:v>Yes</x:v>
      </x:c>
      <x:c r="P708" t="str">
        <x:v>Condition not yet reviewed</x:v>
      </x:c>
      <x:c r="Q708" t="n">
        <x:v>48</x:v>
      </x:c>
      <x:c r="R708" t="n">
        <x:v>63</x:v>
      </x:c>
      <x:c r="S708" t="n">
        <x:v>55.5</x:v>
      </x:c>
      <x:c r="T708" t="str">
        <x:v>NEW PHYSICAL COPY from Sokalsky7's Collection.pdf page 10. PriceCharting export allocation = $26.61 per card. Working clean/NM range inherited from the existing exact-printing two-source comp in the collection ($48.00–$63.00).</x:v>
      </x:c>
      <x:c r="U708" t="n">
        <x:v>996</x:v>
      </x:c>
      <x:c r="V708" t="str">
        <x:v>Existing exact-printing TCGplayer + PriceCharting research; new physical copy confirmed by updated Collection.pdf</x:v>
      </x:c>
      <x:c r="W708" t="str">
        <x:v>https://www.tcgplayer.com/categories/trading-and-collectible-card-games/pokemon/price-guides/call-of-legends</x:v>
      </x:c>
    </x:row>
    <x:row r="709">
      <x:c r="A709" t="n">
        <x:v>837</x:v>
      </x:c>
      <x:c r="B709" t="str">
        <x:v>PDF Import / Added Cards</x:v>
      </x:c>
      <x:c r="C709" t="str">
        <x:v>Arcanine</x:v>
      </x:c>
      <x:c r="D709" t="str">
        <x:v>1/111</x:v>
      </x:c>
      <x:c r="E709" t="str">
        <x:v>Rising Rivals</x:v>
      </x:c>
      <x:c r="F709" t="n">
        <x:v>2009</x:v>
      </x:c>
      <x:c r="G709" t="str">
        <x:v>Holofoil (LV.53)</x:v>
      </x:c>
      <x:c r="H709" t="str">
        <x:v>2 of 2</x:v>
      </x:c>
      <x:c r="I709" t="n">
        <x:v>48</x:v>
      </x:c>
      <x:c r="J709" t="n">
        <x:v>65</x:v>
      </x:c>
      <x:c r="K709" t="n">
        <x:v>56.5</x:v>
      </x:c>
      <x:c r="L709" t="str">
        <x:v>$20+</x:v>
      </x:c>
      <x:c r="M709" t="str">
        <x:v>Yes</x:v>
      </x:c>
      <x:c r="N709" t="str">
        <x:v>Yes</x:v>
      </x:c>
      <x:c r="O709" t="str">
        <x:v>Yes</x:v>
      </x:c>
      <x:c r="P709" t="str">
        <x:v>Condition not yet reviewed</x:v>
      </x:c>
      <x:c r="Q709" t="n">
        <x:v>48</x:v>
      </x:c>
      <x:c r="R709" t="n">
        <x:v>65</x:v>
      </x:c>
      <x:c r="S709" t="n">
        <x:v>56.5</x:v>
      </x:c>
      <x:c r="T709" t="str">
        <x:v>NEW PHYSICAL COPY from Sokalsky7's Collection.pdf page 10. PriceCharting export allocation = $31.99 per card. Working clean/NM range inherited from the existing exact-printing two-source comp in the collection ($48.00–$65.00).</x:v>
      </x:c>
      <x:c r="U709" t="n">
        <x:v>996</x:v>
      </x:c>
      <x:c r="V709" t="str">
        <x:v>Existing exact-printing TCGplayer + PriceCharting research; new physical copy confirmed by updated Collection.pdf</x:v>
      </x:c>
      <x:c r="W709" t="str">
        <x:v>https://www.tcgplayer.com/product/83585/pokemon-rising-rivals-arcanine</x:v>
      </x:c>
    </x:row>
    <x:row r="710">
      <x:c r="A710" t="n">
        <x:v>838</x:v>
      </x:c>
      <x:c r="B710" t="str">
        <x:v>PDF Import / Added Cards</x:v>
      </x:c>
      <x:c r="C710" t="str">
        <x:v>Registeel-EX</x:v>
      </x:c>
      <x:c r="D710" t="str">
        <x:v>122/124</x:v>
      </x:c>
      <x:c r="E710" t="str">
        <x:v>Dragons Exalted</x:v>
      </x:c>
      <x:c r="F710" t="n">
        <x:v>2012</x:v>
      </x:c>
      <x:c r="G710" t="str">
        <x:v>Full Art Holo Ultra Rare</x:v>
      </x:c>
      <x:c r="H710" t="str">
        <x:v>2 of 2</x:v>
      </x:c>
      <x:c r="I710" t="n">
        <x:v>45</x:v>
      </x:c>
      <x:c r="J710" t="n">
        <x:v>70</x:v>
      </x:c>
      <x:c r="K710" t="n">
        <x:v>57.5</x:v>
      </x:c>
      <x:c r="L710" t="str">
        <x:v>$20+</x:v>
      </x:c>
      <x:c r="M710" t="str">
        <x:v>Yes</x:v>
      </x:c>
      <x:c r="N710" t="str">
        <x:v>Yes</x:v>
      </x:c>
      <x:c r="O710" t="str">
        <x:v>Yes</x:v>
      </x:c>
      <x:c r="P710" t="str">
        <x:v>Condition not yet reviewed</x:v>
      </x:c>
      <x:c r="Q710" t="n">
        <x:v>45</x:v>
      </x:c>
      <x:c r="R710" t="n">
        <x:v>70</x:v>
      </x:c>
      <x:c r="S710" t="n">
        <x:v>57.5</x:v>
      </x:c>
      <x:c r="T710" t="str">
        <x:v>NEW PHYSICAL COPY from Sokalsky7's Collection.pdf page 10. PriceCharting export allocation = $57.00 per card. Working clean/NM range inherited from the existing exact-printing two-source comp in the collection ($45.00–$70.00).</x:v>
      </x:c>
      <x:c r="U710" t="n">
        <x:v>996</x:v>
      </x:c>
      <x:c r="V710" t="str">
        <x:v>Existing exact-printing TCGplayer + PriceCharting research; new physical copy confirmed by updated Collection.pdf</x:v>
      </x:c>
      <x:c r="W710" t="str">
        <x:v>https://www.pricecharting.com/game/pokemon-dragons-exalted/registeel-ex-122</x:v>
      </x:c>
    </x:row>
    <x:row r="711">
      <x:c r="A711" t="n">
        <x:v>839</x:v>
      </x:c>
      <x:c r="B711" t="str">
        <x:v>PDF Import / Added Cards</x:v>
      </x:c>
      <x:c r="C711" t="str">
        <x:v>Emolga</x:v>
      </x:c>
      <x:c r="D711" t="str">
        <x:v>RC23/RC25</x:v>
      </x:c>
      <x:c r="E711" t="str">
        <x:v>Legendary Treasures: Radiant Collection</x:v>
      </x:c>
      <x:c r="F711" t="n">
        <x:v>2013</x:v>
      </x:c>
      <x:c r="G711" t="str">
        <x:v>Full Art Holo Ultra Rare</x:v>
      </x:c>
      <x:c r="H711" t="str">
        <x:v>3 of 4</x:v>
      </x:c>
      <x:c r="I711" t="n">
        <x:v>45</x:v>
      </x:c>
      <x:c r="J711" t="n">
        <x:v>90</x:v>
      </x:c>
      <x:c r="K711" t="n">
        <x:v>67.5</x:v>
      </x:c>
      <x:c r="L711" t="str">
        <x:v>$20+</x:v>
      </x:c>
      <x:c r="M711" t="str">
        <x:v>Yes</x:v>
      </x:c>
      <x:c r="N711" t="str">
        <x:v>Yes</x:v>
      </x:c>
      <x:c r="O711" t="str">
        <x:v>Yes</x:v>
      </x:c>
      <x:c r="P711" t="str">
        <x:v>Condition not yet reviewed</x:v>
      </x:c>
      <x:c r="Q711" t="n">
        <x:v>45</x:v>
      </x:c>
      <x:c r="R711" t="n">
        <x:v>90</x:v>
      </x:c>
      <x:c r="S711" t="n">
        <x:v>67.5</x:v>
      </x:c>
      <x:c r="T711" t="str">
        <x:v>NEW PHYSICAL COPY from Sokalsky7's Collection.pdf page 11. PriceCharting export allocation = $46.42 per card. Working clean/NM range inherited from the existing exact-printing two-source comp in the collection ($45.00–$90.00).</x:v>
      </x:c>
      <x:c r="U711" t="n">
        <x:v>996</x:v>
      </x:c>
      <x:c r="V711" t="str">
        <x:v>Existing exact-printing TCGplayer + PriceCharting research; new physical copy confirmed by updated Collection.pdf</x:v>
      </x:c>
      <x:c r="W711" t="str">
        <x:v>https://www.pricecharting.com/game/pokemon-legendary-treasures/emolga-rc23</x:v>
      </x:c>
    </x:row>
    <x:row r="712">
      <x:c r="A712" t="n">
        <x:v>840</x:v>
      </x:c>
      <x:c r="B712" t="str">
        <x:v>PDF Import / Added Cards</x:v>
      </x:c>
      <x:c r="C712" t="str">
        <x:v>Emolga</x:v>
      </x:c>
      <x:c r="D712" t="str">
        <x:v>RC23/RC25</x:v>
      </x:c>
      <x:c r="E712" t="str">
        <x:v>Legendary Treasures: Radiant Collection</x:v>
      </x:c>
      <x:c r="F712" t="n">
        <x:v>2013</x:v>
      </x:c>
      <x:c r="G712" t="str">
        <x:v>Full Art Holo Ultra Rare</x:v>
      </x:c>
      <x:c r="H712" t="str">
        <x:v>4 of 4</x:v>
      </x:c>
      <x:c r="I712" t="n">
        <x:v>45</x:v>
      </x:c>
      <x:c r="J712" t="n">
        <x:v>90</x:v>
      </x:c>
      <x:c r="K712" t="n">
        <x:v>67.5</x:v>
      </x:c>
      <x:c r="L712" t="str">
        <x:v>$20+</x:v>
      </x:c>
      <x:c r="M712" t="str">
        <x:v>Yes</x:v>
      </x:c>
      <x:c r="N712" t="str">
        <x:v>Yes</x:v>
      </x:c>
      <x:c r="O712" t="str">
        <x:v>Yes</x:v>
      </x:c>
      <x:c r="P712" t="str">
        <x:v>Condition not yet reviewed</x:v>
      </x:c>
      <x:c r="Q712" t="n">
        <x:v>45</x:v>
      </x:c>
      <x:c r="R712" t="n">
        <x:v>90</x:v>
      </x:c>
      <x:c r="S712" t="n">
        <x:v>67.5</x:v>
      </x:c>
      <x:c r="T712" t="str">
        <x:v>NEW PHYSICAL COPY from Sokalsky7's Collection.pdf page 11. PriceCharting export allocation = $46.42 per card. Working clean/NM range inherited from the existing exact-printing two-source comp in the collection ($45.00–$90.00).</x:v>
      </x:c>
      <x:c r="U712" t="n">
        <x:v>996</x:v>
      </x:c>
      <x:c r="V712" t="str">
        <x:v>Existing exact-printing TCGplayer + PriceCharting research; new physical copy confirmed by updated Collection.pdf</x:v>
      </x:c>
      <x:c r="W712" t="str">
        <x:v>https://www.pricecharting.com/game/pokemon-legendary-treasures/emolga-rc23</x:v>
      </x:c>
    </x:row>
    <x:row r="713">
      <x:c r="A713" t="n">
        <x:v>841</x:v>
      </x:c>
      <x:c r="B713" t="str">
        <x:v>PDF Import / Added Cards</x:v>
      </x:c>
      <x:c r="C713" t="str">
        <x:v>Pikachu</x:v>
      </x:c>
      <x:c r="D713" t="str">
        <x:v>RC7/RC25</x:v>
      </x:c>
      <x:c r="E713" t="str">
        <x:v>Legendary Treasures</x:v>
      </x:c>
      <x:c r="F713" t="n">
        <x:v>2013</x:v>
      </x:c>
      <x:c r="G713" t="str">
        <x:v>Radiant Collection Holo (Uncommon)</x:v>
      </x:c>
      <x:c r="H713" t="str">
        <x:v>3 of 4</x:v>
      </x:c>
      <x:c r="I713" t="n">
        <x:v>50</x:v>
      </x:c>
      <x:c r="J713" t="n">
        <x:v>90</x:v>
      </x:c>
      <x:c r="K713" t="n">
        <x:v>70</x:v>
      </x:c>
      <x:c r="L713" t="str">
        <x:v>$20+</x:v>
      </x:c>
      <x:c r="M713" t="str">
        <x:v>Yes</x:v>
      </x:c>
      <x:c r="N713" t="str">
        <x:v>Yes</x:v>
      </x:c>
      <x:c r="O713" t="str">
        <x:v>Yes</x:v>
      </x:c>
      <x:c r="P713" t="str">
        <x:v>Condition not yet reviewed</x:v>
      </x:c>
      <x:c r="Q713" t="n">
        <x:v>50</x:v>
      </x:c>
      <x:c r="R713" t="n">
        <x:v>90</x:v>
      </x:c>
      <x:c r="S713" t="n">
        <x:v>70</x:v>
      </x:c>
      <x:c r="T713" t="str">
        <x:v>NEW PHYSICAL COPY from Sokalsky7's Collection.pdf page 11. PriceCharting export allocation = $41.19 per card. Working clean/NM range inherited from the existing exact-printing two-source comp in the collection ($50.00–$90.00).</x:v>
      </x:c>
      <x:c r="U713" t="n">
        <x:v>996</x:v>
      </x:c>
      <x:c r="V713" t="str">
        <x:v>Existing exact-printing TCGplayer + PriceCharting research; new physical copy confirmed by updated Collection.pdf</x:v>
      </x:c>
      <x:c r="W713" t="str">
        <x:v>https://www.pricecharting.com/game/pokemon-legendary-treasures/pikachu-rc7</x:v>
      </x:c>
    </x:row>
    <x:row r="714">
      <x:c r="A714" t="n">
        <x:v>842</x:v>
      </x:c>
      <x:c r="B714" t="str">
        <x:v>PDF Import / Added Cards</x:v>
      </x:c>
      <x:c r="C714" t="str">
        <x:v>Pikachu</x:v>
      </x:c>
      <x:c r="D714" t="str">
        <x:v>RC7/RC25</x:v>
      </x:c>
      <x:c r="E714" t="str">
        <x:v>Legendary Treasures</x:v>
      </x:c>
      <x:c r="F714" t="n">
        <x:v>2013</x:v>
      </x:c>
      <x:c r="G714" t="str">
        <x:v>Radiant Collection Holo (Uncommon)</x:v>
      </x:c>
      <x:c r="H714" t="str">
        <x:v>4 of 4</x:v>
      </x:c>
      <x:c r="I714" t="n">
        <x:v>50</x:v>
      </x:c>
      <x:c r="J714" t="n">
        <x:v>90</x:v>
      </x:c>
      <x:c r="K714" t="n">
        <x:v>70</x:v>
      </x:c>
      <x:c r="L714" t="str">
        <x:v>$20+</x:v>
      </x:c>
      <x:c r="M714" t="str">
        <x:v>Yes</x:v>
      </x:c>
      <x:c r="N714" t="str">
        <x:v>Yes</x:v>
      </x:c>
      <x:c r="O714" t="str">
        <x:v>Yes</x:v>
      </x:c>
      <x:c r="P714" t="str">
        <x:v>Condition not yet reviewed</x:v>
      </x:c>
      <x:c r="Q714" t="n">
        <x:v>50</x:v>
      </x:c>
      <x:c r="R714" t="n">
        <x:v>90</x:v>
      </x:c>
      <x:c r="S714" t="n">
        <x:v>70</x:v>
      </x:c>
      <x:c r="T714" t="str">
        <x:v>NEW PHYSICAL COPY from Sokalsky7's Collection.pdf page 11. PriceCharting export allocation = $41.19 per card. Working clean/NM range inherited from the existing exact-printing two-source comp in the collection ($50.00–$90.00).</x:v>
      </x:c>
      <x:c r="U714" t="n">
        <x:v>996</x:v>
      </x:c>
      <x:c r="V714" t="str">
        <x:v>Existing exact-printing TCGplayer + PriceCharting research; new physical copy confirmed by updated Collection.pdf</x:v>
      </x:c>
      <x:c r="W714" t="str">
        <x:v>https://www.pricecharting.com/game/pokemon-legendary-treasures/pikachu-rc7</x:v>
      </x:c>
    </x:row>
    <x:row r="715">
      <x:c r="A715" t="n">
        <x:v>843</x:v>
      </x:c>
      <x:c r="B715" t="str">
        <x:v>PDF Import / Added Cards</x:v>
      </x:c>
      <x:c r="C715" t="str">
        <x:v>Ghetsis</x:v>
      </x:c>
      <x:c r="D715" t="str">
        <x:v>115/116</x:v>
      </x:c>
      <x:c r="E715" t="str">
        <x:v>Plasma Freeze</x:v>
      </x:c>
      <x:c r="F715" t="n">
        <x:v>2013</x:v>
      </x:c>
      <x:c r="G715" t="str">
        <x:v>Full Art Holo Ultra Rare (Team Plasma)</x:v>
      </x:c>
      <x:c r="H715" t="str">
        <x:v>2 of 2</x:v>
      </x:c>
      <x:c r="I715" t="n">
        <x:v>65</x:v>
      </x:c>
      <x:c r="J715" t="n">
        <x:v>90</x:v>
      </x:c>
      <x:c r="K715" t="n">
        <x:v>77.5</x:v>
      </x:c>
      <x:c r="L715" t="str">
        <x:v>$20+</x:v>
      </x:c>
      <x:c r="M715" t="str">
        <x:v>Yes</x:v>
      </x:c>
      <x:c r="N715" t="str">
        <x:v>Yes</x:v>
      </x:c>
      <x:c r="O715" t="str">
        <x:v>Yes</x:v>
      </x:c>
      <x:c r="P715" t="str">
        <x:v>Condition not yet reviewed</x:v>
      </x:c>
      <x:c r="Q715" t="n">
        <x:v>65</x:v>
      </x:c>
      <x:c r="R715" t="n">
        <x:v>90</x:v>
      </x:c>
      <x:c r="S715" t="n">
        <x:v>77.5</x:v>
      </x:c>
      <x:c r="T715" t="str">
        <x:v>NEW PHYSICAL COPY from Sokalsky7's Collection.pdf page 11. PriceCharting export allocation = $57.85 per card. Working clean/NM range inherited from the existing exact-printing two-source comp in the collection ($65.00–$90.00).</x:v>
      </x:c>
      <x:c r="U715" t="n">
        <x:v>996</x:v>
      </x:c>
      <x:c r="V715" t="str">
        <x:v>Existing exact-printing TCGplayer + PriceCharting research; new physical copy confirmed by updated Collection.pdf</x:v>
      </x:c>
      <x:c r="W715" t="str">
        <x:v>https://www.tcgplayer.com/product/85695/pokemon-plasma-freeze-ghetsis-team-plasma-full-art</x:v>
      </x:c>
    </x:row>
    <x:row r="716">
      <x:c r="A716" t="n">
        <x:v>844</x:v>
      </x:c>
      <x:c r="B716" t="str">
        <x:v>PDF Import / Added Cards</x:v>
      </x:c>
      <x:c r="C716" t="str">
        <x:v>Umbreon</x:v>
      </x:c>
      <x:c r="D716" t="str">
        <x:v>61/108</x:v>
      </x:c>
      <x:c r="E716" t="str">
        <x:v>Dark Explorers</x:v>
      </x:c>
      <x:c r="F716" t="n">
        <x:v>2012</x:v>
      </x:c>
      <x:c r="G716" t="str">
        <x:v>Reverse Holo</x:v>
      </x:c>
      <x:c r="H716" t="str">
        <x:v>2 of 2</x:v>
      </x:c>
      <x:c r="I716" t="n">
        <x:v>60</x:v>
      </x:c>
      <x:c r="J716" t="n">
        <x:v>100</x:v>
      </x:c>
      <x:c r="K716" t="n">
        <x:v>80</x:v>
      </x:c>
      <x:c r="L716" t="str">
        <x:v>$20+</x:v>
      </x:c>
      <x:c r="M716" t="str">
        <x:v>Yes</x:v>
      </x:c>
      <x:c r="N716" t="str">
        <x:v>Yes</x:v>
      </x:c>
      <x:c r="O716" t="str">
        <x:v>Yes</x:v>
      </x:c>
      <x:c r="P716" t="str">
        <x:v>Condition not yet reviewed</x:v>
      </x:c>
      <x:c r="Q716" t="n">
        <x:v>60</x:v>
      </x:c>
      <x:c r="R716" t="n">
        <x:v>100</x:v>
      </x:c>
      <x:c r="S716" t="n">
        <x:v>80</x:v>
      </x:c>
      <x:c r="T716" t="str">
        <x:v>NEW PHYSICAL COPY from Sokalsky7's Collection.pdf page 11. PriceCharting export allocation = $55.00 per card. Working clean/NM range inherited from the existing exact-printing two-source comp in the collection ($60.00–$100.00).</x:v>
      </x:c>
      <x:c r="U716" t="n">
        <x:v>996</x:v>
      </x:c>
      <x:c r="V716" t="str">
        <x:v>Existing exact-printing TCGplayer + PriceCharting research; new physical copy confirmed by updated Collection.pdf</x:v>
      </x:c>
      <x:c r="W716" t="str">
        <x:v>https://tcgscreener.com/pokemon/dark-explorers/umbreon-rev-holo-61</x:v>
      </x:c>
    </x:row>
    <x:row r="717">
      <x:c r="A717" t="n">
        <x:v>845</x:v>
      </x:c>
      <x:c r="B717" t="str">
        <x:v>PDF Import / Added Cards</x:v>
      </x:c>
      <x:c r="C717" t="str">
        <x:v>Charmander</x:v>
      </x:c>
      <x:c r="D717" t="str">
        <x:v>59/99</x:v>
      </x:c>
      <x:c r="E717" t="str">
        <x:v>Arceus</x:v>
      </x:c>
      <x:c r="F717" t="n">
        <x:v>2009</x:v>
      </x:c>
      <x:c r="G717" t="str">
        <x:v>Reverse Holo</x:v>
      </x:c>
      <x:c r="H717" t="str">
        <x:v>2 of 2</x:v>
      </x:c>
      <x:c r="I717" t="n">
        <x:v>75</x:v>
      </x:c>
      <x:c r="J717" t="n">
        <x:v>90</x:v>
      </x:c>
      <x:c r="K717" t="n">
        <x:v>82.5</x:v>
      </x:c>
      <x:c r="L717" t="str">
        <x:v>$20+</x:v>
      </x:c>
      <x:c r="M717" t="str">
        <x:v>Yes</x:v>
      </x:c>
      <x:c r="N717" t="str">
        <x:v>Yes</x:v>
      </x:c>
      <x:c r="O717" t="str">
        <x:v>Yes</x:v>
      </x:c>
      <x:c r="P717" t="str">
        <x:v>Condition not yet reviewed</x:v>
      </x:c>
      <x:c r="Q717" t="n">
        <x:v>75</x:v>
      </x:c>
      <x:c r="R717" t="n">
        <x:v>90</x:v>
      </x:c>
      <x:c r="S717" t="n">
        <x:v>82.5</x:v>
      </x:c>
      <x:c r="T717" t="str">
        <x:v>NEW PHYSICAL COPY from Sokalsky7's Collection.pdf page 11. PriceCharting export allocation = $32.84 per card. Working clean/NM range inherited from the existing exact-printing two-source comp in the collection ($75.00–$90.00).</x:v>
      </x:c>
      <x:c r="U717" t="n">
        <x:v>996</x:v>
      </x:c>
      <x:c r="V717" t="str">
        <x:v>Existing exact-printing TCGplayer + PriceCharting research; new physical copy confirmed by updated Collection.pdf</x:v>
      </x:c>
      <x:c r="W717" t="str">
        <x:v>https://www.tcgplayer.com/categories/trading-collectible-card-games/pokemon/price-guides/arceus</x:v>
      </x:c>
    </x:row>
    <x:row r="718">
      <x:c r="A718" t="n">
        <x:v>846</x:v>
      </x:c>
      <x:c r="B718" t="str">
        <x:v>PDF Import / Added Cards</x:v>
      </x:c>
      <x:c r="C718" t="str">
        <x:v>Cresselia-EX</x:v>
      </x:c>
      <x:c r="D718" t="str">
        <x:v>143/149</x:v>
      </x:c>
      <x:c r="E718" t="str">
        <x:v>Boundaries Crossed</x:v>
      </x:c>
      <x:c r="F718" t="n">
        <x:v>2012</x:v>
      </x:c>
      <x:c r="G718" t="str">
        <x:v>Full Art Holo Ultra Rare</x:v>
      </x:c>
      <x:c r="H718" t="str">
        <x:v>2 of 2</x:v>
      </x:c>
      <x:c r="I718" t="n">
        <x:v>60</x:v>
      </x:c>
      <x:c r="J718" t="n">
        <x:v>110</x:v>
      </x:c>
      <x:c r="K718" t="n">
        <x:v>85</x:v>
      </x:c>
      <x:c r="L718" t="str">
        <x:v>$20+</x:v>
      </x:c>
      <x:c r="M718" t="str">
        <x:v>Yes</x:v>
      </x:c>
      <x:c r="N718" t="str">
        <x:v>Yes</x:v>
      </x:c>
      <x:c r="O718" t="str">
        <x:v>Yes</x:v>
      </x:c>
      <x:c r="P718" t="str">
        <x:v>Condition not yet reviewed</x:v>
      </x:c>
      <x:c r="Q718" t="n">
        <x:v>60</x:v>
      </x:c>
      <x:c r="R718" t="n">
        <x:v>110</x:v>
      </x:c>
      <x:c r="S718" t="n">
        <x:v>85</x:v>
      </x:c>
      <x:c r="T718" t="str">
        <x:v>NEW PHYSICAL COPY from Sokalsky7's Collection.pdf page 11. PriceCharting export allocation = $60.00 per card. Working clean/NM range inherited from the existing exact-printing two-source comp in the collection ($60.00–$110.00).</x:v>
      </x:c>
      <x:c r="U718" t="n">
        <x:v>996</x:v>
      </x:c>
      <x:c r="V718" t="str">
        <x:v>Existing exact-printing TCGplayer + PriceCharting research; new physical copy confirmed by updated Collection.pdf</x:v>
      </x:c>
      <x:c r="W718" t="str">
        <x:v>https://www.pricecharting.com/game/pokemon-boundaries-crossed/cresselia-ex-143</x:v>
      </x:c>
    </x:row>
    <x:row r="719">
      <x:c r="A719" t="n">
        <x:v>847</x:v>
      </x:c>
      <x:c r="B719" t="str">
        <x:v>PDF Import / Added Cards</x:v>
      </x:c>
      <x:c r="C719" t="str">
        <x:v>Gliscor LV.X</x:v>
      </x:c>
      <x:c r="D719" t="str">
        <x:v>141/146</x:v>
      </x:c>
      <x:c r="E719" t="str">
        <x:v>Legends Awakened</x:v>
      </x:c>
      <x:c r="F719" t="n">
        <x:v>2008</x:v>
      </x:c>
      <x:c r="G719" t="str">
        <x:v>Holofoil Ultra Rare (LV.X)</x:v>
      </x:c>
      <x:c r="H719" t="str">
        <x:v>3 of 4</x:v>
      </x:c>
      <x:c r="I719" t="n">
        <x:v>80</x:v>
      </x:c>
      <x:c r="J719" t="n">
        <x:v>100</x:v>
      </x:c>
      <x:c r="K719" t="n">
        <x:v>90</x:v>
      </x:c>
      <x:c r="L719" t="str">
        <x:v>$20+</x:v>
      </x:c>
      <x:c r="M719" t="str">
        <x:v>Yes</x:v>
      </x:c>
      <x:c r="N719" t="str">
        <x:v>Yes</x:v>
      </x:c>
      <x:c r="O719" t="str">
        <x:v>Yes</x:v>
      </x:c>
      <x:c r="P719" t="str">
        <x:v>Condition not yet reviewed</x:v>
      </x:c>
      <x:c r="Q719" t="n">
        <x:v>80</x:v>
      </x:c>
      <x:c r="R719" t="n">
        <x:v>100</x:v>
      </x:c>
      <x:c r="S719" t="n">
        <x:v>90</x:v>
      </x:c>
      <x:c r="T719" t="str">
        <x:v>NEW PHYSICAL COPY from Sokalsky7's Collection.pdf page 11. PriceCharting export allocation = $72.05 per card. Working clean/NM range inherited from the existing exact-printing two-source comp in the collection ($80.00–$100.00).</x:v>
      </x:c>
      <x:c r="U719" t="n">
        <x:v>996</x:v>
      </x:c>
      <x:c r="V719" t="str">
        <x:v>Existing exact-printing TCGplayer + PriceCharting research; new physical copy confirmed by updated Collection.pdf</x:v>
      </x:c>
      <x:c r="W719" t="str">
        <x:v>https://www.pricecharting.com/game/pokemon-legends-awakened/gliscor-lv-x-141</x:v>
      </x:c>
    </x:row>
    <x:row r="720">
      <x:c r="A720" t="n">
        <x:v>848</x:v>
      </x:c>
      <x:c r="B720" t="str">
        <x:v>PDF Import / Added Cards</x:v>
      </x:c>
      <x:c r="C720" t="str">
        <x:v>Gliscor LV.X</x:v>
      </x:c>
      <x:c r="D720" t="str">
        <x:v>141/146</x:v>
      </x:c>
      <x:c r="E720" t="str">
        <x:v>Legends Awakened</x:v>
      </x:c>
      <x:c r="F720" t="n">
        <x:v>2008</x:v>
      </x:c>
      <x:c r="G720" t="str">
        <x:v>Holofoil Ultra Rare (LV.X)</x:v>
      </x:c>
      <x:c r="H720" t="str">
        <x:v>4 of 4</x:v>
      </x:c>
      <x:c r="I720" t="n">
        <x:v>80</x:v>
      </x:c>
      <x:c r="J720" t="n">
        <x:v>100</x:v>
      </x:c>
      <x:c r="K720" t="n">
        <x:v>90</x:v>
      </x:c>
      <x:c r="L720" t="str">
        <x:v>$20+</x:v>
      </x:c>
      <x:c r="M720" t="str">
        <x:v>Yes</x:v>
      </x:c>
      <x:c r="N720" t="str">
        <x:v>Yes</x:v>
      </x:c>
      <x:c r="O720" t="str">
        <x:v>Yes</x:v>
      </x:c>
      <x:c r="P720" t="str">
        <x:v>Condition not yet reviewed</x:v>
      </x:c>
      <x:c r="Q720" t="n">
        <x:v>80</x:v>
      </x:c>
      <x:c r="R720" t="n">
        <x:v>100</x:v>
      </x:c>
      <x:c r="S720" t="n">
        <x:v>90</x:v>
      </x:c>
      <x:c r="T720" t="str">
        <x:v>NEW PHYSICAL COPY from Sokalsky7's Collection.pdf page 11. PriceCharting export allocation = $72.05 per card. Working clean/NM range inherited from the existing exact-printing two-source comp in the collection ($80.00–$100.00).</x:v>
      </x:c>
      <x:c r="U720" t="n">
        <x:v>996</x:v>
      </x:c>
      <x:c r="V720" t="str">
        <x:v>Existing exact-printing TCGplayer + PriceCharting research; new physical copy confirmed by updated Collection.pdf</x:v>
      </x:c>
      <x:c r="W720" t="str">
        <x:v>https://www.pricecharting.com/game/pokemon-legends-awakened/gliscor-lv-x-141</x:v>
      </x:c>
    </x:row>
    <x:row r="721">
      <x:c r="A721" t="n">
        <x:v>849</x:v>
      </x:c>
      <x:c r="B721" t="str">
        <x:v>PDF Import / Added Cards</x:v>
      </x:c>
      <x:c r="C721" t="str">
        <x:v>M Gyarados-EX</x:v>
      </x:c>
      <x:c r="D721" t="str">
        <x:v>115/122</x:v>
      </x:c>
      <x:c r="E721" t="str">
        <x:v>XY—BREAKpoint</x:v>
      </x:c>
      <x:c r="F721" t="n">
        <x:v>2016</x:v>
      </x:c>
      <x:c r="G721" t="str">
        <x:v>Shiny Full Art Holo Ultra Rare</x:v>
      </x:c>
      <x:c r="H721" t="str">
        <x:v>2 of 2</x:v>
      </x:c>
      <x:c r="I721" t="n">
        <x:v>90</x:v>
      </x:c>
      <x:c r="J721" t="n">
        <x:v>125</x:v>
      </x:c>
      <x:c r="K721" t="n">
        <x:v>107.5</x:v>
      </x:c>
      <x:c r="L721" t="str">
        <x:v>$20+</x:v>
      </x:c>
      <x:c r="M721" t="str">
        <x:v>Yes</x:v>
      </x:c>
      <x:c r="N721" t="str">
        <x:v>Yes</x:v>
      </x:c>
      <x:c r="O721" t="str">
        <x:v>Yes</x:v>
      </x:c>
      <x:c r="P721" t="str">
        <x:v>Condition not yet reviewed</x:v>
      </x:c>
      <x:c r="Q721" t="n">
        <x:v>90</x:v>
      </x:c>
      <x:c r="R721" t="n">
        <x:v>125</x:v>
      </x:c>
      <x:c r="S721" t="n">
        <x:v>107.5</x:v>
      </x:c>
      <x:c r="T721" t="str">
        <x:v>NEW PHYSICAL COPY from Sokalsky7's Collection.pdf page 12. PriceCharting export allocation = $91.44 per card. Working clean/NM range inherited from the existing exact-printing two-source comp in the collection ($90.00–$125.00).</x:v>
      </x:c>
      <x:c r="U721" t="n">
        <x:v>996</x:v>
      </x:c>
      <x:c r="V721" t="str">
        <x:v>Existing exact-printing TCGplayer + PriceCharting research; new physical copy confirmed by updated Collection.pdf</x:v>
      </x:c>
      <x:c r="W721" t="str">
        <x:v>https://www.pricecharting.com/game/pokemon-breakpoint/m-gyarados-ex-115</x:v>
      </x:c>
    </x:row>
    <x:row r="722">
      <x:c r="A722" t="n">
        <x:v>850</x:v>
      </x:c>
      <x:c r="B722" t="str">
        <x:v>PDF Import / Added Cards</x:v>
      </x:c>
      <x:c r="C722" t="str">
        <x:v>Iris</x:v>
      </x:c>
      <x:c r="D722" t="str">
        <x:v>101/101</x:v>
      </x:c>
      <x:c r="E722" t="str">
        <x:v>Plasma Blast</x:v>
      </x:c>
      <x:c r="F722" t="n">
        <x:v>2013</x:v>
      </x:c>
      <x:c r="G722" t="str">
        <x:v>Full Art Holo Ultra Rare Trainer</x:v>
      </x:c>
      <x:c r="H722" t="str">
        <x:v>2 of 2</x:v>
      </x:c>
      <x:c r="I722" t="n">
        <x:v>90</x:v>
      </x:c>
      <x:c r="J722" t="n">
        <x:v>125</x:v>
      </x:c>
      <x:c r="K722" t="n">
        <x:v>107.5</x:v>
      </x:c>
      <x:c r="L722" t="str">
        <x:v>$20+</x:v>
      </x:c>
      <x:c r="M722" t="str">
        <x:v>Yes</x:v>
      </x:c>
      <x:c r="N722" t="str">
        <x:v>Yes</x:v>
      </x:c>
      <x:c r="O722" t="str">
        <x:v>Yes</x:v>
      </x:c>
      <x:c r="P722" t="str">
        <x:v>Condition not yet reviewed</x:v>
      </x:c>
      <x:c r="Q722" t="n">
        <x:v>90</x:v>
      </x:c>
      <x:c r="R722" t="n">
        <x:v>125</x:v>
      </x:c>
      <x:c r="S722" t="n">
        <x:v>107.5</x:v>
      </x:c>
      <x:c r="T722" t="str">
        <x:v>NEW PHYSICAL COPY from Sokalsky7's Collection.pdf page 12. PriceCharting export allocation = $69.97 per card. Working clean/NM range inherited from the existing exact-printing two-source comp in the collection ($90.00–$125.00).</x:v>
      </x:c>
      <x:c r="U722" t="n">
        <x:v>996</x:v>
      </x:c>
      <x:c r="V722" t="str">
        <x:v>Existing exact-printing TCGplayer + PriceCharting research; new physical copy confirmed by updated Collection.pdf</x:v>
      </x:c>
      <x:c r="W722" t="str">
        <x:v>https://www.pricecharting.com/game/pokemon-plasma-blast/iris-101</x:v>
      </x:c>
    </x:row>
    <x:row r="723">
      <x:c r="A723" t="n">
        <x:v>851</x:v>
      </x:c>
      <x:c r="B723" t="str">
        <x:v>PDF Import / Added Cards</x:v>
      </x:c>
      <x:c r="C723" t="str">
        <x:v>Suicune &amp; Entei LEGEND</x:v>
      </x:c>
      <x:c r="D723" t="str">
        <x:v>95/95</x:v>
      </x:c>
      <x:c r="E723" t="str">
        <x:v>HS—Unleashed</x:v>
      </x:c>
      <x:c r="F723" t="n">
        <x:v>2010</x:v>
      </x:c>
      <x:c r="G723" t="str">
        <x:v>LEGEND Bottom Half Holo Ultra Rare</x:v>
      </x:c>
      <x:c r="H723" t="str">
        <x:v>2 of 2</x:v>
      </x:c>
      <x:c r="I723" t="n">
        <x:v>90</x:v>
      </x:c>
      <x:c r="J723" t="n">
        <x:v>130</x:v>
      </x:c>
      <x:c r="K723" t="n">
        <x:v>110</x:v>
      </x:c>
      <x:c r="L723" t="str">
        <x:v>$20+</x:v>
      </x:c>
      <x:c r="M723" t="str">
        <x:v>Yes</x:v>
      </x:c>
      <x:c r="N723" t="str">
        <x:v>Yes</x:v>
      </x:c>
      <x:c r="O723" t="str">
        <x:v>Yes</x:v>
      </x:c>
      <x:c r="P723" t="str">
        <x:v>Condition not yet reviewed</x:v>
      </x:c>
      <x:c r="Q723" t="n">
        <x:v>90</x:v>
      </x:c>
      <x:c r="R723" t="n">
        <x:v>130</x:v>
      </x:c>
      <x:c r="S723" t="n">
        <x:v>110</x:v>
      </x:c>
      <x:c r="T723" t="str">
        <x:v>NEW PHYSICAL COPY from Sokalsky7's Collection.pdf page 12. PriceCharting export allocation = $95.10 per card. Working clean/NM range inherited from the existing exact-printing two-source comp in the collection ($90.00–$130.00).</x:v>
      </x:c>
      <x:c r="U723" t="n">
        <x:v>996</x:v>
      </x:c>
      <x:c r="V723" t="str">
        <x:v>Existing exact-printing TCGplayer + PriceCharting research; new physical copy confirmed by updated Collection.pdf</x:v>
      </x:c>
      <x:c r="W723" t="str">
        <x:v>https://www.pricecharting.com/game/pokemon-unleashed/suicune-%26-entei-legend-95</x:v>
      </x:c>
    </x:row>
    <x:row r="724">
      <x:c r="A724" t="n">
        <x:v>852</x:v>
      </x:c>
      <x:c r="B724" t="str">
        <x:v>PDF Import / Added Cards</x:v>
      </x:c>
      <x:c r="C724" t="str">
        <x:v>Thundurus-EX</x:v>
      </x:c>
      <x:c r="D724" t="str">
        <x:v>110/116</x:v>
      </x:c>
      <x:c r="E724" t="str">
        <x:v>Plasma Freeze</x:v>
      </x:c>
      <x:c r="F724" t="n">
        <x:v>2013</x:v>
      </x:c>
      <x:c r="G724" t="str">
        <x:v>Full Art Holo Ultra Rare (Team Plasma)</x:v>
      </x:c>
      <x:c r="H724" t="str">
        <x:v>2 of 2</x:v>
      </x:c>
      <x:c r="I724" t="n">
        <x:v>95</x:v>
      </x:c>
      <x:c r="J724" t="n">
        <x:v>130</x:v>
      </x:c>
      <x:c r="K724" t="n">
        <x:v>112.5</x:v>
      </x:c>
      <x:c r="L724" t="str">
        <x:v>$20+</x:v>
      </x:c>
      <x:c r="M724" t="str">
        <x:v>Yes</x:v>
      </x:c>
      <x:c r="N724" t="str">
        <x:v>Yes</x:v>
      </x:c>
      <x:c r="O724" t="str">
        <x:v>Yes</x:v>
      </x:c>
      <x:c r="P724" t="str">
        <x:v>Condition not yet reviewed</x:v>
      </x:c>
      <x:c r="Q724" t="n">
        <x:v>95</x:v>
      </x:c>
      <x:c r="R724" t="n">
        <x:v>130</x:v>
      </x:c>
      <x:c r="S724" t="n">
        <x:v>112.5</x:v>
      </x:c>
      <x:c r="T724" t="str">
        <x:v>NEW PHYSICAL COPY from Sokalsky7's Collection.pdf page 12. PriceCharting export allocation = $86.63 per card. Working clean/NM range inherited from the existing exact-printing two-source comp in the collection ($95.00–$130.00).</x:v>
      </x:c>
      <x:c r="U724" t="n">
        <x:v>996</x:v>
      </x:c>
      <x:c r="V724" t="str">
        <x:v>Existing exact-printing TCGplayer + PriceCharting research; new physical copy confirmed by updated Collection.pdf</x:v>
      </x:c>
      <x:c r="W724" t="str">
        <x:v>https://www.pricecharting.com/game/pokemon-plasma-freeze/thundurus-ex-110</x:v>
      </x:c>
    </x:row>
    <x:row r="725">
      <x:c r="A725" t="n">
        <x:v>853</x:v>
      </x:c>
      <x:c r="B725" t="str">
        <x:v>PDF Import / Added Cards</x:v>
      </x:c>
      <x:c r="C725" t="str">
        <x:v>Palkia &amp; Dialga LEGEND</x:v>
      </x:c>
      <x:c r="D725" t="str">
        <x:v>101/102</x:v>
      </x:c>
      <x:c r="E725" t="str">
        <x:v>HS—Triumphant</x:v>
      </x:c>
      <x:c r="F725" t="n">
        <x:v>2010</x:v>
      </x:c>
      <x:c r="G725" t="str">
        <x:v>LEGEND Top Half Holo Ultra Rare</x:v>
      </x:c>
      <x:c r="H725" t="str">
        <x:v>2 of 2</x:v>
      </x:c>
      <x:c r="I725" t="n">
        <x:v>100</x:v>
      </x:c>
      <x:c r="J725" t="n">
        <x:v>140</x:v>
      </x:c>
      <x:c r="K725" t="n">
        <x:v>120</x:v>
      </x:c>
      <x:c r="L725" t="str">
        <x:v>$20+</x:v>
      </x:c>
      <x:c r="M725" t="str">
        <x:v>Yes</x:v>
      </x:c>
      <x:c r="N725" t="str">
        <x:v>Yes</x:v>
      </x:c>
      <x:c r="O725" t="str">
        <x:v>Yes</x:v>
      </x:c>
      <x:c r="P725" t="str">
        <x:v>Condition not yet reviewed</x:v>
      </x:c>
      <x:c r="Q725" t="n">
        <x:v>100</x:v>
      </x:c>
      <x:c r="R725" t="n">
        <x:v>140</x:v>
      </x:c>
      <x:c r="S725" t="n">
        <x:v>120</x:v>
      </x:c>
      <x:c r="T725" t="str">
        <x:v>NEW PHYSICAL COPY from Sokalsky7's Collection.pdf page 12. PriceCharting export allocation = $114.71 per card. Working clean/NM range inherited from the existing exact-printing two-source comp in the collection ($100.00–$140.00).</x:v>
      </x:c>
      <x:c r="U725" t="n">
        <x:v>996</x:v>
      </x:c>
      <x:c r="V725" t="str">
        <x:v>Existing exact-printing TCGplayer + PriceCharting research; new physical copy confirmed by updated Collection.pdf</x:v>
      </x:c>
      <x:c r="W725" t="str">
        <x:v>https://www.pricecharting.com/game/pokemon-triumphant/palkia-%26-dialga-legend-101</x:v>
      </x:c>
    </x:row>
    <x:row r="726">
      <x:c r="A726" t="n">
        <x:v>854</x:v>
      </x:c>
      <x:c r="B726" t="str">
        <x:v>PDF Import / Added Cards</x:v>
      </x:c>
      <x:c r="C726" t="str">
        <x:v>Genesect-EX</x:v>
      </x:c>
      <x:c r="D726" t="str">
        <x:v>97/101</x:v>
      </x:c>
      <x:c r="E726" t="str">
        <x:v>Plasma Blast</x:v>
      </x:c>
      <x:c r="F726" t="n">
        <x:v>2013</x:v>
      </x:c>
      <x:c r="G726" t="str">
        <x:v>Full Art Holo Ultra Rare (Team Plasma)</x:v>
      </x:c>
      <x:c r="H726" t="str">
        <x:v>2 of 2</x:v>
      </x:c>
      <x:c r="I726" t="n">
        <x:v>90</x:v>
      </x:c>
      <x:c r="J726" t="n">
        <x:v>160</x:v>
      </x:c>
      <x:c r="K726" t="n">
        <x:v>125</x:v>
      </x:c>
      <x:c r="L726" t="str">
        <x:v>$20+</x:v>
      </x:c>
      <x:c r="M726" t="str">
        <x:v>Yes</x:v>
      </x:c>
      <x:c r="N726" t="str">
        <x:v>Yes</x:v>
      </x:c>
      <x:c r="O726" t="str">
        <x:v>Yes</x:v>
      </x:c>
      <x:c r="P726" t="str">
        <x:v>Condition not yet reviewed</x:v>
      </x:c>
      <x:c r="Q726" t="n">
        <x:v>90</x:v>
      </x:c>
      <x:c r="R726" t="n">
        <x:v>160</x:v>
      </x:c>
      <x:c r="S726" t="n">
        <x:v>125</x:v>
      </x:c>
      <x:c r="T726" t="str">
        <x:v>NEW PHYSICAL COPY from Sokalsky7's Collection.pdf page 12. PriceCharting export allocation = $134.51 per card. Working clean/NM range inherited from the existing exact-printing two-source comp in the collection ($90.00–$160.00).</x:v>
      </x:c>
      <x:c r="U726" t="n">
        <x:v>996</x:v>
      </x:c>
      <x:c r="V726" t="str">
        <x:v>Existing exact-printing TCGplayer + PriceCharting research; new physical copy confirmed by updated Collection.pdf</x:v>
      </x:c>
      <x:c r="W726" t="str">
        <x:v>https://www.pricecharting.com/game/pokemon-plasma-blast/genesect-ex-97</x:v>
      </x:c>
    </x:row>
    <x:row r="727">
      <x:c r="A727" t="n">
        <x:v>855</x:v>
      </x:c>
      <x:c r="B727" t="str">
        <x:v>PDF Import / Added Cards</x:v>
      </x:c>
      <x:c r="C727" t="str">
        <x:v>Zekrom</x:v>
      </x:c>
      <x:c r="D727" t="str">
        <x:v>114/114</x:v>
      </x:c>
      <x:c r="E727" t="str">
        <x:v>Black &amp; White</x:v>
      </x:c>
      <x:c r="F727" t="n">
        <x:v>2011</x:v>
      </x:c>
      <x:c r="G727" t="str">
        <x:v>Full Art Holo Ultra Rare</x:v>
      </x:c>
      <x:c r="H727" t="str">
        <x:v>3 of 4</x:v>
      </x:c>
      <x:c r="I727" t="n">
        <x:v>90</x:v>
      </x:c>
      <x:c r="J727" t="n">
        <x:v>180</x:v>
      </x:c>
      <x:c r="K727" t="n">
        <x:v>135</x:v>
      </x:c>
      <x:c r="L727" t="str">
        <x:v>$20+</x:v>
      </x:c>
      <x:c r="M727" t="str">
        <x:v>Yes</x:v>
      </x:c>
      <x:c r="N727" t="str">
        <x:v>Yes</x:v>
      </x:c>
      <x:c r="O727" t="str">
        <x:v>Yes</x:v>
      </x:c>
      <x:c r="P727" t="str">
        <x:v>Condition not yet reviewed</x:v>
      </x:c>
      <x:c r="Q727" t="n">
        <x:v>90</x:v>
      </x:c>
      <x:c r="R727" t="n">
        <x:v>180</x:v>
      </x:c>
      <x:c r="S727" t="n">
        <x:v>135</x:v>
      </x:c>
      <x:c r="T727" t="str">
        <x:v>NEW PHYSICAL COPY from Sokalsky7's Collection.pdf page 12. PriceCharting export allocation = $84.00 per card. Working clean/NM range inherited from the existing exact-printing two-source comp in the collection ($90.00–$180.00).</x:v>
      </x:c>
      <x:c r="U727" t="n">
        <x:v>996</x:v>
      </x:c>
      <x:c r="V727" t="str">
        <x:v>Existing exact-printing TCGplayer + PriceCharting research; new physical copy confirmed by updated Collection.pdf</x:v>
      </x:c>
      <x:c r="W727" t="str">
        <x:v>https://www.pricecharting.com/game/pokemon-black-%26-white/zekrom-114</x:v>
      </x:c>
    </x:row>
    <x:row r="728">
      <x:c r="A728" t="n">
        <x:v>856</x:v>
      </x:c>
      <x:c r="B728" t="str">
        <x:v>PDF Import / Added Cards</x:v>
      </x:c>
      <x:c r="C728" t="str">
        <x:v>Zekrom</x:v>
      </x:c>
      <x:c r="D728" t="str">
        <x:v>114/114</x:v>
      </x:c>
      <x:c r="E728" t="str">
        <x:v>Black &amp; White</x:v>
      </x:c>
      <x:c r="F728" t="n">
        <x:v>2011</x:v>
      </x:c>
      <x:c r="G728" t="str">
        <x:v>Full Art Holo Ultra Rare</x:v>
      </x:c>
      <x:c r="H728" t="str">
        <x:v>4 of 4</x:v>
      </x:c>
      <x:c r="I728" t="n">
        <x:v>90</x:v>
      </x:c>
      <x:c r="J728" t="n">
        <x:v>180</x:v>
      </x:c>
      <x:c r="K728" t="n">
        <x:v>135</x:v>
      </x:c>
      <x:c r="L728" t="str">
        <x:v>$20+</x:v>
      </x:c>
      <x:c r="M728" t="str">
        <x:v>Yes</x:v>
      </x:c>
      <x:c r="N728" t="str">
        <x:v>Yes</x:v>
      </x:c>
      <x:c r="O728" t="str">
        <x:v>Yes</x:v>
      </x:c>
      <x:c r="P728" t="str">
        <x:v>Condition not yet reviewed</x:v>
      </x:c>
      <x:c r="Q728" t="n">
        <x:v>90</x:v>
      </x:c>
      <x:c r="R728" t="n">
        <x:v>180</x:v>
      </x:c>
      <x:c r="S728" t="n">
        <x:v>135</x:v>
      </x:c>
      <x:c r="T728" t="str">
        <x:v>NEW PHYSICAL COPY from Sokalsky7's Collection.pdf page 12. PriceCharting export allocation = $84.00 per card. Working clean/NM range inherited from the existing exact-printing two-source comp in the collection ($90.00–$180.00).</x:v>
      </x:c>
      <x:c r="U728" t="n">
        <x:v>996</x:v>
      </x:c>
      <x:c r="V728" t="str">
        <x:v>Existing exact-printing TCGplayer + PriceCharting research; new physical copy confirmed by updated Collection.pdf</x:v>
      </x:c>
      <x:c r="W728" t="str">
        <x:v>https://www.pricecharting.com/game/pokemon-black-%26-white/zekrom-114</x:v>
      </x:c>
    </x:row>
    <x:row r="729">
      <x:c r="A729" t="n">
        <x:v>857</x:v>
      </x:c>
      <x:c r="B729" t="str">
        <x:v>PDF Import / Added Cards</x:v>
      </x:c>
      <x:c r="C729" t="str">
        <x:v>Charizard-EX</x:v>
      </x:c>
      <x:c r="D729" t="str">
        <x:v>100/106</x:v>
      </x:c>
      <x:c r="E729" t="str">
        <x:v>XY—Flashfire</x:v>
      </x:c>
      <x:c r="F729" t="n">
        <x:v>2014</x:v>
      </x:c>
      <x:c r="G729" t="str">
        <x:v>Full Art Holo Ultra Rare</x:v>
      </x:c>
      <x:c r="H729" t="str">
        <x:v>2 of 2</x:v>
      </x:c>
      <x:c r="I729" t="n">
        <x:v>100</x:v>
      </x:c>
      <x:c r="J729" t="n">
        <x:v>180</x:v>
      </x:c>
      <x:c r="K729" t="n">
        <x:v>140</x:v>
      </x:c>
      <x:c r="L729" t="str">
        <x:v>$20+</x:v>
      </x:c>
      <x:c r="M729" t="str">
        <x:v>Yes</x:v>
      </x:c>
      <x:c r="N729" t="str">
        <x:v>Yes</x:v>
      </x:c>
      <x:c r="O729" t="str">
        <x:v>Yes</x:v>
      </x:c>
      <x:c r="P729" t="str">
        <x:v>Condition not yet reviewed</x:v>
      </x:c>
      <x:c r="Q729" t="n">
        <x:v>100</x:v>
      </x:c>
      <x:c r="R729" t="n">
        <x:v>180</x:v>
      </x:c>
      <x:c r="S729" t="n">
        <x:v>140</x:v>
      </x:c>
      <x:c r="T729" t="str">
        <x:v>NEW PHYSICAL COPY from Sokalsky7's Collection.pdf page 13. PriceCharting export allocation = $150.00 per card. Working clean/NM range inherited from the existing exact-printing two-source comp in the collection ($100.00–$180.00).</x:v>
      </x:c>
      <x:c r="U729" t="n">
        <x:v>996</x:v>
      </x:c>
      <x:c r="V729" t="str">
        <x:v>Existing exact-printing TCGplayer + PriceCharting research; new physical copy confirmed by updated Collection.pdf</x:v>
      </x:c>
      <x:c r="W729" t="str">
        <x:v>https://www.pricecharting.com/game/pokemon-flashfire/charizard-ex-100</x:v>
      </x:c>
    </x:row>
    <x:row r="730">
      <x:c r="A730" t="n">
        <x:v>858</x:v>
      </x:c>
      <x:c r="B730" t="str">
        <x:v>PDF Import / Added Cards</x:v>
      </x:c>
      <x:c r="C730" t="str">
        <x:v>Latios-EX</x:v>
      </x:c>
      <x:c r="D730" t="str">
        <x:v>113/116</x:v>
      </x:c>
      <x:c r="E730" t="str">
        <x:v>Plasma Freeze</x:v>
      </x:c>
      <x:c r="F730" t="n">
        <x:v>2013</x:v>
      </x:c>
      <x:c r="G730" t="str">
        <x:v>Full Art Holo Ultra Rare</x:v>
      </x:c>
      <x:c r="H730" t="str">
        <x:v>2 of 2</x:v>
      </x:c>
      <x:c r="I730" t="n">
        <x:v>120</x:v>
      </x:c>
      <x:c r="J730" t="n">
        <x:v>230</x:v>
      </x:c>
      <x:c r="K730" t="n">
        <x:v>175</x:v>
      </x:c>
      <x:c r="L730" t="str">
        <x:v>$20+</x:v>
      </x:c>
      <x:c r="M730" t="str">
        <x:v>Yes</x:v>
      </x:c>
      <x:c r="N730" t="str">
        <x:v>Yes</x:v>
      </x:c>
      <x:c r="O730" t="str">
        <x:v>Yes</x:v>
      </x:c>
      <x:c r="P730" t="str">
        <x:v>Condition not yet reviewed</x:v>
      </x:c>
      <x:c r="Q730" t="n">
        <x:v>120</x:v>
      </x:c>
      <x:c r="R730" t="n">
        <x:v>230</x:v>
      </x:c>
      <x:c r="S730" t="n">
        <x:v>175</x:v>
      </x:c>
      <x:c r="T730" t="str">
        <x:v>NEW PHYSICAL COPY from Sokalsky7's Collection.pdf page 13. PriceCharting export allocation = $137.38 per card. Working clean/NM range inherited from the existing exact-printing two-source comp in the collection ($120.00–$230.00).</x:v>
      </x:c>
      <x:c r="U730" t="n">
        <x:v>996</x:v>
      </x:c>
      <x:c r="V730" t="str">
        <x:v>Existing exact-printing TCGplayer + PriceCharting research; new physical copy confirmed by updated Collection.pdf</x:v>
      </x:c>
      <x:c r="W730" t="str">
        <x:v>https://www.pricecharting.com/game/pokemon-plasma-freeze/latios-ex-113</x:v>
      </x:c>
    </x:row>
    <x:row r="731">
      <x:c r="A731" t="n">
        <x:v>859</x:v>
      </x:c>
      <x:c r="B731" t="str">
        <x:v>PDF Import / Added Cards</x:v>
      </x:c>
      <x:c r="C731" t="str">
        <x:v>Primal Kyogre-EX</x:v>
      </x:c>
      <x:c r="D731" t="str">
        <x:v>96/98</x:v>
      </x:c>
      <x:c r="E731" t="str">
        <x:v>Ancient Origins</x:v>
      </x:c>
      <x:c r="F731" t="n">
        <x:v>2015</x:v>
      </x:c>
      <x:c r="G731" t="str">
        <x:v>Shiny Full Art Holo Secret Rare</x:v>
      </x:c>
      <x:c r="H731" t="str">
        <x:v>2 of 2</x:v>
      </x:c>
      <x:c r="I731" t="n">
        <x:v>180</x:v>
      </x:c>
      <x:c r="J731" t="n">
        <x:v>450</x:v>
      </x:c>
      <x:c r="K731" t="n">
        <x:v>315</x:v>
      </x:c>
      <x:c r="L731" t="str">
        <x:v>$20+</x:v>
      </x:c>
      <x:c r="M731" t="str">
        <x:v>Yes</x:v>
      </x:c>
      <x:c r="N731" t="str">
        <x:v>Yes</x:v>
      </x:c>
      <x:c r="O731" t="str">
        <x:v>Yes</x:v>
      </x:c>
      <x:c r="P731" t="str">
        <x:v>Condition not yet reviewed</x:v>
      </x:c>
      <x:c r="Q731" t="n">
        <x:v>180</x:v>
      </x:c>
      <x:c r="R731" t="n">
        <x:v>450</x:v>
      </x:c>
      <x:c r="S731" t="n">
        <x:v>315</x:v>
      </x:c>
      <x:c r="T731" t="str">
        <x:v>NEW PHYSICAL COPY from Sokalsky7's Collection.pdf page 13. PriceCharting export allocation = $180.00 per card. Working clean/NM range inherited from the existing exact-printing two-source comp in the collection ($180.00–$450.00).</x:v>
      </x:c>
      <x:c r="U731" t="n">
        <x:v>996</x:v>
      </x:c>
      <x:c r="V731" t="str">
        <x:v>Existing exact-printing TCGplayer + PriceCharting research; new physical copy confirmed by updated Collection.pdf</x:v>
      </x:c>
      <x:c r="W731" t="str">
        <x:v>https://www.pricecharting.com/game/pokemon-ancient-origins/primal-kyogre-ex-96</x:v>
      </x:c>
    </x:row>
    <x:row r="732">
      <x:c r="A732" t="n">
        <x:v>860</x:v>
      </x:c>
      <x:c r="B732" t="str">
        <x:v>Dragon / Dragon Vault</x:v>
      </x:c>
      <x:c r="C732" t="str">
        <x:v>Rayquaza</x:v>
      </x:c>
      <x:c r="D732" t="str">
        <x:v>11/20</x:v>
      </x:c>
      <x:c r="E732" t="str">
        <x:v>Dragon Vault</x:v>
      </x:c>
      <x:c r="F732" t="n">
        <x:v>2012</x:v>
      </x:c>
      <x:c r="G732" t="str">
        <x:v>Normal Holo</x:v>
      </x:c>
      <x:c r="H732" t="str">
        <x:v>3 of 3</x:v>
      </x:c>
      <x:c r="I732" t="n">
        <x:v>35</x:v>
      </x:c>
      <x:c r="J732" t="n">
        <x:v>50</x:v>
      </x:c>
      <x:c r="K732" t="n">
        <x:v>42.5</x:v>
      </x:c>
      <x:c r="L732" t="str">
        <x:v>$20+</x:v>
      </x:c>
      <x:c r="M732" t="str">
        <x:v>Yes</x:v>
      </x:c>
      <x:c r="N732" t="str">
        <x:v>Yes</x:v>
      </x:c>
      <x:c r="O732" t="str">
        <x:v>Yes</x:v>
      </x:c>
      <x:c r="P732" t="str">
        <x:v>Manual pre-grade: PSA 8 most likely</x:v>
      </x:c>
      <x:c r="Q732" t="n">
        <x:v>35</x:v>
      </x:c>
      <x:c r="R732" t="n">
        <x:v>50</x:v>
      </x:c>
      <x:c r="S732" t="n">
        <x:v>42.5</x:v>
      </x:c>
      <x:c r="T732" t="str">
        <x:v>Dragon Vault Rayquaza 11/20 regular holo copy 3 of 3. Centering 9 (59/41 L-R, 57/43 T-B); corners 8–9; edges 8; surface 9–10. Overall PSA 8 most likely. Odds: PSA 7 ~4%, PSA 8 ~76%, PSA 9 ~20%, PSA 10 ~0%.</x:v>
      </x:c>
      <x:c r="U732" t="n">
        <x:v>997</x:v>
      </x:c>
      <x:c r="V732" t="str">
        <x:v>TCGplayer + PriceCharting + PSA/Collectors, researched 2026-08-18</x:v>
      </x:c>
      <x:c r="W732" t="str">
        <x:v>https://www.pricecharting.com/game/pokemon-dragon-vault/rayquaza-11</x:v>
      </x:c>
    </x:row>
    <x:row r="733">
      <x:c r="A733" t="n">
        <x:v>861</x:v>
      </x:c>
      <x:c r="B733" t="str">
        <x:v>Post-Dragon / Mixed Pokémon</x:v>
      </x:c>
      <x:c r="C733" t="str">
        <x:v>Rayquaza</x:v>
      </x:c>
      <x:c r="D733" t="str">
        <x:v>93/113</x:v>
      </x:c>
      <x:c r="E733" t="str">
        <x:v>Legendary Treasures</x:v>
      </x:c>
      <x:c r="F733" t="n">
        <x:v>2013</x:v>
      </x:c>
      <x:c r="G733" t="str">
        <x:v>Holo Rare</x:v>
      </x:c>
      <x:c r="H733" t="str">
        <x:v>1 of 1</x:v>
      </x:c>
      <x:c r="I733" t="n">
        <x:v>22.53</x:v>
      </x:c>
      <x:c r="J733" t="n">
        <x:v>43.94</x:v>
      </x:c>
      <x:c r="K733" t="n">
        <x:v>33.235</x:v>
      </x:c>
      <x:c r="L733" t="str">
        <x:v>$20+</x:v>
      </x:c>
      <x:c r="M733" t="str">
        <x:v>Yes</x:v>
      </x:c>
      <x:c r="N733" t="str">
        <x:v>Yes</x:v>
      </x:c>
      <x:c r="O733" t="str">
        <x:v>Yes</x:v>
      </x:c>
      <x:c r="P733" t="str">
        <x:v>Manual pre-grade: PSA 8 most likely</x:v>
      </x:c>
      <x:c r="Q733" t="n">
        <x:v>22.53</x:v>
      </x:c>
      <x:c r="R733" t="n">
        <x:v>43.94</x:v>
      </x:c>
      <x:c r="S733" t="n">
        <x:v>33.235</x:v>
      </x:c>
      <x:c r="T733" t="str">
        <x:v>Legendary Treasures Rayquaza 93/113 holo rare. Centering 9 (51.1/48.9 L-R, 59.3/40.7 T-B); corners 8–9; edges 8; surface 9–10. Overall PSA 8 most likely. Odds: PSA 7 ~3%, PSA 8 ~72%, PSA 9 ~25%, PSA 10 ~0%.</x:v>
      </x:c>
      <x:c r="U733" t="n">
        <x:v>998</x:v>
      </x:c>
      <x:c r="V733" t="str">
        <x:v>TCGplayer + PriceCharting + PSA, researched 2026-08-18</x:v>
      </x:c>
      <x:c r="W733" t="str">
        <x:v>https://www.pricecharting.com/game/pokemon-legendary-treasures/rayquaza-93</x:v>
      </x:c>
    </x:row>
  </x:sheetData>
  <x:conditionalFormatting sqref="N2:N184">
    <x:cfRule type="expression" dxfId="3" priority="1">
      <x:formula>N2="Yes"</x:formula>
    </x:cfRule>
  </x:conditionalFormatting>
  <x:conditionalFormatting sqref="O2:O184">
    <x:cfRule type="expression" dxfId="4" priority="2">
      <x:formula>O2="Yes"</x:formula>
    </x:cfRule>
  </x:conditionalFormatting>
  <x:conditionalFormatting sqref="L2:L184">
    <x:cfRule type="expression" dxfId="5" priority="3">
      <x:formula>L2="$20+"</x:formula>
    </x:cfRule>
  </x:conditionalFormatting>
  <x:pageMargins left="0.7" right="0.7" top="0.75" bottom="0.75" header="0.3" footer="0.3"/>
  <x:tableParts count="1">
    <x:tablePart xmlns:r="http://schemas.openxmlformats.org/officeDocument/2006/relationships" r:id="R6813def7d7934ec8"/>
  </x:tableParts>
</x:worksheet>
</file>

<file path=xl/worksheets/sheet4.xml><?xml version="1.0" encoding="utf-8"?>
<x:worksheet xmlns:x="http://schemas.openxmlformats.org/spreadsheetml/2006/main">
  <x:sheetFormatPr defaultRowHeight="15"/>
  <x:cols>
    <x:col min="1" max="1" width="20" hidden="0" customWidth="1"/>
    <x:col min="2" max="2" width="32" hidden="0" customWidth="1"/>
    <x:col min="3" max="3" width="40" hidden="0" customWidth="1"/>
    <x:col min="4" max="4" width="38" hidden="0" customWidth="1"/>
    <x:col min="5" max="5" width="14" hidden="0" customWidth="1"/>
    <x:col min="6" max="6" width="42" hidden="0" customWidth="1"/>
  </x:cols>
  <x:sheetData>
    <x:row r="1">
      <x:c r="A1" s="6" t="str">
        <x:v>Review Queue</x:v>
      </x:c>
      <x:c r="B1" s="6" t="str">
        <x:v>Card / Target</x:v>
      </x:c>
      <x:c r="C1" s="6" t="str">
        <x:v>Issue / Why Review</x:v>
      </x:c>
      <x:c r="D1" s="6" t="str">
        <x:v>Action</x:v>
      </x:c>
      <x:c r="E1" s="6" t="str">
        <x:v>Source Chat Index</x:v>
      </x:c>
      <x:c r="F1" s="6" t="str">
        <x:v>Potential Value / Note</x:v>
      </x:c>
    </x:row>
    <x:row r="2">
      <x:c r="A2" s="20" t="str">
        <x:v>Variant confirmation</x:v>
      </x:c>
      <x:c r="B2" s="20" t="str">
        <x:v>Reversal Trigger 86/101 — first copy</x:v>
      </x:c>
      <x:c r="C2" s="20" t="str">
        <x:v>Chat says the first two cards had World Championships backs, but exact WC printing/year was never resolved.</x:v>
      </x:c>
      <x:c r="D2" s="20" t="str">
        <x:v>Check back/player signature and update variant.</x:v>
      </x:c>
      <x:c r="E2" s="20" t="n">
        <x:v>13</x:v>
      </x:c>
      <x:c r="F2" s="20" t="str">
        <x:v>Current row kept flagged rather than silently guessing.</x:v>
      </x:c>
    </x:row>
    <x:row r="3">
      <x:c r="A3" s="20" t="str">
        <x:v>Variant confirmation</x:v>
      </x:c>
      <x:c r="B3" s="20" t="str">
        <x:v>Articuno #22 Promo</x:v>
      </x:c>
      <x:c r="C3" s="20" t="str">
        <x:v>Illustrator correction matters.</x:v>
      </x:c>
      <x:c r="D3" s="20" t="str">
        <x:v>Check bottom illustrator: Toshinao Aoki vs Naoyo Kimura.</x:v>
      </x:c>
      <x:c r="E3" s="20" t="n">
        <x:v>860</x:v>
      </x:c>
      <x:c r="F3" s="20" t="str">
        <x:v>Clean benchmark ~$18–20; corrected illustrator can be materially higher.</x:v>
      </x:c>
    </x:row>
    <x:row r="4">
      <x:c r="A4" s="20" t="str">
        <x:v>Variant confirmation</x:v>
      </x:c>
      <x:c r="B4" s="20" t="str">
        <x:v>Lileep 68/110</x:v>
      </x:c>
      <x:c r="C4" s="20" t="str">
        <x:v>Regular vs Holon Phantoms stamped/reverse changes value drastically.</x:v>
      </x:c>
      <x:c r="D4" s="20" t="str">
        <x:v>Check for Holon Phantoms stamp / reverse treatment.</x:v>
      </x:c>
      <x:c r="E4" s="20" t="n">
        <x:v>866</x:v>
      </x:c>
      <x:c r="F4" s="20" t="str">
        <x:v>Regular ~$0.67 vs stamped around ~$23.50 in prior chat research.</x:v>
      </x:c>
    </x:row>
    <x:row r="5">
      <x:c r="A5" s="20" t="str">
        <x:v>Variant confirmation</x:v>
      </x:c>
      <x:c r="B5" s="20" t="str">
        <x:v>Scraggy BW25</x:v>
      </x:c>
      <x:c r="C5" s="20" t="str">
        <x:v>Cosmos Holo vs Cracked Ice Holo not resolved.</x:v>
      </x:c>
      <x:c r="D5" s="20" t="str">
        <x:v>Check foil pattern.</x:v>
      </x:c>
      <x:c r="E5" s="20" t="n">
        <x:v>872</x:v>
      </x:c>
      <x:c r="F5" s="20" t="str">
        <x:v>Prior chat: Cosmos ~$5.30; Cracked Ice ~$9–10.</x:v>
      </x:c>
    </x:row>
    <x:row r="6">
      <x:c r="A6" s="20" t="str">
        <x:v>Identification pending</x:v>
      </x:c>
      <x:c r="B6" s="20" t="str">
        <x:v>Zoroark #71 ×2</x:v>
      </x:c>
      <x:c r="C6" s="20" t="str">
        <x:v>JSON ends immediately after user entered 'zoroark 71 x2'; denominator/foil missing.</x:v>
      </x:c>
      <x:c r="D6" s="20" t="str">
        <x:v>Check denominator and foil. Likely Black &amp; White 71/114 or Dark Explorers 71/108.</x:v>
      </x:c>
      <x:c r="E6" s="20" t="n">
        <x:v>885</x:v>
      </x:c>
      <x:c r="F6" s="20" t="str">
        <x:v>Both copies are logged, but exact value remains provisional.</x:v>
      </x:c>
    </x:row>
    <x:row r="7">
      <x:c r="A7" s="20" t="str">
        <x:v>Second-pass Trainer</x:v>
      </x:c>
      <x:c r="B7" s="20" t="str">
        <x:v>The Rocket's Training Gym 104/132</x:v>
      </x:c>
      <x:c r="C7" s="20" t="str">
        <x:v>Normal-looking vintage Stadium can be valuable.</x:v>
      </x:c>
      <x:c r="D7" s="20" t="str">
        <x:v>Re-check Trainer bulk.</x:v>
      </x:c>
      <x:c r="E7" s="20" t="n">
        <x:v>553</x:v>
      </x:c>
      <x:c r="F7" s="20" t="str">
        <x:v>Prior chat flagged roughly $10–15 raw.</x:v>
      </x:c>
    </x:row>
    <x:row r="8">
      <x:c r="A8" s="20" t="str">
        <x:v>Second-pass Trainer</x:v>
      </x:c>
      <x:c r="B8" s="20" t="str">
        <x:v>The Rocket's Trap 19/132</x:v>
      </x:c>
      <x:c r="C8" s="20" t="str">
        <x:v>Gym Heroes holo.</x:v>
      </x:c>
      <x:c r="D8" s="20" t="str">
        <x:v>Re-check Trainer bulk.</x:v>
      </x:c>
      <x:c r="E8" s="20" t="n">
        <x:v>553</x:v>
      </x:c>
      <x:c r="F8" s="20" t="str">
        <x:v>Prior chat flagged roughly $20–40 raw.</x:v>
      </x:c>
    </x:row>
    <x:row r="9">
      <x:c r="A9" s="20" t="str">
        <x:v>Second-pass Trainer</x:v>
      </x:c>
      <x:c r="B9" s="20" t="str">
        <x:v>Scoop Up Cyclone 95/101</x:v>
      </x:c>
      <x:c r="C9" s="20" t="str">
        <x:v>Plasma Blast ACE SPEC.</x:v>
      </x:c>
      <x:c r="D9" s="20" t="str">
        <x:v>Re-check Trainer bulk.</x:v>
      </x:c>
      <x:c r="E9" s="20" t="n">
        <x:v>553</x:v>
      </x:c>
      <x:c r="F9" s="20" t="str">
        <x:v>Prior chat flagged around $13 raw.</x:v>
      </x:c>
    </x:row>
    <x:row r="10">
      <x:c r="A10" s="20" t="str">
        <x:v>Second-pass Trainer</x:v>
      </x:c>
      <x:c r="B10" s="20" t="str">
        <x:v>Dowsing Machine 128/135</x:v>
      </x:c>
      <x:c r="C10" s="20" t="str">
        <x:v>ACE SPEC.</x:v>
      </x:c>
      <x:c r="D10" s="20" t="str">
        <x:v>Re-check Trainer bulk.</x:v>
      </x:c>
      <x:c r="E10" s="20" t="n">
        <x:v>553</x:v>
      </x:c>
      <x:c r="F10" s="20" t="str">
        <x:v>Prior chat flagged around $8 raw.</x:v>
      </x:c>
    </x:row>
    <x:row r="11">
      <x:c r="A11" s="20" t="str">
        <x:v>Second-pass Trainer</x:v>
      </x:c>
      <x:c r="B11" s="20" t="str">
        <x:v>Scramble Switch 129/135</x:v>
      </x:c>
      <x:c r="C11" s="20" t="str">
        <x:v>ACE SPEC.</x:v>
      </x:c>
      <x:c r="D11" s="20" t="str">
        <x:v>Re-check Trainer bulk.</x:v>
      </x:c>
      <x:c r="E11" s="20" t="n">
        <x:v>553</x:v>
      </x:c>
      <x:c r="F11" s="20" t="str">
        <x:v>Prior chat flagged around $8 raw.</x:v>
      </x:c>
    </x:row>
    <x:row r="12">
      <x:c r="A12" s="20" t="str">
        <x:v>Second-pass Trainer</x:v>
      </x:c>
      <x:c r="B12" s="20" t="str">
        <x:v>G Booster 92/101</x:v>
      </x:c>
      <x:c r="C12" s="20" t="str">
        <x:v>ACE SPEC.</x:v>
      </x:c>
      <x:c r="D12" s="20" t="str">
        <x:v>Re-check Trainer bulk.</x:v>
      </x:c>
      <x:c r="E12" s="20" t="n">
        <x:v>553</x:v>
      </x:c>
      <x:c r="F12" s="20" t="str">
        <x:v>Prior chat flagged around $5 raw.</x:v>
      </x:c>
    </x:row>
    <x:row r="13">
      <x:c r="A13" s="20" t="str">
        <x:v>Second-pass Trainer</x:v>
      </x:c>
      <x:c r="B13" s="20" t="str">
        <x:v>Life Dew 107/116</x:v>
      </x:c>
      <x:c r="C13" s="20" t="str">
        <x:v>ACE SPEC.</x:v>
      </x:c>
      <x:c r="D13" s="20" t="str">
        <x:v>Re-check Trainer bulk.</x:v>
      </x:c>
      <x:c r="E13" s="20" t="n">
        <x:v>553</x:v>
      </x:c>
      <x:c r="F13" s="20" t="str">
        <x:v>Prior chat flagged around $5 raw.</x:v>
      </x:c>
    </x:row>
    <x:row r="14">
      <x:c r="A14" s="20" t="str">
        <x:v>Second-pass Trainer</x:v>
      </x:c>
      <x:c r="B14" s="20" t="str">
        <x:v>Misty's Wrath 114/132</x:v>
      </x:c>
      <x:c r="C14" s="20" t="str">
        <x:v>Gym-era Trainer.</x:v>
      </x:c>
      <x:c r="D14" s="20" t="str">
        <x:v>Re-check Trainer bulk.</x:v>
      </x:c>
      <x:c r="E14" s="20" t="n">
        <x:v>553</x:v>
      </x:c>
      <x:c r="F14" s="20" t="str">
        <x:v>Prior chat flagged around $5–6 raw.</x:v>
      </x:c>
    </x:row>
    <x:row r="15">
      <x:c r="A15" s="20" t="str">
        <x:v>Second-pass Trainer</x:v>
      </x:c>
      <x:c r="B15" s="20" t="str">
        <x:v>Sabrina's Psychic Control 121/132</x:v>
      </x:c>
      <x:c r="C15" s="20" t="str">
        <x:v>Gym-era Trainer.</x:v>
      </x:c>
      <x:c r="D15" s="20" t="str">
        <x:v>Re-check Trainer bulk.</x:v>
      </x:c>
      <x:c r="E15" s="20" t="n">
        <x:v>553</x:v>
      </x:c>
      <x:c r="F15" s="20" t="str">
        <x:v>Prior chat flagged around $7 raw.</x:v>
      </x:c>
    </x:row>
    <x:row r="16">
      <x:c r="A16" s="20" t="str">
        <x:v>Second-pass Trainer</x:v>
      </x:c>
      <x:c r="B16" s="20" t="str">
        <x:v>Scoop Up 78/102</x:v>
      </x:c>
      <x:c r="C16" s="20" t="str">
        <x:v>Base Set rare Trainer.</x:v>
      </x:c>
      <x:c r="D16" s="20" t="str">
        <x:v>Re-check Base Set bulk; inspect Shadowless / 1st Ed.</x:v>
      </x:c>
      <x:c r="E16" s="20" t="n">
        <x:v>553</x:v>
      </x:c>
      <x:c r="F16" s="20" t="str">
        <x:v>Prior chat flagged regular Unlimited roughly $5–9 tier.</x:v>
      </x:c>
    </x:row>
    <x:row r="17">
      <x:c r="A17" s="20" t="str">
        <x:v>Second-pass Trainer</x:v>
      </x:c>
      <x:c r="B17" s="20" t="str">
        <x:v>Item Finder 74/102</x:v>
      </x:c>
      <x:c r="C17" s="20" t="str">
        <x:v>Base Set rare Trainer.</x:v>
      </x:c>
      <x:c r="D17" s="20" t="str">
        <x:v>Re-check Base Set bulk; inspect Shadowless / 1st Ed.</x:v>
      </x:c>
      <x:c r="E17" s="20" t="n">
        <x:v>553</x:v>
      </x:c>
      <x:c r="F17" s="20" t="str">
        <x:v>Prior chat flagged regular Unlimited roughly $5–9 tier.</x:v>
      </x:c>
    </x:row>
    <x:row r="18">
      <x:c r="A18" s="20" t="str">
        <x:v>Second-pass Trainer</x:v>
      </x:c>
      <x:c r="B18" s="20" t="str">
        <x:v>Pokémon Trader 77/102</x:v>
      </x:c>
      <x:c r="C18" s="20" t="str">
        <x:v>Base Set rare Trainer.</x:v>
      </x:c>
      <x:c r="D18" s="20" t="str">
        <x:v>Re-check Base Set bulk; inspect Shadowless / 1st Ed.</x:v>
      </x:c>
      <x:c r="E18" s="20" t="n">
        <x:v>553</x:v>
      </x:c>
      <x:c r="F18" s="20" t="str">
        <x:v>Prior chat flagged regular Unlimited roughly $5–9 tier.</x:v>
      </x:c>
    </x:row>
    <x:row r="19">
      <x:c r="A19" s="20" t="str">
        <x:v>Second-pass Trainer</x:v>
      </x:c>
      <x:c r="B19" s="20" t="str">
        <x:v>ANY BW-era Full Art Supporter</x:v>
      </x:c>
      <x:c r="C19" s="20" t="str">
        <x:v>Not included in the first Trainer pass.</x:v>
      </x:c>
      <x:c r="D19" s="20" t="str">
        <x:v>Pull all full-art Supporters separately.</x:v>
      </x:c>
      <x:c r="E19" s="20" t="n">
        <x:v>553</x:v>
      </x:c>
      <x:c r="F19" s="20" t="str">
        <x:v>Examples: N, Bianca, Cheren, Skyla, Colress, Ghetsis, Iris.</x:v>
      </x:c>
    </x:row>
    <x:row r="20">
      <x:c r="A20" t="str">
        <x:v>Identification pending</x:v>
      </x:c>
      <x:c r="B20" t="str">
        <x:v>Volcarona #13 ×2</x:v>
      </x:c>
      <x:c r="C20" t="str">
        <x:v>Two English Volcarona printings use card number 13.</x:v>
      </x:c>
      <x:c r="D20" t="str">
        <x:v>Check denominator: 13/101 = Plasma Blast; 13/73 = Shining Legends.</x:v>
      </x:c>
      <x:c r="E20" t="n">
        <x:v>926</x:v>
      </x:c>
      <x:c r="F20" t="str">
        <x:v>Current markets: Plasma Blast regular ~$0.70; Shining Legends regular ~$0.16.</x:v>
      </x:c>
    </x:row>
    <x:row r="21">
      <x:c r="A21" t="str">
        <x:v>Identification pending</x:v>
      </x:c>
      <x:c r="B21" t="str">
        <x:v>Timburr #58 reverse</x:v>
      </x:c>
      <x:c r="C21" t="str">
        <x:v>Two Black &amp; White-era Fighting printings use card number 58.</x:v>
      </x:c>
      <x:c r="D21" t="str">
        <x:v>Check denominator: 58/114 = Black &amp; White; 58/108 = Dark Explorers.</x:v>
      </x:c>
      <x:c r="E21" t="n">
        <x:v>936</x:v>
      </x:c>
      <x:c r="F21" t="str">
        <x:v>Current TCGplayer NM reverse markets: Black &amp; White ~$1.30; Dark Explorers ~$1.42.</x:v>
      </x:c>
    </x:row>
    <x:row r="22">
      <x:c r="A22" t="str">
        <x:v>Identification pending</x:v>
      </x:c>
      <x:c r="B22" t="str">
        <x:v>Excadrill #57 reverse ×2</x:v>
      </x:c>
      <x:c r="C22" t="str">
        <x:v>Two Black &amp; White-era Excadrill printings use card number 57 and both have reverse holos.</x:v>
      </x:c>
      <x:c r="D22" t="str">
        <x:v>Check denominator: 57/98 = Emerging Powers; 57/108 = Dark Explorers.</x:v>
      </x:c>
      <x:c r="E22" t="n">
        <x:v>949</x:v>
      </x:c>
      <x:c r="F22" t="str">
        <x:v>Both copies clear the $1+ separator either way; exact set/value remains pending.</x:v>
      </x:c>
    </x:row>
    <x:row r="23">
      <x:c r="A23" t="str">
        <x:v>Identification pending</x:v>
      </x:c>
      <x:c r="B23" t="str">
        <x:v>Emolga #49 reverse ×3</x:v>
      </x:c>
      <x:c r="C23" t="str">
        <x:v>Two Black &amp; White-era Emolga reverse holos use card number 49 and differ materially in value.</x:v>
      </x:c>
      <x:c r="D23" t="str">
        <x:v>Check denominator: 49/99 = Next Destinies; 49/113 = Legendary Treasures.</x:v>
      </x:c>
      <x:c r="E23" t="n">
        <x:v>962</x:v>
      </x:c>
      <x:c r="F23" t="str">
        <x:v>Both clear $1+ either way; Next Destinies is roughly ~$2, Legendary Treasures roughly ~$17.50 raw.</x:v>
      </x:c>
    </x:row>
    <x:row r="24">
      <x:c r="A24" t="str">
        <x:v>Printing/year confirmation</x:v>
      </x:c>
      <x:c r="B24" t="str">
        <x:v>Aqua Energy 86/95</x:v>
      </x:c>
      <x:c r="C24" t="str">
        <x:v>User reported the card as '2008', but the standard English EX Team Magma vs Team Aqua printing is from 2004.</x:v>
      </x:c>
      <x:c r="D24" t="str">
        <x:v>Check card back/front for a World Championships 2008 treatment or signature. If none, keep standard 2004 row.</x:v>
      </x:c>
      <x:c r="E24" t="n">
        <x:v>976</x:v>
      </x:c>
      <x:c r="F24" t="str">
        <x:v>Regular 86/95 is roughly $3–5 raw; reverse holo is materially higher (~$10 current guide).</x:v>
      </x:c>
    </x:row>
    <x:row r="25">
      <x:c r="A25" t="str">
        <x:v>Identification pending</x:v>
      </x:c>
      <x:c r="B25" t="str">
        <x:v>Holon Energy GL</x:v>
      </x:c>
      <x:c r="C25" t="str">
        <x:v>User gave card name but no collector number.</x:v>
      </x:c>
      <x:c r="D25" t="str">
        <x:v>Check bottom collector number: likely 105/113 (EX Delta Species) or 85/101 (EX Dragon Frontiers).</x:v>
      </x:c>
      <x:c r="E25" t="n">
        <x:v>980</x:v>
      </x:c>
      <x:c r="F25" t="str">
        <x:v>Both standard regular English versions are around the ~$1+ range; exact value depends on printing.</x:v>
      </x:c>
    </x:row>
    <x:row r="26">
      <x:c r="A26" t="str">
        <x:v>Identification conflict</x:v>
      </x:c>
      <x:c r="B26" t="str">
        <x:v>Holon Energy FF '105'</x:v>
      </x:c>
      <x:c r="C26" t="str">
        <x:v>No standard English Holon Energy FF uses collector number 105; EX Delta Species FF is 104/113 and GL is 105/113.</x:v>
      </x:c>
      <x:c r="D26" t="str">
        <x:v>Re-check whether the card says FF 104/113 or GL 105/113; send photo if easier.</x:v>
      </x:c>
      <x:c r="E26" t="n">
        <x:v>980</x:v>
      </x:c>
      <x:c r="F26" t="str">
        <x:v>Value left blank until exact printing is confirmed.</x:v>
      </x:c>
    </x:row>
    <x:row r="27">
      <x:c r="A27" t="str">
        <x:v>Jumbo ID confirmation</x:v>
      </x:c>
      <x:c r="B27" t="str">
        <x:v>Garchomp-EX jumbo</x:v>
      </x:c>
      <x:c r="C27" t="str">
        <x:v>User gave name only. Based on the era and jumbo release, logged provisionally as XY09.</x:v>
      </x:c>
      <x:c r="D27" t="str">
        <x:v>Check the printed promo number when convenient; if not XY09, update the jumbo row.</x:v>
      </x:c>
      <x:c r="E27" t="n">
        <x:v>981</x:v>
      </x:c>
      <x:c r="F27" t="str">
        <x:v>XY09 jumbo is roughly $6–9 clean/NM.</x:v>
      </x:c>
    </x:row>
  </x:sheetData>
  <x:pageMargins left="0.7" right="0.7" top="0.75" bottom="0.75" header="0.3" footer="0.3"/>
  <x:tableParts count="1">
    <x:tablePart xmlns:r="http://schemas.openxmlformats.org/officeDocument/2006/relationships" r:id="Rb02b69cc0f5e4a4e"/>
  </x:tableParts>
</x:worksheet>
</file>

<file path=xl/worksheets/sheet5.xml><?xml version="1.0" encoding="utf-8"?>
<x:worksheet xmlns:x="http://schemas.openxmlformats.org/spreadsheetml/2006/main">
  <x:sheetFormatPr defaultRowHeight="15"/>
  <x:cols>
    <x:col min="1" max="1" width="20" hidden="0" customWidth="1"/>
    <x:col min="2" max="2" width="10" hidden="0" customWidth="1"/>
    <x:col min="3" max="3" width="25" hidden="0" customWidth="1"/>
    <x:col min="4" max="4" width="8" hidden="0" customWidth="1"/>
    <x:col min="5" max="5" width="24" hidden="0" customWidth="1"/>
    <x:col min="6" max="6" width="8" hidden="0" customWidth="1"/>
    <x:col min="7" max="7" width="12" hidden="0" customWidth="1"/>
    <x:col min="8" max="8" width="12" hidden="0" customWidth="1"/>
    <x:col min="9" max="9" width="9" hidden="0" customWidth="1"/>
    <x:col min="10" max="10" width="10" hidden="0" customWidth="1"/>
    <x:col min="11" max="11" width="48" hidden="0" customWidth="1"/>
    <x:col min="12" max="12" width="14" hidden="0" customWidth="1"/>
  </x:cols>
  <x:sheetData>
    <x:row r="1">
      <x:c r="A1" s="6" t="str">
        <x:v>Card</x:v>
      </x:c>
      <x:c r="B1" s="6" t="str">
        <x:v>Card No.</x:v>
      </x:c>
      <x:c r="C1" s="6" t="str">
        <x:v>Set</x:v>
      </x:c>
      <x:c r="D1" s="6" t="str">
        <x:v>Year</x:v>
      </x:c>
      <x:c r="E1" s="6" t="str">
        <x:v>Variant</x:v>
      </x:c>
      <x:c r="F1" s="6" t="str">
        <x:v>Qty</x:v>
      </x:c>
      <x:c r="G1" s="6" t="str">
        <x:v>Clean Raw Low</x:v>
      </x:c>
      <x:c r="H1" s="6" t="str">
        <x:v>Clean Raw High</x:v>
      </x:c>
      <x:c r="I1" s="6" t="str">
        <x:v>Sleeve</x:v>
      </x:c>
      <x:c r="J1" s="6" t="str">
        <x:v>Toploader</x:v>
      </x:c>
      <x:c r="K1" s="6" t="str">
        <x:v>Notes</x:v>
      </x:c>
      <x:c r="L1" s="6" t="str">
        <x:v>Source Chat Index</x:v>
      </x:c>
    </x:row>
    <x:row r="2">
      <x:c r="A2" s="20" t="str">
        <x:v>Tom Brady</x:v>
      </x:c>
      <x:c r="B2" s="20" t="str">
        <x:v>#57</x:v>
      </x:c>
      <x:c r="C2" s="20" t="str">
        <x:v>2009 Playoff Prestige</x:v>
      </x:c>
      <x:c r="D2" s="20" t="n">
        <x:v>2009</x:v>
      </x:c>
      <x:c r="E2" s="20" t="str">
        <x:v>Standard base (assumed)</x:v>
      </x:c>
      <x:c r="F2" s="20" t="n">
        <x:v>1</x:v>
      </x:c>
      <x:c r="G2" s="22" t="n">
        <x:v>2</x:v>
      </x:c>
      <x:c r="H2" s="22" t="n">
        <x:v>4</x:v>
      </x:c>
      <x:c r="I2" s="20" t="str">
        <x:v>Yes</x:v>
      </x:c>
      <x:c r="J2" s="20" t="str">
        <x:v>No</x:v>
      </x:c>
      <x:c r="K2" s="20" t="str">
        <x:v>Not part of Pokémon total. Check for Xtra Points / colored foil parallel; could be worth more.</x:v>
      </x:c>
      <x:c r="L2" s="20" t="n">
        <x:v>785</x:v>
      </x:c>
    </x:row>
  </x:sheetData>
  <x:pageMargins left="0.7" right="0.7" top="0.75" bottom="0.75" header="0.3" footer="0.3"/>
  <x:tableParts count="1">
    <x:tablePart xmlns:r="http://schemas.openxmlformats.org/officeDocument/2006/relationships" r:id="R3dc4a11a3d1342c4"/>
  </x:tableParts>
</x:worksheet>
</file>

<file path=xl/worksheets/sheet6.xml><?xml version="1.0" encoding="utf-8"?>
<x:worksheet xmlns:x="http://schemas.openxmlformats.org/spreadsheetml/2006/main">
  <x:sheetFormatPr defaultRowHeight="15"/>
  <x:cols>
    <x:col min="1" max="1" width="18" hidden="0" customWidth="1"/>
    <x:col min="2" max="2" width="10" hidden="0" customWidth="1"/>
    <x:col min="3" max="3" width="22" hidden="0" customWidth="1"/>
    <x:col min="4" max="4" width="14" hidden="0" customWidth="1"/>
    <x:col min="5" max="5" width="24" hidden="0" customWidth="1"/>
    <x:col min="6" max="6" width="8" hidden="0" customWidth="1"/>
    <x:col min="7" max="7" width="34" hidden="0" customWidth="1"/>
    <x:col min="8" max="8" width="10" hidden="0" customWidth="1"/>
    <x:col min="9" max="9" width="12" hidden="0" customWidth="1"/>
    <x:col min="10" max="10" width="12" hidden="0" customWidth="1"/>
    <x:col min="11" max="11" width="12" hidden="0" customWidth="1"/>
    <x:col min="12" max="12" width="12" hidden="0" customWidth="1"/>
    <x:col min="13" max="13" width="30" hidden="0" customWidth="1"/>
    <x:col min="14" max="14" width="42" hidden="0" customWidth="1"/>
    <x:col min="15" max="15" width="44" hidden="0" customWidth="1"/>
    <x:col min="16" max="16" width="42" hidden="0" customWidth="1"/>
    <x:col min="17" max="17" width="18" hidden="0" customWidth="1"/>
    <x:col min="18" max="18" width="16" hidden="0" customWidth="1"/>
    <x:col min="19" max="19" width="42" hidden="0" customWidth="1"/>
    <x:col min="20" max="20" width="18" hidden="0" customWidth="1"/>
    <x:col min="21" max="21" width="18" hidden="0" customWidth="1"/>
    <x:col min="22" max="22" width="18" hidden="0" customWidth="1"/>
    <x:col min="23" max="23" width="18" hidden="0" customWidth="1"/>
    <x:col min="24" max="24" width="34" hidden="0" customWidth="1"/>
    <x:col min="25" max="25" width="20" hidden="0" customWidth="1"/>
    <x:col min="26" max="26" width="34" hidden="0" customWidth="1"/>
    <x:col min="27" max="27" width="48" hidden="0" customWidth="1"/>
    <x:col min="28" max="28" width="20" hidden="0" customWidth="1"/>
    <x:col min="29" max="29" width="48" hidden="0" customWidth="1"/>
    <x:col min="30" max="30" width="42" hidden="0" customWidth="1"/>
    <x:col min="31" max="31" width="11" hidden="0" customWidth="1"/>
    <x:col min="32" max="32" width="11" hidden="0" customWidth="1"/>
    <x:col min="33" max="33" width="11" hidden="0" customWidth="1"/>
    <x:col min="34" max="34" width="11" hidden="0" customWidth="1"/>
    <x:col min="35" max="35" width="11"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 min="44" max="44" width="32" hidden="0" customWidth="1"/>
    <x:col min="45" max="45" width="58"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48" hidden="0" customWidth="1"/>
    <x:col min="53" max="53" width="68" hidden="0" customWidth="1"/>
  </x:cols>
  <x:sheetData>
    <x:row r="1" ht="30" customHeight="1">
      <x:c r="A1" s="55" t="str">
        <x:v>Pokémon Collection — Grading Candidate Audit</x:v>
      </x:c>
      <x:c r="B1" s="55"/>
      <x:c r="C1" s="55"/>
      <x:c r="D1" s="55"/>
      <x:c r="E1" s="55"/>
      <x:c r="F1" s="55"/>
      <x:c r="G1" s="55"/>
      <x:c r="H1" s="55"/>
      <x:c r="I1" s="55"/>
      <x:c r="J1" s="55"/>
      <x:c r="K1" s="55"/>
      <x:c r="L1" s="55"/>
      <x:c r="M1" s="55"/>
      <x:c r="N1" s="55"/>
      <x:c r="O1" s="55"/>
      <x:c r="P1" s="55"/>
      <x:c r="Q1" s="55"/>
      <x:c r="R1" s="55"/>
      <x:c r="S1" s="55"/>
    </x:row>
    <x:row r="3">
      <x:c r="A3" s="59" t="str">
        <x:v>Total Physical Cards</x:v>
      </x:c>
      <x:c r="B3" s="59" t="n">
        <x:f>COUNTA('All Physical Cards'!A2:A861)</x:f>
        <x:v>860</x:v>
      </x:c>
      <x:c r="D3" s="59" t="str">
        <x:v>Primary Candidates (A–C)</x:v>
      </x:c>
      <x:c r="E3" s="59" t="n">
        <x:v>111</x:v>
      </x:c>
      <x:c r="G3" s="59" t="str">
        <x:v>Full Inspection Queue (A–D)</x:v>
      </x:c>
      <x:c r="H3" s="59" t="n">
        <x:v>142</x:v>
      </x:c>
      <x:c r="J3" s="59" t="str">
        <x:v>A — Priority</x:v>
      </x:c>
      <x:c r="K3" s="59" t="n">
        <x:v>52</x:v>
      </x:c>
      <x:c r="M3" s="59" t="str">
        <x:v>B — Strong</x:v>
      </x:c>
      <x:c r="N3" s="59" t="n">
        <x:v>21</x:v>
      </x:c>
      <x:c r="P3" s="59" t="str">
        <x:v>C — Conditional</x:v>
      </x:c>
      <x:c r="Q3" s="59" t="n">
        <x:f>COUNTIF($A$10:$A$147,"C — Conditional")</x:f>
        <x:v>37</x:v>
      </x:c>
    </x:row>
    <x:row r="5">
      <x:c r="A5" s="59" t="str">
        <x:v>D — Gem-Mint Only</x:v>
      </x:c>
      <x:c r="B5" s="59" t="n">
        <x:f>COUNTIF($A$10:$A$151,"D — Gem-Mint Only")</x:f>
        <x:v>31</x:v>
      </x:c>
      <x:c r="D5" s="59" t="str">
        <x:v>A–C Raw Midpoint</x:v>
      </x:c>
      <x:c r="E5" s="60" t="n">
        <x:v>7952.485</x:v>
      </x:c>
      <x:c r="F5" s="61"/>
      <x:c r="G5" s="60" t="str">
        <x:v>A–D Raw Midpoint</x:v>
      </x:c>
      <x:c r="H5" s="60" t="n">
        <x:v>8388.535</x:v>
      </x:c>
      <x:c r="J5" s="59" t="str">
        <x:v>Jumbos Excluded</x:v>
      </x:c>
      <x:c r="K5" s="59" t="n">
        <x:f>COUNTIF('All Physical Cards'!B2:B655,"Jumbo / Oversized")</x:f>
        <x:v>9</x:v>
      </x:c>
      <x:c r="M5" s="59" t="str">
        <x:v>TFG Cards Excluded</x:v>
      </x:c>
      <x:c r="N5" s="59" t="n">
        <x:v>3</x:v>
      </x:c>
      <x:c r="P5" s="59" t="str">
        <x:v>Current Screen Basis</x:v>
      </x:c>
      <x:c r="Q5" s="59" t="str">
        <x:v>Condition aside</x:v>
      </x:c>
    </x:row>
    <x:row r="7" ht="42" customHeight="1">
      <x:c r="A7" s="65" t="str">
        <x:v>Stage 1 screen only: this ranks cards by raw value, scarcity/printing, era and collector demand before condition is evaluated. A–C = legitimate grading candidates in theory. D = inspect only if the card looks essentially gem mint. Final submission decisions still require front/back + angled-light inspection and current graded comps.</x:v>
      </x:c>
      <x:c r="B7" s="65"/>
      <x:c r="C7" s="65"/>
      <x:c r="D7" s="65"/>
      <x:c r="E7" s="65"/>
      <x:c r="F7" s="65"/>
      <x:c r="G7" s="65"/>
      <x:c r="H7" s="65"/>
      <x:c r="I7" s="65"/>
      <x:c r="J7" s="65"/>
      <x:c r="K7" s="65"/>
      <x:c r="L7" s="65"/>
      <x:c r="M7" s="65"/>
      <x:c r="N7" s="65"/>
      <x:c r="O7" s="65"/>
      <x:c r="P7" s="65"/>
      <x:c r="Q7" s="65"/>
      <x:c r="R7" s="65"/>
      <x:c r="S7" s="65"/>
    </x:row>
    <x:row r="9" ht="15" hidden="0" customHeight="1">
      <x:c r="A9" s="69" t="str">
        <x:v>Tier</x:v>
      </x:c>
      <x:c r="B9" s="69" t="str">
        <x:v>Master ID</x:v>
      </x:c>
      <x:c r="C9" s="69" t="str">
        <x:v>Card</x:v>
      </x:c>
      <x:c r="D9" s="69" t="str">
        <x:v>Card No.</x:v>
      </x:c>
      <x:c r="E9" s="69" t="str">
        <x:v>Set</x:v>
      </x:c>
      <x:c r="F9" s="69" t="str">
        <x:v>Year</x:v>
      </x:c>
      <x:c r="G9" s="69" t="str">
        <x:v>Variant / Printing</x:v>
      </x:c>
      <x:c r="H9" s="69" t="str">
        <x:v>Copy</x:v>
      </x:c>
      <x:c r="I9" s="69" t="str">
        <x:v>Raw Low</x:v>
      </x:c>
      <x:c r="J9" s="69" t="str">
        <x:v>Raw High</x:v>
      </x:c>
      <x:c r="K9" s="69" t="str">
        <x:v>Raw Mid</x:v>
      </x:c>
      <x:c r="L9" s="69" t="str">
        <x:v>As-Is Mid</x:v>
      </x:c>
      <x:c r="M9" s="69" t="str">
        <x:v>Known Condition</x:v>
      </x:c>
      <x:c r="N9" s="69" t="str">
        <x:v>Why It Is a Candidate</x:v>
      </x:c>
      <x:c r="O9" s="69" t="str">
        <x:v>Condition Gate</x:v>
      </x:c>
      <x:c r="P9" s="69" t="str">
        <x:v>Submission Timing</x:v>
      </x:c>
      <x:c r="Q9" s="69" t="str">
        <x:v>Pre-Grade Estimate</x:v>
      </x:c>
      <x:c r="R9" s="69" t="str">
        <x:v>Decision</x:v>
      </x:c>
      <x:c r="S9" s="69" t="str">
        <x:v>Source URL</x:v>
      </x:c>
      <x:c r="T9" s="114" t="str">
        <x:v>CardGrade Centering</x:v>
      </x:c>
      <x:c r="U9" s="114" t="str">
        <x:v>CardGrade Corners</x:v>
      </x:c>
      <x:c r="V9" s="114" t="str">
        <x:v>CardGrade Edges</x:v>
      </x:c>
      <x:c r="W9" s="114" t="str">
        <x:v>CardGrade Surface</x:v>
      </x:c>
      <x:c r="X9" s="114" t="str">
        <x:v>CardGrade Take</x:v>
      </x:c>
      <x:c r="Y9" s="120" t="str">
        <x:v>Manual Visual Estimate</x:v>
      </x:c>
      <x:c r="Z9" s="120" t="str">
        <x:v>Manual Grade Odds</x:v>
      </x:c>
      <x:c r="AA9" s="120" t="str">
        <x:v>Manual Inspection Notes</x:v>
      </x:c>
      <x:c r="AB9" s="125" t="str">
        <x:v>Est. Graded Value</x:v>
      </x:c>
      <x:c r="AC9" s="125" t="str">
        <x:v>Graded Value Basis</x:v>
      </x:c>
      <x:c r="AD9" s="125" t="str">
        <x:v>Graded Value Source</x:v>
      </x:c>
      <x:c r="AE9" s="130" t="str">
        <x:v>P(PSA 6)</x:v>
      </x:c>
      <x:c r="AF9" s="130" t="str">
        <x:v>P(PSA 7)</x:v>
      </x:c>
      <x:c r="AG9" s="130" t="str">
        <x:v>P(PSA 8)</x:v>
      </x:c>
      <x:c r="AH9" s="130" t="str">
        <x:v>P(PSA 9)</x:v>
      </x:c>
      <x:c r="AI9" s="130" t="str">
        <x:v>P(PSA 10)</x:v>
      </x:c>
      <x:c r="AJ9" s="130" t="str">
        <x:v>PSA 6 Value</x:v>
      </x:c>
      <x:c r="AK9" s="130" t="str">
        <x:v>PSA 7 Value</x:v>
      </x:c>
      <x:c r="AL9" s="130" t="str">
        <x:v>PSA 8 Value</x:v>
      </x:c>
      <x:c r="AM9" s="130" t="str">
        <x:v>PSA 9 Value</x:v>
      </x:c>
      <x:c r="AN9" s="130" t="str">
        <x:v>PSA 10 Value</x:v>
      </x:c>
      <x:c r="AO9" s="130" t="str">
        <x:v>Expected Graded Value</x:v>
      </x:c>
      <x:c r="AP9" s="130" t="str">
        <x:v>Raw Mid Used</x:v>
      </x:c>
      <x:c r="AQ9" s="130" t="str">
        <x:v>Gross EV Uplift</x:v>
      </x:c>
      <x:c r="AR9" s="46" t="str">
        <x:v>PSA Verification</x:v>
      </x:c>
      <x:c r="AS9" s="46" t="str">
        <x:v>PSA Verification Source / Notes</x:v>
      </x:c>
      <x:c r="AT9" s="20" t="str">
        <x:v>PSA 6 Pop</x:v>
      </x:c>
      <x:c r="AU9" s="20" t="str">
        <x:v>PSA 7 Pop</x:v>
      </x:c>
      <x:c r="AV9" s="20" t="str">
        <x:v>PSA 8 Pop</x:v>
      </x:c>
      <x:c r="AW9" s="20" t="str">
        <x:v>PSA 9 Pop</x:v>
      </x:c>
      <x:c r="AX9" s="20" t="str">
        <x:v>PSA 10 Pop</x:v>
      </x:c>
      <x:c r="AY9" s="20" t="str">
        <x:v>Total PSA Pop</x:v>
      </x:c>
      <x:c r="AZ9" s="20" t="str">
        <x:v>PSA Direct Source</x:v>
      </x:c>
      <x:c r="BA9" s="20" t="str">
        <x:v>PSA Direct Notes</x:v>
      </x:c>
      <x:c r="BB9" t="str">
        <x:v>P(PSA 5)</x:v>
      </x:c>
      <x:c r="BC9" t="str">
        <x:v>PSA 5 Value</x:v>
      </x:c>
    </x:row>
    <x:row r="10" ht="26.399999618530273" hidden="0" customHeight="1">
      <x:c r="A10" s="85" t="str">
        <x:v>A — Priority</x:v>
      </x:c>
      <x:c r="B10" s="86" t="n">
        <x:f>'All Physical Cards'!A638</x:f>
        <x:v>637</x:v>
      </x:c>
      <x:c r="C10" s="50" t="str">
        <x:f>'All Physical Cards'!C638</x:f>
        <x:v>Primal Kyogre-EX</x:v>
      </x:c>
      <x:c r="D10" s="50" t="str">
        <x:f>'All Physical Cards'!D638</x:f>
        <x:v>96/98</x:v>
      </x:c>
      <x:c r="E10" s="50" t="str">
        <x:f>'All Physical Cards'!E638</x:f>
        <x:v>Ancient Origins</x:v>
      </x:c>
      <x:c r="F10" s="50" t="n">
        <x:f>'All Physical Cards'!F638</x:f>
        <x:v>2015</x:v>
      </x:c>
      <x:c r="G10" s="50" t="str">
        <x:f>'All Physical Cards'!G638</x:f>
        <x:v>Shiny Full Art Holo Secret Rare</x:v>
      </x:c>
      <x:c r="H10" s="50" t="str">
        <x:f>'All Physical Cards'!H638</x:f>
        <x:v>1 of 2</x:v>
      </x:c>
      <x:c r="I10" s="91" t="n">
        <x:f>'All Physical Cards'!I638</x:f>
        <x:v>180</x:v>
      </x:c>
      <x:c r="J10" s="91" t="n">
        <x:f>'All Physical Cards'!J638</x:f>
        <x:v>450</x:v>
      </x:c>
      <x:c r="K10" s="91" t="n">
        <x:f>'All Physical Cards'!K638</x:f>
        <x:v>315</x:v>
      </x:c>
      <x:c r="L10" s="91" t="n">
        <x:f>'All Physical Cards'!S638</x:f>
        <x:v>315</x:v>
      </x:c>
      <x:c r="M10" s="50" t="str">
        <x:f>'All Physical Cards'!P638</x:f>
        <x:v>Clean/NM benchmark unless noted</x:v>
      </x:c>
      <x:c r="N10" s="50" t="str">
        <x:v>High raw value; grading can materially improve liquidity/value; Secret/Shiny premium printing; Popular Pokémon demand</x:v>
      </x:c>
      <x:c r="O10" s="50" t="str">
        <x:v>Inspect closely. Submit if roughly PSA 8/9+ caliber; 9/10 is ideal.</x:v>
      </x:c>
      <x:c r="P10" s="50" t="str">
        <x:v>Pre-grade now; submit when a cheaper PSA tier/special is available unless the card is an obvious high-grade outlier.</x:v>
      </x:c>
      <x:c r="Q10" s="50" t="str">
        <x:v>Not inspected</x:v>
      </x:c>
      <x:c r="R10" s="50" t="str">
        <x:v>Undecided</x:v>
      </x:c>
      <x:c r="S10" s="50" t="str">
        <x:f>'All Physical Cards'!W638</x:f>
        <x:v>https://www.pricecharting.com/game/pokemon-ancient-origins/primal-kyogre-ex-96</x:v>
      </x:c>
      <x:c r="T10" s="115"/>
      <x:c r="U10" s="115"/>
      <x:c r="V10" s="115"/>
      <x:c r="W10" s="115"/>
      <x:c r="X10" s="20"/>
      <x:c r="Y10" s="20"/>
      <x:c r="Z10" s="20"/>
      <x:c r="AA10" s="20"/>
      <x:c r="AB10" s="20"/>
      <x:c r="AC10" s="20" t="str">
        <x:v>Reconciled grade value: PriceCharting baseline + exact PSA cert/sales-history cross-check where sufficiently useful. Recent PSA sale medians override PriceCharting when multiple exact sales were available; thin PSA data are flagged rather than extrapolated.</x:v>
      </x:c>
      <x:c r="AD10" s="20" t="str">
        <x:v>https://www.pricecharting.com/game/pokemon-ancient-origins/primal-kyogre-ex-96</x:v>
      </x:c>
      <x:c r="AE10" s="131"/>
      <x:c r="AF10" s="131"/>
      <x:c r="AG10" s="131"/>
      <x:c r="AH10" s="131"/>
      <x:c r="AI10" s="131"/>
      <x:c r="AJ10" s="61"/>
      <x:c r="AK10" s="61" t="n">
        <x:v>355</x:v>
      </x:c>
      <x:c r="AL10" s="61" t="n">
        <x:v>489.5</x:v>
      </x:c>
      <x:c r="AM10" s="61" t="n">
        <x:v>755.02</x:v>
      </x:c>
      <x:c r="AN10" s="61" t="n">
        <x:v>4750</x:v>
      </x:c>
      <x:c r="AO10" s="61"/>
      <x:c r="AP10" s="61"/>
      <x:c r="AQ10" s="61"/>
      <x:c r="AR10" s="20" t="str">
        <x:v>PSA sales verified — PSA 7/8/9/10</x:v>
      </x:c>
      <x:c r="AS10" s="20" t="str">
        <x:v>Exact Ancient Origins #96. Reconciled to recent PSA sales: 7 ~$355; 8 ~$489.50; 9 ~$755; 10 ~$4,750. PSA cert sources include https://www.psacard.com/cert/143408189 and https://www.psacard.com/cert/112508817 and https://www.psacard.com/cert/122827154 and https://www.psacard.com/cert/73226133</x:v>
      </x:c>
      <x:c r="AT10" s="176"/>
      <x:c r="AU10" s="176" t="n">
        <x:v>497</x:v>
      </x:c>
      <x:c r="AV10" s="176" t="n">
        <x:v>605</x:v>
      </x:c>
      <x:c r="AW10" s="176" t="n">
        <x:v>834</x:v>
      </x:c>
      <x:c r="AX10" s="176" t="n">
        <x:v>512</x:v>
      </x:c>
      <x:c r="AY10" s="176"/>
      <x:c r="AZ10" s="20" t="str">
        <x:v>https://www.psacard.com/cert/143408189/psa | https://www.psacard.com/cert/112508817 | https://www.psacard.com/cert/122827154/psa</x:v>
      </x:c>
      <x:c r="BA10" s="20" t="str">
        <x:v>PSA direct cert populations. PSA 10 equals the PSA 9 page's Pop Higher. PSA 6 not directly resolved.</x:v>
      </x:c>
    </x:row>
    <x:row r="11" ht="26.399999618530273" hidden="0" customHeight="1">
      <x:c r="A11" s="85" t="str">
        <x:v>A — Priority</x:v>
      </x:c>
      <x:c r="B11" s="86" t="n">
        <x:f>'All Physical Cards'!A633</x:f>
        <x:v>632</x:v>
      </x:c>
      <x:c r="C11" s="50" t="str">
        <x:f>'All Physical Cards'!C633</x:f>
        <x:v>White Kyurem-EX</x:v>
      </x:c>
      <x:c r="D11" s="50" t="str">
        <x:f>'All Physical Cards'!D633</x:f>
        <x:v>146/149</x:v>
      </x:c>
      <x:c r="E11" s="50" t="str">
        <x:f>'All Physical Cards'!E633</x:f>
        <x:v>Boundaries Crossed</x:v>
      </x:c>
      <x:c r="F11" s="50" t="n">
        <x:f>'All Physical Cards'!F633</x:f>
        <x:v>2012</x:v>
      </x:c>
      <x:c r="G11" s="50" t="str">
        <x:f>'All Physical Cards'!G633</x:f>
        <x:v>Full Art Holo Ultra Rare</x:v>
      </x:c>
      <x:c r="H11" s="50" t="str">
        <x:f>'All Physical Cards'!H633</x:f>
        <x:v>1 of 2</x:v>
      </x:c>
      <x:c r="I11" s="91" t="n">
        <x:f>'All Physical Cards'!I633</x:f>
        <x:v>150</x:v>
      </x:c>
      <x:c r="J11" s="91" t="n">
        <x:f>'All Physical Cards'!J633</x:f>
        <x:v>225</x:v>
      </x:c>
      <x:c r="K11" s="91" t="n">
        <x:f>'All Physical Cards'!K633</x:f>
        <x:v>187.5</x:v>
      </x:c>
      <x:c r="L11" s="91" t="n">
        <x:f>'All Physical Cards'!S633</x:f>
        <x:v>187.5</x:v>
      </x:c>
      <x:c r="M11" s="50" t="str">
        <x:f>'All Physical Cards'!P633</x:f>
        <x:v>Manual pre-grade: PSA 8 most likely</x:v>
      </x:c>
      <x:c r="N11" s="50" t="str">
        <x:v>High raw value; grading can materially improve liquidity/value; Full Art collector demand</x:v>
      </x:c>
      <x:c r="O11" s="50" t="str">
        <x:v>Inspect closely. Submit if roughly PSA 8/9+ caliber; 9/10 is ideal.</x:v>
      </x:c>
      <x:c r="P11" s="50" t="str">
        <x:v>Pre-grade now; submit when a cheaper PSA tier/special is available unless the card is an obvious high-grade outlier.</x:v>
      </x:c>
      <x:c r="Q11" s="50" t="str">
        <x:v>PSA 8 most likely; PSA 9 upside</x:v>
      </x:c>
      <x:c r="R11" s="50" t="str">
        <x:v>Conditional grade — use PSA 8 as the submission/value baseline</x:v>
      </x:c>
      <x:c r="S11" s="50" t="str">
        <x:f>'All Physical Cards'!W633</x:f>
        <x:v>https://www.pricecharting.com/game/pokemon-boundaries-crossed/white-kyurem-ex-146</x:v>
      </x:c>
      <x:c r="T11" s="115" t="str">
        <x:v>PSA 10 — centering confirmed good in-session</x:v>
      </x:c>
      <x:c r="U11" s="115" t="str">
        <x:v>PSA 8–9 — lower reverse corners show minor wear/whitening; no major crush</x:v>
      </x:c>
      <x:c r="V11" s="115" t="str">
        <x:v>PSA 8 — repeated white/chipped spots across the reverse bottom edge plus smaller left-edge wear</x:v>
      </x:c>
      <x:c r="W11" s="115" t="str">
        <x:v>PSA 9–10 — surface confirmed good in-session; no obvious major scratch, dent, crease or scrape</x:v>
      </x:c>
      <x:c r="X11" s="20" t="str">
        <x:v>10 / 8–9 / 8 / 9–10 → PSA 8 most likely</x:v>
      </x:c>
      <x:c r="Y11" s="20" t="str">
        <x:v>PSA 8 most likely; PSA 9 possible</x:v>
      </x:c>
      <x:c r="Z11" s="20" t="str">
        <x:v>PSA 7 ~15% | PSA 8 ~70% | PSA 9 ~15% | PSA 10 ~0%</x:v>
      </x:c>
      <x:c r="AA11" s="20" t="str">
        <x:v>White Kyurem-EX 146/149 copy 1 of 2. Centering and surface were confirmed good in-session. Main limiter is cumulative reverse-edge wear: repeated white/chipped flecks across the bottom edge and additional smaller touches on the left side. Corners remain generally solid but are not pristine. Treat PSA 8 as the conservative baseline; PSA 9 is possible if PSA views the edge wear leniently. PSA 10 is not realistic.</x:v>
      </x:c>
      <x:c r="AB11" s="20" t="str">
        <x:v>$440–$981</x:v>
      </x:c>
      <x:c r="AC11" s="20" t="str">
        <x:v>PSA recent exact-grade sales first; PriceCharting only fills grades without enough PSA evidence.</x:v>
      </x:c>
      <x:c r="AD11" s="20" t="str">
        <x:v>https://www.pricecharting.com/game/pokemon-boundaries-crossed/white-kyurem-ex-146</x:v>
      </x:c>
      <x:c r="AE11" s="131" t="n">
        <x:v>0</x:v>
      </x:c>
      <x:c r="AF11" s="131" t="n">
        <x:v>0.15</x:v>
      </x:c>
      <x:c r="AG11" s="131" t="n">
        <x:v>0.7</x:v>
      </x:c>
      <x:c r="AH11" s="131" t="n">
        <x:v>0.15</x:v>
      </x:c>
      <x:c r="AI11" s="131" t="n">
        <x:v>0</x:v>
      </x:c>
      <x:c r="AJ11" s="61" t="n">
        <x:v>238.76</x:v>
      </x:c>
      <x:c r="AK11" s="61" t="n">
        <x:v>350</x:v>
      </x:c>
      <x:c r="AL11" s="61" t="n">
        <x:v>440.8</x:v>
      </x:c>
      <x:c r="AM11" s="61" t="n">
        <x:v>1260</x:v>
      </x:c>
      <x:c r="AN11" s="61" t="n">
        <x:v>1450.26</x:v>
      </x:c>
      <x:c r="AO11" s="61" t="n">
        <x:f>SUMPRODUCT(AE11:AI11,AJ11:AN11)+IFERROR(BB11*BC11,0)</x:f>
        <x:v>550.06</x:v>
      </x:c>
      <x:c r="AP11" s="61" t="n">
        <x:f>K11</x:f>
        <x:v>187.5</x:v>
      </x:c>
      <x:c r="AQ11" s="61" t="n">
        <x:f>AO11-AP11</x:f>
        <x:v>362.55999999999995</x:v>
      </x:c>
      <x:c r="AR11" s="20" t="str">
        <x:v>PSA direct medians — PSA 7/9; PriceCharting fallback — 6/8/10</x:v>
      </x:c>
      <x:c r="AS11" s="20" t="str">
        <x:v>Exact Boundaries Crossed #146. PSA 7 latest five direct sales: $325, $350, $200, $370, $550 → median $350. PSA 9 latest five direct sales: $2,250, $1,000, $780, $1,264.95, $1,260 → median $1,260. PSA 8 has too few current exact-grade PSA sales for the 3-comp rule, so $440.80 remains the PriceCharting fallback. PSA 6 and PSA 10 also remain PriceCharting fallbacks.</x:v>
      </x:c>
      <x:c r="AT11" s="176" t="n">
        <x:v>82</x:v>
      </x:c>
      <x:c r="AU11" s="176" t="n">
        <x:v>124</x:v>
      </x:c>
      <x:c r="AV11" s="176"/>
      <x:c r="AW11" s="176" t="n">
        <x:v>56</x:v>
      </x:c>
      <x:c r="AX11" s="176" t="n">
        <x:v>10</x:v>
      </x:c>
      <x:c r="AY11" s="176"/>
      <x:c r="AZ11" s="20" t="str">
        <x:v>https://www.psacard.com/cert/111415206/psa | https://www.psacard.com/cert/57793701/psa | https://www.pricecharting.com/game/pokemon-boundaries-crossed/white-kyurem-ex-146</x:v>
      </x:c>
      <x:c r="BA11" s="20" t="str">
        <x:v>Graded-value hierarchy applied 2026-08-18: PSA recent exact-grade sales median when 3+ usable comps; otherwise PSA Estimate; otherwise PriceCharting fallback.</x:v>
      </x:c>
    </x:row>
    <x:row r="12" ht="26.399999618530273" hidden="0" customHeight="1">
      <x:c r="A12" s="85" t="str">
        <x:v>A — Priority</x:v>
      </x:c>
      <x:c r="B12" s="86" t="n">
        <x:f>'All Physical Cards'!A634</x:f>
        <x:v>633</x:v>
      </x:c>
      <x:c r="C12" s="50" t="str">
        <x:f>'All Physical Cards'!C634</x:f>
        <x:v>White Kyurem-EX</x:v>
      </x:c>
      <x:c r="D12" s="50" t="str">
        <x:f>'All Physical Cards'!D634</x:f>
        <x:v>146/149</x:v>
      </x:c>
      <x:c r="E12" s="50" t="str">
        <x:f>'All Physical Cards'!E634</x:f>
        <x:v>Boundaries Crossed</x:v>
      </x:c>
      <x:c r="F12" s="50" t="n">
        <x:f>'All Physical Cards'!F634</x:f>
        <x:v>2012</x:v>
      </x:c>
      <x:c r="G12" s="50" t="str">
        <x:f>'All Physical Cards'!G634</x:f>
        <x:v>Full Art Holo Ultra Rare</x:v>
      </x:c>
      <x:c r="H12" s="50" t="str">
        <x:f>'All Physical Cards'!H634</x:f>
        <x:v>2 of 2</x:v>
      </x:c>
      <x:c r="I12" s="91" t="n">
        <x:f>'All Physical Cards'!I634</x:f>
        <x:v>150</x:v>
      </x:c>
      <x:c r="J12" s="91" t="n">
        <x:f>'All Physical Cards'!J634</x:f>
        <x:v>225</x:v>
      </x:c>
      <x:c r="K12" s="91" t="n">
        <x:f>'All Physical Cards'!K634</x:f>
        <x:v>187.5</x:v>
      </x:c>
      <x:c r="L12" s="91" t="n">
        <x:f>'All Physical Cards'!S634</x:f>
        <x:v>187.5</x:v>
      </x:c>
      <x:c r="M12" s="50" t="str">
        <x:f>'All Physical Cards'!P634</x:f>
        <x:v>Manual pre-grade: PSA 8 most likely / PSA 9 upside</x:v>
      </x:c>
      <x:c r="N12" s="50" t="str">
        <x:v>High raw value; grading can materially improve liquidity/value; Full Art collector demand</x:v>
      </x:c>
      <x:c r="O12" s="50" t="str">
        <x:v>Inspect closely. Submit if roughly PSA 8/9+ caliber; 9/10 is ideal.</x:v>
      </x:c>
      <x:c r="P12" s="50" t="str">
        <x:v>Pre-grade now; submit when a cheaper PSA tier/special is available unless the card is an obvious high-grade outlier.</x:v>
      </x:c>
      <x:c r="Q12" s="50" t="str">
        <x:v>PSA 8 most likely; PSA 9 meaningful upside</x:v>
      </x:c>
      <x:c r="R12" s="50" t="str">
        <x:v>Grade candidate — better White Kyurem copy; use cheap PSA tier and value as an 8</x:v>
      </x:c>
      <x:c r="S12" s="50" t="str">
        <x:f>'All Physical Cards'!W634</x:f>
        <x:v>https://www.pricecharting.com/game/pokemon-boundaries-crossed/white-kyurem-ex-146</x:v>
      </x:c>
      <x:c r="T12" s="115" t="str">
        <x:v>PSA 10 — centering confirmed good in-session</x:v>
      </x:c>
      <x:c r="U12" s="115" t="str">
        <x:v>PSA 8–9 — small touches at the lower reverse corners; top corners cleaner</x:v>
      </x:c>
      <x:c r="V12" s="115" t="str">
        <x:v>PSA 8–9 — string of small white chips/flecks across reverse bottom edge; vertical edges cleaner than copy 1</x:v>
      </x:c>
      <x:c r="W12" s="115" t="str">
        <x:v>PSA 10 candidate — surface confirmed good in-session; no obvious major scratch, dent, crease or scrape</x:v>
      </x:c>
      <x:c r="X12" s="20" t="str">
        <x:v>10 / 8–9 / 8–9 / 10 → PSA 8 favorite with strong PSA 9 path</x:v>
      </x:c>
      <x:c r="Y12" s="20" t="str">
        <x:v>PSA 8 most likely; PSA 9 close upside</x:v>
      </x:c>
      <x:c r="Z12" s="20" t="str">
        <x:v>PSA 7 ~2% | PSA 8 ~53% | PSA 9 ~44% | PSA 10 ~1%</x:v>
      </x:c>
      <x:c r="AA12" s="20" t="str">
        <x:v>White Kyurem-EX 146/149 copy 2 of 2. Surface and centering were confirmed good in-session. Reverse bottom edge still has a run of small white chips/flecks, with minor lower-corner wear, but the vertical reverse edges are cleaner than copy 1. This is the stronger of the two copies. Conservative valuation baseline remains PSA 8, with a meaningful PSA 9 chance.</x:v>
      </x:c>
      <x:c r="AB12" s="20" t="str">
        <x:v>$325–$441</x:v>
      </x:c>
      <x:c r="AC12" s="20" t="str">
        <x:v>PSA recent exact-grade sales first; PriceCharting only fills grades without enough PSA evidence.</x:v>
      </x:c>
      <x:c r="AD12" s="20" t="str">
        <x:v>https://www.pricecharting.com/game/pokemon-boundaries-crossed/white-kyurem-ex-146</x:v>
      </x:c>
      <x:c r="AE12" s="131" t="n">
        <x:v>0</x:v>
      </x:c>
      <x:c r="AF12" s="131" t="n">
        <x:v>0.02</x:v>
      </x:c>
      <x:c r="AG12" s="131" t="n">
        <x:v>0.53</x:v>
      </x:c>
      <x:c r="AH12" s="131" t="n">
        <x:v>0.44</x:v>
      </x:c>
      <x:c r="AI12" s="131" t="n">
        <x:v>0.01</x:v>
      </x:c>
      <x:c r="AJ12" s="61" t="n">
        <x:v>238.76</x:v>
      </x:c>
      <x:c r="AK12" s="61" t="n">
        <x:v>350</x:v>
      </x:c>
      <x:c r="AL12" s="61" t="n">
        <x:v>440.8</x:v>
      </x:c>
      <x:c r="AM12" s="61" t="n">
        <x:v>1260</x:v>
      </x:c>
      <x:c r="AN12" s="61" t="n">
        <x:v>1450.26</x:v>
      </x:c>
      <x:c r="AO12" s="61" t="n">
        <x:f>SUMPRODUCT(AE12:AI12,AJ12:AN12)+IFERROR(BB12*BC12,0)</x:f>
        <x:v>809.5266</x:v>
      </x:c>
      <x:c r="AP12" s="61" t="n">
        <x:f>K12</x:f>
        <x:v>187.5</x:v>
      </x:c>
      <x:c r="AQ12" s="61" t="n">
        <x:f>AO12-AP12</x:f>
        <x:v>622.0266</x:v>
      </x:c>
      <x:c r="AR12" s="20" t="str">
        <x:v>PSA direct medians — PSA 7/9; PriceCharting fallback — 6/8/10</x:v>
      </x:c>
      <x:c r="AS12" s="20" t="str">
        <x:v>Exact Boundaries Crossed #146. PSA 7 latest five direct sales: $325, $350, $200, $370, $550 → median $350. PSA 9 latest five direct sales: $2,250, $1,000, $780, $1,264.95, $1,260 → median $1,260. PSA 8 has too few current exact-grade PSA sales for the 3-comp rule, so $440.80 remains the PriceCharting fallback. PSA 6 and PSA 10 also remain PriceCharting fallbacks.</x:v>
      </x:c>
      <x:c r="AT12" s="176" t="n">
        <x:v>82</x:v>
      </x:c>
      <x:c r="AU12" s="176" t="n">
        <x:v>124</x:v>
      </x:c>
      <x:c r="AV12" s="176"/>
      <x:c r="AW12" s="176" t="n">
        <x:v>56</x:v>
      </x:c>
      <x:c r="AX12" s="176" t="n">
        <x:v>10</x:v>
      </x:c>
      <x:c r="AY12" s="176"/>
      <x:c r="AZ12" s="20" t="str">
        <x:v>https://www.psacard.com/cert/111415206/psa | https://www.psacard.com/cert/57793701/psa | https://www.pricecharting.com/game/pokemon-boundaries-crossed/white-kyurem-ex-146</x:v>
      </x:c>
      <x:c r="BA12" s="20" t="str">
        <x:v>Graded-value hierarchy applied 2026-08-18: PSA recent exact-grade sales median when 3+ usable comps; otherwise PSA Estimate; otherwise PriceCharting fallback.</x:v>
      </x:c>
    </x:row>
    <x:row r="13" ht="26.399999618530273" hidden="0" customHeight="1">
      <x:c r="A13" s="85" t="str">
        <x:v>A — Priority</x:v>
      </x:c>
      <x:c r="B13" s="86" t="n">
        <x:f>'All Physical Cards'!A626</x:f>
        <x:v>625</x:v>
      </x:c>
      <x:c r="C13" s="50" t="str">
        <x:f>'All Physical Cards'!C626</x:f>
        <x:v>Mew-EX</x:v>
      </x:c>
      <x:c r="D13" s="50" t="str">
        <x:f>'All Physical Cards'!D626</x:f>
        <x:v>RC24/RC25</x:v>
      </x:c>
      <x:c r="E13" s="50" t="str">
        <x:f>'All Physical Cards'!E626</x:f>
        <x:v>Legendary Treasures: Radiant Collection</x:v>
      </x:c>
      <x:c r="F13" s="50" t="n">
        <x:f>'All Physical Cards'!F626</x:f>
        <x:v>2013</x:v>
      </x:c>
      <x:c r="G13" s="50" t="str">
        <x:f>'All Physical Cards'!G626</x:f>
        <x:v>Full Art Holo Ultra Rare</x:v>
      </x:c>
      <x:c r="H13" s="50" t="str">
        <x:f>'All Physical Cards'!H626</x:f>
        <x:v>1 of 2</x:v>
      </x:c>
      <x:c r="I13" s="91" t="n">
        <x:f>'All Physical Cards'!I626</x:f>
        <x:v>160</x:v>
      </x:c>
      <x:c r="J13" s="91" t="n">
        <x:f>'All Physical Cards'!J626</x:f>
        <x:v>210</x:v>
      </x:c>
      <x:c r="K13" s="91" t="n">
        <x:f>'All Physical Cards'!K626</x:f>
        <x:v>185</x:v>
      </x:c>
      <x:c r="L13" s="91" t="n">
        <x:f>'All Physical Cards'!S626</x:f>
        <x:v>185</x:v>
      </x:c>
      <x:c r="M13" s="50" t="str">
        <x:f>'All Physical Cards'!P626</x:f>
        <x:v>Clean/NM benchmark unless noted</x:v>
      </x:c>
      <x:c r="N13" s="50" t="str">
        <x:v>High raw value; grading can materially improve liquidity/value; Full Art collector demand; Popular Pokémon demand</x:v>
      </x:c>
      <x:c r="O13" s="50" t="str">
        <x:v>Inspect closely. Submit if roughly PSA 8/9+ caliber; 9/10 is ideal.</x:v>
      </x:c>
      <x:c r="P13" s="50" t="str">
        <x:v>Pre-grade now; submit when a cheaper PSA tier/special is available unless the card is an obvious high-grade outlier.</x:v>
      </x:c>
      <x:c r="Q13" s="50" t="str">
        <x:v>Not inspected</x:v>
      </x:c>
      <x:c r="R13" s="50" t="str">
        <x:v>Undecided</x:v>
      </x:c>
      <x:c r="S13" s="50" t="str">
        <x:f>'All Physical Cards'!W626</x:f>
        <x:v>https://www.pricecharting.com/game/pokemon-legendary-treasures/mew-ex-rc24</x:v>
      </x:c>
      <x:c r="T13" s="115"/>
      <x:c r="U13" s="115"/>
      <x:c r="V13" s="115"/>
      <x:c r="W13" s="115"/>
      <x:c r="X13" s="20"/>
      <x:c r="Y13" s="20"/>
      <x:c r="Z13" s="20"/>
      <x:c r="AA13" s="20"/>
      <x:c r="AB13" s="20"/>
      <x:c r="AC13" s="20" t="str">
        <x:v>Reconciled grade value: PriceCharting baseline + exact PSA cert/sales-history cross-check where sufficiently useful. Recent PSA sale medians override PriceCharting when multiple exact sales were available; thin PSA data are flagged rather than extrapolated.</x:v>
      </x:c>
      <x:c r="AD13" s="20" t="str">
        <x:v>https://www.pricecharting.com/game/pokemon-legendary-treasures/mew-ex-rc24</x:v>
      </x:c>
      <x:c r="AE13" s="131"/>
      <x:c r="AF13" s="131"/>
      <x:c r="AG13" s="131"/>
      <x:c r="AH13" s="131"/>
      <x:c r="AI13" s="131"/>
      <x:c r="AJ13" s="61"/>
      <x:c r="AK13" s="61" t="n">
        <x:v>207.72</x:v>
      </x:c>
      <x:c r="AL13" s="61" t="n">
        <x:v>327.92</x:v>
      </x:c>
      <x:c r="AM13" s="61" t="n">
        <x:v>1025</x:v>
      </x:c>
      <x:c r="AN13" s="61" t="n">
        <x:v>9999.99</x:v>
      </x:c>
      <x:c r="AO13" s="61"/>
      <x:c r="AP13" s="61"/>
      <x:c r="AQ13" s="61"/>
      <x:c r="AR13" s="20" t="str">
        <x:v>PSA sales verified — PSA 7/8/9</x:v>
      </x:c>
      <x:c r="AS13" s="20" t="str">
        <x:v>Exact Legendary Treasures Radiant Collection RC24. Recent PSA sales support ~207.72 / 327.92 / 1,025 for 7/8/9. PSA 10 retains PriceCharting because exact recent PSA 10 evidence was too thin in the search. Sources: https://www.psacard.com/cert/125833782 and https://www.psacard.com/cert/120926491 and https://www.psacard.com/cert/55528646</x:v>
      </x:c>
      <x:c r="AT13" s="176"/>
      <x:c r="AU13" s="176" t="n">
        <x:v>2141</x:v>
      </x:c>
      <x:c r="AV13" s="176" t="n">
        <x:v>2225</x:v>
      </x:c>
      <x:c r="AW13" s="176" t="n">
        <x:v>1160</x:v>
      </x:c>
      <x:c r="AX13" s="176" t="n">
        <x:v>158</x:v>
      </x:c>
      <x:c r="AY13" s="176"/>
      <x:c r="AZ13" s="20" t="str">
        <x:v>https://www.psacard.com/cert/125833782 | https://www.psacard.com/cert/128839529/psa | https://www.psacard.com/cert/128390377/psa</x:v>
      </x:c>
      <x:c r="BA13" s="20" t="str">
        <x:v>PSA direct cert populations. PSA 10 equals the PSA 9 page's Pop Higher. PSA 6 not directly resolved.</x:v>
      </x:c>
    </x:row>
    <x:row r="14" ht="26.399999618530273" hidden="0" customHeight="1">
      <x:c r="A14" s="85" t="str">
        <x:v>A — Priority</x:v>
      </x:c>
      <x:c r="B14" s="86" t="n">
        <x:f>'All Physical Cards'!A627</x:f>
        <x:v>626</x:v>
      </x:c>
      <x:c r="C14" s="50" t="str">
        <x:f>'All Physical Cards'!C627</x:f>
        <x:v>Mew-EX</x:v>
      </x:c>
      <x:c r="D14" s="50" t="str">
        <x:f>'All Physical Cards'!D627</x:f>
        <x:v>RC24/RC25</x:v>
      </x:c>
      <x:c r="E14" s="50" t="str">
        <x:f>'All Physical Cards'!E627</x:f>
        <x:v>Legendary Treasures: Radiant Collection</x:v>
      </x:c>
      <x:c r="F14" s="50" t="n">
        <x:f>'All Physical Cards'!F627</x:f>
        <x:v>2013</x:v>
      </x:c>
      <x:c r="G14" s="50" t="str">
        <x:f>'All Physical Cards'!G627</x:f>
        <x:v>Full Art Holo Ultra Rare</x:v>
      </x:c>
      <x:c r="H14" s="50" t="str">
        <x:f>'All Physical Cards'!H627</x:f>
        <x:v>2 of 2</x:v>
      </x:c>
      <x:c r="I14" s="91" t="n">
        <x:f>'All Physical Cards'!I627</x:f>
        <x:v>160</x:v>
      </x:c>
      <x:c r="J14" s="91" t="n">
        <x:f>'All Physical Cards'!J627</x:f>
        <x:v>210</x:v>
      </x:c>
      <x:c r="K14" s="91" t="n">
        <x:f>'All Physical Cards'!K627</x:f>
        <x:v>185</x:v>
      </x:c>
      <x:c r="L14" s="91" t="n">
        <x:f>'All Physical Cards'!S627</x:f>
        <x:v>185</x:v>
      </x:c>
      <x:c r="M14" s="50" t="str">
        <x:f>'All Physical Cards'!P627</x:f>
        <x:v>Clean/NM benchmark unless noted</x:v>
      </x:c>
      <x:c r="N14" s="50" t="str">
        <x:v>High raw value; grading can materially improve liquidity/value; Full Art collector demand; Popular Pokémon demand</x:v>
      </x:c>
      <x:c r="O14" s="50" t="str">
        <x:v>Inspect closely. Submit if roughly PSA 8/9+ caliber; 9/10 is ideal.</x:v>
      </x:c>
      <x:c r="P14" s="50" t="str">
        <x:v>Pre-grade now; submit when a cheaper PSA tier/special is available unless the card is an obvious high-grade outlier.</x:v>
      </x:c>
      <x:c r="Q14" s="50" t="str">
        <x:v>Not inspected</x:v>
      </x:c>
      <x:c r="R14" s="50" t="str">
        <x:v>Undecided</x:v>
      </x:c>
      <x:c r="S14" s="50" t="str">
        <x:f>'All Physical Cards'!W627</x:f>
        <x:v>https://www.pricecharting.com/game/pokemon-legendary-treasures/mew-ex-rc24</x:v>
      </x:c>
      <x:c r="T14" s="115"/>
      <x:c r="U14" s="115"/>
      <x:c r="V14" s="115"/>
      <x:c r="W14" s="115"/>
      <x:c r="X14" s="20"/>
      <x:c r="Y14" s="20"/>
      <x:c r="Z14" s="20"/>
      <x:c r="AA14" s="20"/>
      <x:c r="AB14" s="20"/>
      <x:c r="AC14" s="20" t="str">
        <x:v>Reconciled grade value: PriceCharting baseline + exact PSA cert/sales-history cross-check where sufficiently useful. Recent PSA sale medians override PriceCharting when multiple exact sales were available; thin PSA data are flagged rather than extrapolated.</x:v>
      </x:c>
      <x:c r="AD14" s="20" t="str">
        <x:v>https://www.pricecharting.com/game/pokemon-legendary-treasures/mew-ex-rc24</x:v>
      </x:c>
      <x:c r="AE14" s="131"/>
      <x:c r="AF14" s="131"/>
      <x:c r="AG14" s="131"/>
      <x:c r="AH14" s="131"/>
      <x:c r="AI14" s="131"/>
      <x:c r="AJ14" s="61"/>
      <x:c r="AK14" s="61" t="n">
        <x:v>207.72</x:v>
      </x:c>
      <x:c r="AL14" s="61" t="n">
        <x:v>327.92</x:v>
      </x:c>
      <x:c r="AM14" s="61" t="n">
        <x:v>1025</x:v>
      </x:c>
      <x:c r="AN14" s="61" t="n">
        <x:v>9999.99</x:v>
      </x:c>
      <x:c r="AO14" s="61"/>
      <x:c r="AP14" s="61"/>
      <x:c r="AQ14" s="61"/>
      <x:c r="AR14" s="20" t="str">
        <x:v>PSA sales verified — PSA 7/8/9</x:v>
      </x:c>
      <x:c r="AS14" s="20" t="str">
        <x:v>Same exact RC24 printing as copy 1. PSA 10 retains PriceCharting. Sources: https://www.psacard.com/cert/125833782 and https://www.psacard.com/cert/120926491 and https://www.psacard.com/cert/55528646</x:v>
      </x:c>
      <x:c r="AT14" s="176"/>
      <x:c r="AU14" s="176" t="n">
        <x:v>2141</x:v>
      </x:c>
      <x:c r="AV14" s="176" t="n">
        <x:v>2225</x:v>
      </x:c>
      <x:c r="AW14" s="176" t="n">
        <x:v>1160</x:v>
      </x:c>
      <x:c r="AX14" s="176" t="n">
        <x:v>158</x:v>
      </x:c>
      <x:c r="AY14" s="176"/>
      <x:c r="AZ14" s="20" t="str">
        <x:v>https://www.psacard.com/cert/125833782 | https://www.psacard.com/cert/128839529/psa | https://www.psacard.com/cert/128390377/psa</x:v>
      </x:c>
      <x:c r="BA14" s="20" t="str">
        <x:v>PSA direct cert populations. PSA 10 equals the PSA 9 page's Pop Higher. PSA 6 not directly resolved.</x:v>
      </x:c>
    </x:row>
    <x:row r="15" ht="26.399999618530273" hidden="0" customHeight="1">
      <x:c r="A15" s="85" t="str">
        <x:v>A — Priority</x:v>
      </x:c>
      <x:c r="B15" s="86" t="n">
        <x:f>'All Physical Cards'!A653</x:f>
        <x:v>652</x:v>
      </x:c>
      <x:c r="C15" s="50" t="str">
        <x:f>'All Physical Cards'!C653</x:f>
        <x:v>Latios-EX</x:v>
      </x:c>
      <x:c r="D15" s="50" t="str">
        <x:f>'All Physical Cards'!D653</x:f>
        <x:v>113/116</x:v>
      </x:c>
      <x:c r="E15" s="50" t="str">
        <x:f>'All Physical Cards'!E653</x:f>
        <x:v>Plasma Freeze</x:v>
      </x:c>
      <x:c r="F15" s="50" t="n">
        <x:f>'All Physical Cards'!F653</x:f>
        <x:v>2013</x:v>
      </x:c>
      <x:c r="G15" s="50" t="str">
        <x:f>'All Physical Cards'!G653</x:f>
        <x:v>Full Art Holo Ultra Rare</x:v>
      </x:c>
      <x:c r="H15" s="50" t="str">
        <x:f>'All Physical Cards'!H653</x:f>
        <x:v>1 of 2</x:v>
      </x:c>
      <x:c r="I15" s="91" t="n">
        <x:f>'All Physical Cards'!I653</x:f>
        <x:v>120</x:v>
      </x:c>
      <x:c r="J15" s="91" t="n">
        <x:f>'All Physical Cards'!J653</x:f>
        <x:v>230</x:v>
      </x:c>
      <x:c r="K15" s="91" t="n">
        <x:f>'All Physical Cards'!K653</x:f>
        <x:v>175</x:v>
      </x:c>
      <x:c r="L15" s="91" t="n">
        <x:f>'All Physical Cards'!S653</x:f>
        <x:v>175</x:v>
      </x:c>
      <x:c r="M15" s="50" t="str">
        <x:f>'All Physical Cards'!P653</x:f>
        <x:v>Manual pre-grade: PSA 8 most likely / PSA 9 upside</x:v>
      </x:c>
      <x:c r="N15" s="50" t="str">
        <x:v>High raw value; grading can materially improve liquidity/value; Full Art collector demand; Popular Pokémon demand</x:v>
      </x:c>
      <x:c r="O15" s="50" t="str">
        <x:v>Inspect closely. Submit if roughly PSA 8/9+ caliber; 9/10 is ideal.</x:v>
      </x:c>
      <x:c r="P15" s="50" t="str">
        <x:v>Pre-grade now; submit when a cheaper PSA tier/special is available unless the card is an obvious high-grade outlier.</x:v>
      </x:c>
      <x:c r="Q15" s="50" t="str">
        <x:v>PSA 8 most likely; PSA 9 upside</x:v>
      </x:c>
      <x:c r="R15" s="50" t="str">
        <x:v>Conditional grade — only if PSA 8 economics work / cheap PSA tier</x:v>
      </x:c>
      <x:c r="S15" s="50" t="str">
        <x:f>'All Physical Cards'!W653</x:f>
        <x:v>https://www.pricecharting.com/game/pokemon-plasma-freeze/latios-ex-113</x:v>
      </x:c>
      <x:c r="T15" s="115" t="str">
        <x:v>PSA 10 — centering app: 52/48 L-R and 55/45 T-B</x:v>
      </x:c>
      <x:c r="U15" s="115" t="str">
        <x:v>PSA 9 — corners generally sharp with only minor touches</x:v>
      </x:c>
      <x:c r="V15" s="115" t="str">
        <x:v>PSA 8 — multiple visible dings/notches along the left side of the reverse plus smaller edge flecks</x:v>
      </x:c>
      <x:c r="W15" s="115" t="str">
        <x:v>PSA 9–10 — surface presents very clean; no obvious major scratch, dent, crease or scuff</x:v>
      </x:c>
      <x:c r="X15" s="20" t="str">
        <x:v>10 / 9 / 8 / 9–10 → PSA 8 most likely</x:v>
      </x:c>
      <x:c r="Y15" s="20" t="str">
        <x:v>PSA 8 most likely; PSA 9 meaningful upside</x:v>
      </x:c>
      <x:c r="Z15" s="20" t="str">
        <x:v>PSA 7 ~7% | PSA 8 ~60% | PSA 9 ~32% | PSA 10 ~1%</x:v>
      </x:c>
      <x:c r="AA15" s="20" t="str">
        <x:v>Latios-EX 113/116 copy 1 of 2. Front centering measured 52/48 left-right and 55/45 top-bottom, a PSA-10-level centering result. Surface also appears very strong. The grade is limited by multiple real dings/notches along the left side of the reverse edge; these are physical edge deformation rather than simple whitening. Corners are otherwise solid. Use PSA 8 as the baseline with PSA 9 upside.</x:v>
      </x:c>
      <x:c r="AB15" s="20"/>
      <x:c r="AC15" s="20" t="str">
        <x:v>PSA recent exact-grade sales medians used for 8/9/10; PriceCharting only for the unresolved 7.</x:v>
      </x:c>
      <x:c r="AD15" s="20" t="str">
        <x:v>https://www.pricecharting.com/game/pokemon-plasma-freeze/latios-ex-113</x:v>
      </x:c>
      <x:c r="AE15" s="131" t="n">
        <x:v>0</x:v>
      </x:c>
      <x:c r="AF15" s="131" t="n">
        <x:v>0.07</x:v>
      </x:c>
      <x:c r="AG15" s="131" t="n">
        <x:v>0.6</x:v>
      </x:c>
      <x:c r="AH15" s="131" t="n">
        <x:v>0.32</x:v>
      </x:c>
      <x:c r="AI15" s="131" t="n">
        <x:v>0.01</x:v>
      </x:c>
      <x:c r="AJ15" s="61"/>
      <x:c r="AK15" s="61" t="n">
        <x:v>295.65</x:v>
      </x:c>
      <x:c r="AL15" s="61" t="n">
        <x:v>450</x:v>
      </x:c>
      <x:c r="AM15" s="61" t="n">
        <x:v>890</x:v>
      </x:c>
      <x:c r="AN15" s="61" t="n">
        <x:v>4450</x:v>
      </x:c>
      <x:c r="AO15" s="61" t="n">
        <x:f>SUMPRODUCT(AE15:AI15,AJ15:AN15)+IFERROR(BB15*BC15,0)</x:f>
        <x:v>619.9955</x:v>
      </x:c>
      <x:c r="AP15" s="61" t="n">
        <x:f>K15</x:f>
        <x:v>175</x:v>
      </x:c>
      <x:c r="AQ15" s="61" t="n">
        <x:f>AO15-AP15</x:f>
        <x:v>444.9955</x:v>
      </x:c>
      <x:c r="AR15" s="20" t="str">
        <x:v>PSA direct medians — PSA 8/9/10; PriceCharting fallback — PSA 7</x:v>
      </x:c>
      <x:c r="AS15" s="20" t="str">
        <x:v>Exact Plasma Freeze #113. PSA 8 latest five: $300, $500, $346.52, $450, $525 → median $450. PSA 9 latest five: $670.22, $1,050, $890, $950, $456.96 → median $890. PSA 10 latest five: $6,175, $5,000, $3,600, $3,450, $4,450 → median $4,450. PSA 7 lacks sufficient direct PSA evidence, so $295.65 remains the PriceCharting fallback.</x:v>
      </x:c>
      <x:c r="AT15" s="176"/>
      <x:c r="AU15" s="176"/>
      <x:c r="AV15" s="176" t="n">
        <x:v>202</x:v>
      </x:c>
      <x:c r="AW15" s="176" t="n">
        <x:v>142</x:v>
      </x:c>
      <x:c r="AX15" s="176" t="n">
        <x:v>45</x:v>
      </x:c>
      <x:c r="AY15" s="176"/>
      <x:c r="AZ15" s="20" t="str">
        <x:v>https://www.psacard.com/cert/146223357/psa | https://www.psacard.com/cert/40770935/psa | https://www.psacard.com/cert/26535208 | https://www.pricecharting.com/game/pokemon-plasma-freeze/latios-ex-113</x:v>
      </x:c>
      <x:c r="BA15" s="20" t="str">
        <x:v>Graded-value hierarchy applied 2026-08-18: PSA recent exact-grade sales median when 3+ usable comps; otherwise PSA Estimate; otherwise PriceCharting fallback.</x:v>
      </x:c>
    </x:row>
    <x:row r="16" ht="26.399999618530273" hidden="0" customHeight="1">
      <x:c r="A16" s="85" t="str">
        <x:v>A — Priority</x:v>
      </x:c>
      <x:c r="B16" s="86" t="n">
        <x:f>'All Physical Cards'!A631</x:f>
        <x:v>630</x:v>
      </x:c>
      <x:c r="C16" s="50" t="str">
        <x:f>'All Physical Cards'!C631</x:f>
        <x:v>Charizard-EX</x:v>
      </x:c>
      <x:c r="D16" s="50" t="str">
        <x:f>'All Physical Cards'!D631</x:f>
        <x:v>100/106</x:v>
      </x:c>
      <x:c r="E16" s="50" t="str">
        <x:f>'All Physical Cards'!E631</x:f>
        <x:v>XY—Flashfire</x:v>
      </x:c>
      <x:c r="F16" s="50" t="n">
        <x:f>'All Physical Cards'!F631</x:f>
        <x:v>2014</x:v>
      </x:c>
      <x:c r="G16" s="50" t="str">
        <x:f>'All Physical Cards'!G631</x:f>
        <x:v>Full Art Holo Ultra Rare</x:v>
      </x:c>
      <x:c r="H16" s="50" t="str">
        <x:f>'All Physical Cards'!H631</x:f>
        <x:v>1 of 2</x:v>
      </x:c>
      <x:c r="I16" s="91" t="n">
        <x:f>'All Physical Cards'!I631</x:f>
        <x:v>100</x:v>
      </x:c>
      <x:c r="J16" s="91" t="n">
        <x:f>'All Physical Cards'!J631</x:f>
        <x:v>180</x:v>
      </x:c>
      <x:c r="K16" s="91" t="n">
        <x:f>'All Physical Cards'!K631</x:f>
        <x:v>140</x:v>
      </x:c>
      <x:c r="L16" s="91" t="n">
        <x:f>'All Physical Cards'!S631</x:f>
        <x:v>140</x:v>
      </x:c>
      <x:c r="M16" s="50" t="str">
        <x:f>'All Physical Cards'!P631</x:f>
        <x:v>Clean/NM benchmark unless noted</x:v>
      </x:c>
      <x:c r="N16" s="50" t="str">
        <x:v>High raw value; grading can materially improve liquidity/value; Full Art collector demand; Popular Pokémon demand</x:v>
      </x:c>
      <x:c r="O16" s="50" t="str">
        <x:v>Inspect closely. Submit if roughly PSA 8/9+ caliber; 9/10 is ideal.</x:v>
      </x:c>
      <x:c r="P16" s="50" t="str">
        <x:v>Pre-grade now; submit when a cheaper PSA tier/special is available unless the card is an obvious high-grade outlier.</x:v>
      </x:c>
      <x:c r="Q16" s="50" t="str">
        <x:v>Not inspected</x:v>
      </x:c>
      <x:c r="R16" s="50" t="str">
        <x:v>Undecided</x:v>
      </x:c>
      <x:c r="S16" s="50" t="str">
        <x:f>'All Physical Cards'!W631</x:f>
        <x:v>https://www.pricecharting.com/game/pokemon-flashfire/charizard-ex-100</x:v>
      </x:c>
      <x:c r="T16" s="115"/>
      <x:c r="U16" s="115"/>
      <x:c r="V16" s="115"/>
      <x:c r="W16" s="115"/>
      <x:c r="X16" s="20"/>
      <x:c r="Y16" s="20"/>
      <x:c r="Z16" s="20"/>
      <x:c r="AA16" s="20"/>
      <x:c r="AB16" s="20"/>
      <x:c r="AC16" s="20" t="str">
        <x:v>Reconciled grade value: PriceCharting baseline + exact PSA cert/sales-history cross-check where sufficiently useful. Recent PSA sale medians override PriceCharting when multiple exact sales were available; thin PSA data are flagged rather than extrapolated.</x:v>
      </x:c>
      <x:c r="AD16" s="20" t="str">
        <x:v>https://www.pricecharting.com/game/pokemon-flashfire/charizard-ex-100</x:v>
      </x:c>
      <x:c r="AE16" s="131"/>
      <x:c r="AF16" s="131"/>
      <x:c r="AG16" s="131"/>
      <x:c r="AH16" s="131"/>
      <x:c r="AI16" s="131"/>
      <x:c r="AJ16" s="61"/>
      <x:c r="AK16" s="61" t="n">
        <x:v>250.4</x:v>
      </x:c>
      <x:c r="AL16" s="61" t="n">
        <x:v>375</x:v>
      </x:c>
      <x:c r="AM16" s="61" t="n">
        <x:v>810</x:v>
      </x:c>
      <x:c r="AN16" s="61" t="n">
        <x:v>8600</x:v>
      </x:c>
      <x:c r="AO16" s="61"/>
      <x:c r="AP16" s="61"/>
      <x:c r="AQ16" s="61"/>
      <x:c r="AR16" s="20" t="str">
        <x:v>PSA sales verified — PSA 8/9/10</x:v>
      </x:c>
      <x:c r="AS16" s="20" t="str">
        <x:v>Exact Flashfire #100. Recent PSA sales support ~375 / 810 / 8,600 for grades 8/9/10. PSA 7 retains PriceCharting. Sources: https://www.psacard.com/cert/65826214 and https://www.psacard.com/cert/51990528 and https://www.psacard.com/cert/26932354</x:v>
      </x:c>
      <x:c r="AT16" s="176" t="n">
        <x:v>452</x:v>
      </x:c>
      <x:c r="AU16" s="176" t="n">
        <x:v>832</x:v>
      </x:c>
      <x:c r="AV16" s="176" t="n">
        <x:v>1088</x:v>
      </x:c>
      <x:c r="AW16" s="176" t="n">
        <x:v>1012</x:v>
      </x:c>
      <x:c r="AX16" s="176" t="n">
        <x:v>184</x:v>
      </x:c>
      <x:c r="AY16" s="176"/>
      <x:c r="AZ16" s="20" t="str">
        <x:v>https://www.psacard.com/cert/131916206/psa | https://www.psacard.com/cert/42024680/psa | https://www.psacard.com/cert/26932354/psa</x:v>
      </x:c>
      <x:c r="BA16" s="20" t="str">
        <x:v>PSA direct cert populations; PSA 8/9 were separately checked on PSA during this audit. PSA 10 direct cert.</x:v>
      </x:c>
    </x:row>
    <x:row r="17" ht="26.399999618530273" hidden="0" customHeight="1">
      <x:c r="A17" s="85" t="str">
        <x:v>A — Priority</x:v>
      </x:c>
      <x:c r="B17" s="86" t="n">
        <x:f>'All Physical Cards'!A636</x:f>
        <x:v>635</x:v>
      </x:c>
      <x:c r="C17" s="50" t="str">
        <x:f>'All Physical Cards'!C636</x:f>
        <x:v>Zekrom</x:v>
      </x:c>
      <x:c r="D17" s="50" t="str">
        <x:f>'All Physical Cards'!D636</x:f>
        <x:v>114/114</x:v>
      </x:c>
      <x:c r="E17" s="50" t="str">
        <x:f>'All Physical Cards'!E636</x:f>
        <x:v>Black &amp; White</x:v>
      </x:c>
      <x:c r="F17" s="50" t="n">
        <x:f>'All Physical Cards'!F636</x:f>
        <x:v>2011</x:v>
      </x:c>
      <x:c r="G17" s="50" t="str">
        <x:f>'All Physical Cards'!G636</x:f>
        <x:v>Full Art Holo Ultra Rare</x:v>
      </x:c>
      <x:c r="H17" s="50" t="str">
        <x:f>'All Physical Cards'!H636</x:f>
        <x:v>1 of 4</x:v>
      </x:c>
      <x:c r="I17" s="91" t="n">
        <x:f>'All Physical Cards'!I636</x:f>
        <x:v>90</x:v>
      </x:c>
      <x:c r="J17" s="91" t="n">
        <x:f>'All Physical Cards'!J636</x:f>
        <x:v>180</x:v>
      </x:c>
      <x:c r="K17" s="91" t="n">
        <x:f>'All Physical Cards'!K636</x:f>
        <x:v>135</x:v>
      </x:c>
      <x:c r="L17" s="91" t="n">
        <x:f>'All Physical Cards'!S636</x:f>
        <x:v>135</x:v>
      </x:c>
      <x:c r="M17" s="50" t="str">
        <x:f>'All Physical Cards'!P636</x:f>
        <x:v>Clean/NM benchmark unless noted</x:v>
      </x:c>
      <x:c r="N17" s="50" t="str">
        <x:v>High raw value; grading can materially improve liquidity/value; Full Art collector demand; Popular Pokémon demand</x:v>
      </x:c>
      <x:c r="O17" s="50" t="str">
        <x:v>Inspect closely. Submit if roughly PSA 8/9+ caliber; 9/10 is ideal.</x:v>
      </x:c>
      <x:c r="P17" s="50" t="str">
        <x:v>Pre-grade now; submit when a cheaper PSA tier/special is available unless the card is an obvious high-grade outlier.</x:v>
      </x:c>
      <x:c r="Q17" s="50" t="str">
        <x:v>Not inspected</x:v>
      </x:c>
      <x:c r="R17" s="50" t="str">
        <x:v>Undecided</x:v>
      </x:c>
      <x:c r="S17" s="50" t="str">
        <x:f>'All Physical Cards'!W636</x:f>
        <x:v>https://www.pricecharting.com/game/pokemon-black-%26-white/zekrom-114</x:v>
      </x:c>
      <x:c r="T17" s="115"/>
      <x:c r="U17" s="115"/>
      <x:c r="V17" s="115"/>
      <x:c r="W17" s="115"/>
      <x:c r="X17" s="20"/>
      <x:c r="Y17" s="20"/>
      <x:c r="Z17" s="20"/>
      <x:c r="AA17" s="20"/>
      <x:c r="AB17" s="20"/>
      <x:c r="AC17" s="20" t="str">
        <x:v>Reconciled grade value: PriceCharting baseline + exact PSA cert/sales-history cross-check where sufficiently useful. Recent PSA sale medians override PriceCharting when multiple exact sales were available; thin PSA data are flagged rather than extrapolated.</x:v>
      </x:c>
      <x:c r="AD17" s="20" t="str">
        <x:v>https://www.pricecharting.com/game/pokemon-black-%26-white/zekrom-114</x:v>
      </x:c>
      <x:c r="AE17" s="131"/>
      <x:c r="AF17" s="131"/>
      <x:c r="AG17" s="131"/>
      <x:c r="AH17" s="131"/>
      <x:c r="AI17" s="131"/>
      <x:c r="AJ17" s="61"/>
      <x:c r="AK17" s="61" t="n">
        <x:v>125.05</x:v>
      </x:c>
      <x:c r="AL17" s="61" t="n">
        <x:v>185</x:v>
      </x:c>
      <x:c r="AM17" s="61" t="n">
        <x:v>437.53</x:v>
      </x:c>
      <x:c r="AN17" s="61" t="n">
        <x:v>1426</x:v>
      </x:c>
      <x:c r="AO17" s="61"/>
      <x:c r="AP17" s="61"/>
      <x:c r="AQ17" s="61"/>
      <x:c r="AR17" s="20" t="str">
        <x:v>Variant unresolved — PriceCharting retained</x:v>
      </x:c>
      <x:c r="AS17" s="20" t="str">
        <x:v>PSA separates #114 Zekrom into black-background and gray-background populations. The physical copy was not explicitly identified as either variant, so no PSA variant was substituted.</x:v>
      </x:c>
      <x:c r="AT17" s="176"/>
      <x:c r="AU17" s="176"/>
      <x:c r="AV17" s="176"/>
      <x:c r="AW17" s="176"/>
      <x:c r="AX17" s="176"/>
      <x:c r="AY17" s="176"/>
      <x:c r="AZ17" s="20" t="str">
        <x:v>https://www.psacard.com/Pop</x:v>
      </x:c>
      <x:c r="BA17" s="20" t="str">
        <x:v>Intentionally blank: PSA separates Zekrom #114 background variants, and the physical copy's exact background variant has not been identified.</x:v>
      </x:c>
    </x:row>
    <x:row r="18" ht="26.399999618530273" hidden="0" customHeight="1">
      <x:c r="A18" s="85" t="str">
        <x:v>A — Priority</x:v>
      </x:c>
      <x:c r="B18" s="86" t="n">
        <x:f>'All Physical Cards'!A646</x:f>
        <x:v>645</x:v>
      </x:c>
      <x:c r="C18" s="50" t="str">
        <x:f>'All Physical Cards'!C646</x:f>
        <x:v>Zekrom</x:v>
      </x:c>
      <x:c r="D18" s="50" t="str">
        <x:f>'All Physical Cards'!D646</x:f>
        <x:v>114/114</x:v>
      </x:c>
      <x:c r="E18" s="50" t="str">
        <x:f>'All Physical Cards'!E646</x:f>
        <x:v>Black &amp; White</x:v>
      </x:c>
      <x:c r="F18" s="50" t="n">
        <x:f>'All Physical Cards'!F646</x:f>
        <x:v>2011</x:v>
      </x:c>
      <x:c r="G18" s="50" t="str">
        <x:f>'All Physical Cards'!G646</x:f>
        <x:v>Full Art Holo Ultra Rare</x:v>
      </x:c>
      <x:c r="H18" s="50" t="str">
        <x:f>'All Physical Cards'!H646</x:f>
        <x:v>2 of 4</x:v>
      </x:c>
      <x:c r="I18" s="91" t="n">
        <x:f>'All Physical Cards'!I646</x:f>
        <x:v>90</x:v>
      </x:c>
      <x:c r="J18" s="91" t="n">
        <x:f>'All Physical Cards'!J646</x:f>
        <x:v>180</x:v>
      </x:c>
      <x:c r="K18" s="91" t="n">
        <x:f>'All Physical Cards'!K646</x:f>
        <x:v>135</x:v>
      </x:c>
      <x:c r="L18" s="91" t="n">
        <x:f>'All Physical Cards'!S646</x:f>
        <x:v>135</x:v>
      </x:c>
      <x:c r="M18" s="50" t="str">
        <x:f>'All Physical Cards'!P646</x:f>
        <x:v>Clean/NM benchmark unless noted</x:v>
      </x:c>
      <x:c r="N18" s="50" t="str">
        <x:v>High raw value; grading can materially improve liquidity/value; Full Art collector demand; Popular Pokémon demand</x:v>
      </x:c>
      <x:c r="O18" s="50" t="str">
        <x:v>Inspect closely. Submit if roughly PSA 8/9+ caliber; 9/10 is ideal.</x:v>
      </x:c>
      <x:c r="P18" s="50" t="str">
        <x:v>Pre-grade now; submit when a cheaper PSA tier/special is available unless the card is an obvious high-grade outlier.</x:v>
      </x:c>
      <x:c r="Q18" s="50" t="str">
        <x:v>Not inspected</x:v>
      </x:c>
      <x:c r="R18" s="50" t="str">
        <x:v>Undecided</x:v>
      </x:c>
      <x:c r="S18" s="50" t="str">
        <x:f>'All Physical Cards'!W646</x:f>
        <x:v>https://www.pricecharting.com/game/pokemon-black-%26-white/zekrom-114</x:v>
      </x:c>
      <x:c r="T18" s="115"/>
      <x:c r="U18" s="115"/>
      <x:c r="V18" s="115"/>
      <x:c r="W18" s="115"/>
      <x:c r="X18" s="20"/>
      <x:c r="Y18" s="20"/>
      <x:c r="Z18" s="20"/>
      <x:c r="AA18" s="20"/>
      <x:c r="AB18" s="20"/>
      <x:c r="AC18" s="20" t="str">
        <x:v>Reconciled grade value: PriceCharting baseline + exact PSA cert/sales-history cross-check where sufficiently useful. Recent PSA sale medians override PriceCharting when multiple exact sales were available; thin PSA data are flagged rather than extrapolated.</x:v>
      </x:c>
      <x:c r="AD18" s="20" t="str">
        <x:v>https://www.pricecharting.com/game/pokemon-black-%26-white/zekrom-114</x:v>
      </x:c>
      <x:c r="AE18" s="131"/>
      <x:c r="AF18" s="131"/>
      <x:c r="AG18" s="131"/>
      <x:c r="AH18" s="131"/>
      <x:c r="AI18" s="131"/>
      <x:c r="AJ18" s="61"/>
      <x:c r="AK18" s="61" t="n">
        <x:v>125.05</x:v>
      </x:c>
      <x:c r="AL18" s="61" t="n">
        <x:v>185</x:v>
      </x:c>
      <x:c r="AM18" s="61" t="n">
        <x:v>437.53</x:v>
      </x:c>
      <x:c r="AN18" s="61" t="n">
        <x:v>1426</x:v>
      </x:c>
      <x:c r="AO18" s="61"/>
      <x:c r="AP18" s="61"/>
      <x:c r="AQ18" s="61"/>
      <x:c r="AR18" s="20" t="str">
        <x:v>Variant unresolved — PriceCharting retained</x:v>
      </x:c>
      <x:c r="AS18" s="20" t="str">
        <x:v>PSA separates #114 Zekrom into black-background and gray-background populations. The physical copy was not explicitly identified as either variant, so no PSA variant was substituted.</x:v>
      </x:c>
      <x:c r="AT18" s="176"/>
      <x:c r="AU18" s="176"/>
      <x:c r="AV18" s="176"/>
      <x:c r="AW18" s="176"/>
      <x:c r="AX18" s="176"/>
      <x:c r="AY18" s="176"/>
      <x:c r="AZ18" s="20" t="str">
        <x:v>https://www.psacard.com/Pop</x:v>
      </x:c>
      <x:c r="BA18" s="20" t="str">
        <x:v>Intentionally blank: PSA separates Zekrom #114 background variants, and the physical copy's exact background variant has not been identified.</x:v>
      </x:c>
    </x:row>
    <x:row r="19" ht="26.399999618530273" hidden="0" customHeight="1">
      <x:c r="A19" s="85" t="str">
        <x:v>A — Priority</x:v>
      </x:c>
      <x:c r="B19" s="86" t="n">
        <x:f>'All Physical Cards'!A632</x:f>
        <x:v>631</x:v>
      </x:c>
      <x:c r="C19" s="50" t="str">
        <x:f>'All Physical Cards'!C632</x:f>
        <x:v>Genesect-EX</x:v>
      </x:c>
      <x:c r="D19" s="50" t="str">
        <x:f>'All Physical Cards'!D632</x:f>
        <x:v>97/101</x:v>
      </x:c>
      <x:c r="E19" s="50" t="str">
        <x:f>'All Physical Cards'!E632</x:f>
        <x:v>Plasma Blast</x:v>
      </x:c>
      <x:c r="F19" s="50" t="n">
        <x:f>'All Physical Cards'!F632</x:f>
        <x:v>2013</x:v>
      </x:c>
      <x:c r="G19" s="50" t="str">
        <x:f>'All Physical Cards'!G632</x:f>
        <x:v>Full Art Holo Ultra Rare (Team Plasma)</x:v>
      </x:c>
      <x:c r="H19" s="50" t="str">
        <x:v>1 of 2</x:v>
      </x:c>
      <x:c r="I19" s="91" t="n">
        <x:f>'All Physical Cards'!I632</x:f>
        <x:v>90</x:v>
      </x:c>
      <x:c r="J19" s="91" t="n">
        <x:f>'All Physical Cards'!J632</x:f>
        <x:v>160</x:v>
      </x:c>
      <x:c r="K19" s="91" t="n">
        <x:f>'All Physical Cards'!K632</x:f>
        <x:v>125</x:v>
      </x:c>
      <x:c r="L19" s="91" t="n">
        <x:f>'All Physical Cards'!S632</x:f>
        <x:v>125</x:v>
      </x:c>
      <x:c r="M19" s="50" t="str">
        <x:f>'All Physical Cards'!P632</x:f>
        <x:v>Clean/NM benchmark unless noted</x:v>
      </x:c>
      <x:c r="N19" s="50" t="str">
        <x:v>High raw value; grading can materially improve liquidity/value; Full Art collector demand</x:v>
      </x:c>
      <x:c r="O19" s="50" t="str">
        <x:v>Inspect closely. Submit if roughly PSA 8/9+ caliber; 9/10 is ideal.</x:v>
      </x:c>
      <x:c r="P19" s="50" t="str">
        <x:v>Pre-grade now; submit when a cheaper PSA tier/special is available unless the card is an obvious high-grade outlier.</x:v>
      </x:c>
      <x:c r="Q19" s="50" t="str">
        <x:v>Not inspected</x:v>
      </x:c>
      <x:c r="R19" s="50" t="str">
        <x:v>Undecided</x:v>
      </x:c>
      <x:c r="S19" s="50" t="str">
        <x:f>'All Physical Cards'!W632</x:f>
        <x:v>https://www.pricecharting.com/game/pokemon-plasma-blast/genesect-ex-97</x:v>
      </x:c>
      <x:c r="T19" s="115"/>
      <x:c r="U19" s="115"/>
      <x:c r="V19" s="115"/>
      <x:c r="W19" s="115"/>
      <x:c r="X19" s="20"/>
      <x:c r="Y19" s="20"/>
      <x:c r="Z19" s="20"/>
      <x:c r="AA19" s="20"/>
      <x:c r="AB19" s="20"/>
      <x:c r="AC19" s="20" t="str">
        <x:v>Reconciled grade value: PriceCharting baseline + exact PSA cert/sales-history cross-check where sufficiently useful. Recent PSA sale medians override PriceCharting when multiple exact sales were available; thin PSA data are flagged rather than extrapolated.</x:v>
      </x:c>
      <x:c r="AD19" s="20" t="str">
        <x:v>https://www.pricecharting.com/game/pokemon-plasma-blast/genesect-ex-97</x:v>
      </x:c>
      <x:c r="AE19" s="131"/>
      <x:c r="AF19" s="131"/>
      <x:c r="AG19" s="131"/>
      <x:c r="AH19" s="131"/>
      <x:c r="AI19" s="131"/>
      <x:c r="AJ19" s="61"/>
      <x:c r="AK19" s="61" t="n">
        <x:v>207</x:v>
      </x:c>
      <x:c r="AL19" s="61" t="n">
        <x:v>402.84</x:v>
      </x:c>
      <x:c r="AM19" s="61" t="n">
        <x:v>825</x:v>
      </x:c>
      <x:c r="AN19" s="61" t="n">
        <x:v>6500</x:v>
      </x:c>
      <x:c r="AO19" s="61"/>
      <x:c r="AP19" s="61"/>
      <x:c r="AQ19" s="61"/>
      <x:c r="AR19" s="20" t="str">
        <x:v>PSA sales verified — PSA 9</x:v>
      </x:c>
      <x:c r="AS19" s="20" t="str">
        <x:v>Exact Plasma Blast #97. Recent PSA 9 median ~$825. Other grades retain PriceCharting. Source: https://www.psacard.com/cert/23986953</x:v>
      </x:c>
      <x:c r="AT19" s="176"/>
      <x:c r="AU19" s="176"/>
      <x:c r="AV19" s="176"/>
      <x:c r="AW19" s="176" t="n">
        <x:v>121</x:v>
      </x:c>
      <x:c r="AX19" s="176" t="n">
        <x:v>25</x:v>
      </x:c>
      <x:c r="AY19" s="176"/>
      <x:c r="AZ19" s="20" t="str">
        <x:v>https://www.psacard.com/cert/24554846/psa</x:v>
      </x:c>
      <x:c r="BA19" s="20" t="str">
        <x:v>PSA direct cert population for PSA 9; PSA 10 from Pop Higher. PSA 6–8 not directly resolved.</x:v>
      </x:c>
    </x:row>
    <x:row r="20" ht="26.399999618530273" hidden="0" customHeight="1">
      <x:c r="A20" s="85" t="str">
        <x:v>A — Priority</x:v>
      </x:c>
      <x:c r="B20" s="86" t="n">
        <x:f>'All Physical Cards'!A637</x:f>
        <x:v>636</x:v>
      </x:c>
      <x:c r="C20" s="50" t="str">
        <x:f>'All Physical Cards'!C637</x:f>
        <x:v>Palkia &amp; Dialga LEGEND</x:v>
      </x:c>
      <x:c r="D20" s="50" t="str">
        <x:f>'All Physical Cards'!D637</x:f>
        <x:v>101/102</x:v>
      </x:c>
      <x:c r="E20" s="50" t="str">
        <x:f>'All Physical Cards'!E637</x:f>
        <x:v>HS—Triumphant</x:v>
      </x:c>
      <x:c r="F20" s="50" t="n">
        <x:f>'All Physical Cards'!F637</x:f>
        <x:v>2010</x:v>
      </x:c>
      <x:c r="G20" s="50" t="str">
        <x:f>'All Physical Cards'!G637</x:f>
        <x:v>LEGEND Top Half Holo Ultra Rare</x:v>
      </x:c>
      <x:c r="H20" s="50" t="str">
        <x:f>'All Physical Cards'!H637</x:f>
        <x:v>1 of 2</x:v>
      </x:c>
      <x:c r="I20" s="91" t="n">
        <x:f>'All Physical Cards'!I637</x:f>
        <x:v>100</x:v>
      </x:c>
      <x:c r="J20" s="91" t="n">
        <x:f>'All Physical Cards'!J637</x:f>
        <x:v>140</x:v>
      </x:c>
      <x:c r="K20" s="91" t="n">
        <x:f>'All Physical Cards'!K637</x:f>
        <x:v>120</x:v>
      </x:c>
      <x:c r="L20" s="91" t="n">
        <x:f>'All Physical Cards'!S637</x:f>
        <x:v>120</x:v>
      </x:c>
      <x:c r="M20" s="50" t="str">
        <x:f>'All Physical Cards'!P637</x:f>
        <x:v>Clean/NM benchmark unless noted</x:v>
      </x:c>
      <x:c r="N20" s="50" t="str">
        <x:v>High raw value; grading can materially improve liquidity/value; LEGEND-era scarcity; Older card; high-grade supply is naturally thinner</x:v>
      </x:c>
      <x:c r="O20" s="50" t="str">
        <x:v>Inspect closely. Submit if roughly PSA 8/9+ caliber; 9/10 is ideal.</x:v>
      </x:c>
      <x:c r="P20" s="50" t="str">
        <x:v>Pre-grade now; submit when a cheaper PSA tier/special is available unless the card is an obvious high-grade outlier.</x:v>
      </x:c>
      <x:c r="Q20" s="50" t="str">
        <x:v>Not inspected</x:v>
      </x:c>
      <x:c r="R20" s="50" t="str">
        <x:v>Undecided</x:v>
      </x:c>
      <x:c r="S20" s="50" t="str">
        <x:f>'All Physical Cards'!W637</x:f>
        <x:v>https://www.pricecharting.com/game/pokemon-triumphant/palkia-%26-dialga-legend-101</x:v>
      </x:c>
      <x:c r="T20" s="115"/>
      <x:c r="U20" s="115"/>
      <x:c r="V20" s="115"/>
      <x:c r="W20" s="115"/>
      <x:c r="X20" s="20"/>
      <x:c r="Y20" s="20"/>
      <x:c r="Z20" s="20"/>
      <x:c r="AA20" s="20"/>
      <x:c r="AB20" s="20"/>
      <x:c r="AC20" s="20" t="str">
        <x:v>Reconciled grade value: PriceCharting baseline + exact PSA cert/sales-history cross-check where sufficiently useful. Recent PSA sale medians override PriceCharting when multiple exact sales were available; thin PSA data are flagged rather than extrapolated.</x:v>
      </x:c>
      <x:c r="AD20" s="20" t="str">
        <x:v>https://www.pricecharting.com/game/pokemon-triumphant/palkia-%26-dialga-legend-101</x:v>
      </x:c>
      <x:c r="AE20" s="131"/>
      <x:c r="AF20" s="131"/>
      <x:c r="AG20" s="131"/>
      <x:c r="AH20" s="131"/>
      <x:c r="AI20" s="131"/>
      <x:c r="AJ20" s="61"/>
      <x:c r="AK20" s="61" t="n">
        <x:v>151.72</x:v>
      </x:c>
      <x:c r="AL20" s="61" t="n">
        <x:v>187.5</x:v>
      </x:c>
      <x:c r="AM20" s="61" t="n">
        <x:v>367.53</x:v>
      </x:c>
      <x:c r="AN20" s="61" t="n">
        <x:v>3750</x:v>
      </x:c>
      <x:c r="AO20" s="61"/>
      <x:c r="AP20" s="61"/>
      <x:c r="AQ20" s="61"/>
      <x:c r="AR20" s="20" t="str">
        <x:v>PSA sales verified — PSA 9</x:v>
      </x:c>
      <x:c r="AS20" s="20" t="str">
        <x:v>Exact Triumphant #101 top half. Recent PSA 9 sales centered around ~$368-$405; reconciled at $367.53. Other grades retain PriceCharting. Source: https://www.psacard.com/cert/116349829</x:v>
      </x:c>
      <x:c r="AT20" s="176"/>
      <x:c r="AU20" s="176"/>
      <x:c r="AV20" s="176" t="n">
        <x:v>384</x:v>
      </x:c>
      <x:c r="AW20" s="176" t="n">
        <x:v>453</x:v>
      </x:c>
      <x:c r="AX20" s="176" t="n">
        <x:v>134</x:v>
      </x:c>
      <x:c r="AY20" s="176"/>
      <x:c r="AZ20" s="20" t="str">
        <x:v>https://www.psacard.com/cert/143082907/psa | https://www.psacard.com/cert/123605776/psa</x:v>
      </x:c>
      <x:c r="BA20" s="20" t="str">
        <x:v>PSA direct cert populations. PSA 10 from PSA 9 Pop Higher. PSA 6/7 not directly resolved.</x:v>
      </x:c>
    </x:row>
    <x:row r="21" ht="26.399999618530273" hidden="0" customHeight="1">
      <x:c r="A21" s="85" t="str">
        <x:v>A — Priority</x:v>
      </x:c>
      <x:c r="B21" s="86" t="n">
        <x:f>'All Physical Cards'!A630</x:f>
        <x:v>629</x:v>
      </x:c>
      <x:c r="C21" s="50" t="str">
        <x:f>'All Physical Cards'!C630</x:f>
        <x:v>Reshiram</x:v>
      </x:c>
      <x:c r="D21" s="50" t="str">
        <x:f>'All Physical Cards'!D630</x:f>
        <x:v>RC22/RC25</x:v>
      </x:c>
      <x:c r="E21" s="50" t="str">
        <x:f>'All Physical Cards'!E630</x:f>
        <x:v>Legendary Treasures: Radiant Collection</x:v>
      </x:c>
      <x:c r="F21" s="50" t="n">
        <x:f>'All Physical Cards'!F630</x:f>
        <x:v>2013</x:v>
      </x:c>
      <x:c r="G21" s="50" t="str">
        <x:f>'All Physical Cards'!G630</x:f>
        <x:v>Full Art Holo Ultra Rare</x:v>
      </x:c>
      <x:c r="H21" s="50" t="str">
        <x:f>'All Physical Cards'!H630</x:f>
        <x:v>1 of 1</x:v>
      </x:c>
      <x:c r="I21" s="91" t="n">
        <x:f>'All Physical Cards'!I630</x:f>
        <x:v>80</x:v>
      </x:c>
      <x:c r="J21" s="91" t="n">
        <x:f>'All Physical Cards'!J630</x:f>
        <x:v>150</x:v>
      </x:c>
      <x:c r="K21" s="91" t="n">
        <x:f>'All Physical Cards'!K630</x:f>
        <x:v>115</x:v>
      </x:c>
      <x:c r="L21" s="91" t="n">
        <x:f>'All Physical Cards'!S630</x:f>
        <x:v>115</x:v>
      </x:c>
      <x:c r="M21" s="50" t="str">
        <x:f>'All Physical Cards'!P630</x:f>
        <x:v>Clean/NM benchmark unless noted</x:v>
      </x:c>
      <x:c r="N21" s="50" t="str">
        <x:v>High raw value; grading can materially improve liquidity/value; Full Art collector demand; Popular Pokémon demand</x:v>
      </x:c>
      <x:c r="O21" s="50" t="str">
        <x:v>Inspect closely. Submit if roughly PSA 8/9+ caliber; 9/10 is ideal.</x:v>
      </x:c>
      <x:c r="P21" s="50" t="str">
        <x:v>Pre-grade now; submit when a cheaper PSA tier/special is available unless the card is an obvious high-grade outlier.</x:v>
      </x:c>
      <x:c r="Q21" s="50" t="str">
        <x:v>Not inspected</x:v>
      </x:c>
      <x:c r="R21" s="50" t="str">
        <x:v>Undecided</x:v>
      </x:c>
      <x:c r="S21" s="50" t="str">
        <x:f>'All Physical Cards'!W630</x:f>
        <x:v>https://www.pricecharting.com/game/pokemon-legendary-treasures/reshiram-rc22</x:v>
      </x:c>
      <x:c r="T21" s="115"/>
      <x:c r="U21" s="115"/>
      <x:c r="V21" s="115"/>
      <x:c r="W21" s="115"/>
      <x:c r="X21" s="20"/>
      <x:c r="Y21" s="20"/>
      <x:c r="Z21" s="20"/>
      <x:c r="AA21" s="20"/>
      <x:c r="AB21" s="20"/>
      <x:c r="AC21" s="20" t="str">
        <x:v>Reconciled grade value: PriceCharting baseline + exact PSA cert/sales-history cross-check where sufficiently useful. Recent PSA sale medians override PriceCharting when multiple exact sales were available; thin PSA data are flagged rather than extrapolated.</x:v>
      </x:c>
      <x:c r="AD21" s="20" t="str">
        <x:v>https://www.pricecharting.com/game/pokemon-legendary-treasures/reshiram-rc22</x:v>
      </x:c>
      <x:c r="AE21" s="131"/>
      <x:c r="AF21" s="131"/>
      <x:c r="AG21" s="131"/>
      <x:c r="AH21" s="131"/>
      <x:c r="AI21" s="131"/>
      <x:c r="AJ21" s="61"/>
      <x:c r="AK21" s="61" t="n">
        <x:v>129.99</x:v>
      </x:c>
      <x:c r="AL21" s="61" t="n">
        <x:v>242.5</x:v>
      </x:c>
      <x:c r="AM21" s="61" t="n">
        <x:v>685</x:v>
      </x:c>
      <x:c r="AN21" s="61" t="n">
        <x:v>12508.06</x:v>
      </x:c>
      <x:c r="AO21" s="61"/>
      <x:c r="AP21" s="61"/>
      <x:c r="AQ21" s="61"/>
      <x:c r="AR21" s="20" t="str">
        <x:v>PSA sales verified — PSA 8/9/10</x:v>
      </x:c>
      <x:c r="AS21" s="20" t="str">
        <x:v>Exact Legendary Treasures Radiant Collection RC22. Reconciled to ~242.50 / 685 / 12,508.06 for PSA 8/9/10. PSA 7 retains PriceCharting. Sources: https://www.psacard.com/cert/134164318 and https://www.psacard.com/cert/48358166 and https://www.psacard.com/cert/60646338</x:v>
      </x:c>
      <x:c r="AT21" s="176"/>
      <x:c r="AU21" s="176"/>
      <x:c r="AV21" s="176"/>
      <x:c r="AW21" s="176" t="n">
        <x:v>917</x:v>
      </x:c>
      <x:c r="AX21" s="176" t="n">
        <x:v>134</x:v>
      </x:c>
      <x:c r="AY21" s="176"/>
      <x:c r="AZ21" s="20" t="str">
        <x:v>https://www.psacard.com/cert/92526575/psa</x:v>
      </x:c>
      <x:c r="BA21" s="20" t="str">
        <x:v>PSA direct cert population for PSA 9; PSA 10 from Pop Higher. PSA 6–8 not directly resolved.</x:v>
      </x:c>
    </x:row>
    <x:row r="22" ht="26.399999618530273" hidden="0" customHeight="1">
      <x:c r="A22" s="85" t="str">
        <x:v>A — Priority</x:v>
      </x:c>
      <x:c r="B22" s="86" t="n">
        <x:f>'All Physical Cards'!A651</x:f>
        <x:v>650</x:v>
      </x:c>
      <x:c r="C22" s="50" t="str">
        <x:f>'All Physical Cards'!C651</x:f>
        <x:v>Thundurus-EX</x:v>
      </x:c>
      <x:c r="D22" s="50" t="str">
        <x:f>'All Physical Cards'!D651</x:f>
        <x:v>110/116</x:v>
      </x:c>
      <x:c r="E22" s="50" t="str">
        <x:f>'All Physical Cards'!E651</x:f>
        <x:v>Plasma Freeze</x:v>
      </x:c>
      <x:c r="F22" s="50" t="n">
        <x:f>'All Physical Cards'!F651</x:f>
        <x:v>2013</x:v>
      </x:c>
      <x:c r="G22" s="50" t="str">
        <x:f>'All Physical Cards'!G651</x:f>
        <x:v>Full Art Holo Ultra Rare (Team Plasma)</x:v>
      </x:c>
      <x:c r="H22" s="50" t="str">
        <x:f>'All Physical Cards'!H651</x:f>
        <x:v>1 of 2</x:v>
      </x:c>
      <x:c r="I22" s="91" t="n">
        <x:f>'All Physical Cards'!I651</x:f>
        <x:v>95</x:v>
      </x:c>
      <x:c r="J22" s="91" t="n">
        <x:f>'All Physical Cards'!J651</x:f>
        <x:v>130</x:v>
      </x:c>
      <x:c r="K22" s="91" t="n">
        <x:f>'All Physical Cards'!K651</x:f>
        <x:v>112.5</x:v>
      </x:c>
      <x:c r="L22" s="91" t="n">
        <x:f>'All Physical Cards'!S651</x:f>
        <x:v>112.5</x:v>
      </x:c>
      <x:c r="M22" s="50" t="str">
        <x:f>'All Physical Cards'!P651</x:f>
        <x:v>Clean/NM benchmark unless noted</x:v>
      </x:c>
      <x:c r="N22" s="50" t="str">
        <x:v>High raw value; grading can materially improve liquidity/value; Full Art collector demand</x:v>
      </x:c>
      <x:c r="O22" s="50" t="str">
        <x:v>Inspect closely. Submit if roughly PSA 8/9+ caliber; 9/10 is ideal.</x:v>
      </x:c>
      <x:c r="P22" s="50" t="str">
        <x:v>Pre-grade now; submit when a cheaper PSA tier/special is available unless the card is an obvious high-grade outlier.</x:v>
      </x:c>
      <x:c r="Q22" s="50" t="str">
        <x:v>Not inspected</x:v>
      </x:c>
      <x:c r="R22" s="50" t="str">
        <x:v>Undecided</x:v>
      </x:c>
      <x:c r="S22" s="50" t="str">
        <x:f>'All Physical Cards'!W651</x:f>
        <x:v>https://www.pricecharting.com/game/pokemon-plasma-freeze/thundurus-ex-110</x:v>
      </x:c>
      <x:c r="T22" s="115"/>
      <x:c r="U22" s="115"/>
      <x:c r="V22" s="115"/>
      <x:c r="W22" s="115"/>
      <x:c r="X22" s="20"/>
      <x:c r="Y22" s="20"/>
      <x:c r="Z22" s="20"/>
      <x:c r="AA22" s="20"/>
      <x:c r="AB22" s="20"/>
      <x:c r="AC22" s="20" t="str">
        <x:v>Reconciled grade value: PriceCharting baseline + exact PSA cert/sales-history cross-check where sufficiently useful. Recent PSA sale medians override PriceCharting when multiple exact sales were available; thin PSA data are flagged rather than extrapolated.</x:v>
      </x:c>
      <x:c r="AD22" s="20" t="str">
        <x:v>https://www.pricecharting.com/game/pokemon-plasma-freeze/thundurus-ex-110</x:v>
      </x:c>
      <x:c r="AE22" s="131"/>
      <x:c r="AF22" s="131"/>
      <x:c r="AG22" s="131"/>
      <x:c r="AH22" s="131"/>
      <x:c r="AI22" s="131"/>
      <x:c r="AJ22" s="61"/>
      <x:c r="AK22" s="61" t="n">
        <x:v>129.31</x:v>
      </x:c>
      <x:c r="AL22" s="61" t="n">
        <x:v>220</x:v>
      </x:c>
      <x:c r="AM22" s="61" t="n">
        <x:v>700</x:v>
      </x:c>
      <x:c r="AN22" s="61" t="n">
        <x:v>1466</x:v>
      </x:c>
      <x:c r="AO22" s="61"/>
      <x:c r="AP22" s="61"/>
      <x:c r="AQ22" s="61"/>
      <x:c r="AR22" s="20" t="str">
        <x:v>PSA sales verified — PSA 9; PSA 10 thin</x:v>
      </x:c>
      <x:c r="AS22" s="20" t="str">
        <x:v>Exact Plasma Freeze #110. PSA 9 recent median ~$700. PSA 10 has very thin low-pop data (one 2026 sale at $4,060); used PSA's current estimate ~$1,466 rather than that single sale. Source: https://www.psacard.com/cert/40771023 and https://www.psacard.com/cert/41004794</x:v>
      </x:c>
      <x:c r="AT22" s="176" t="n">
        <x:v>41</x:v>
      </x:c>
      <x:c r="AU22" s="176" t="n">
        <x:v>84</x:v>
      </x:c>
      <x:c r="AV22" s="176" t="n">
        <x:v>115</x:v>
      </x:c>
      <x:c r="AW22" s="176" t="n">
        <x:v>93</x:v>
      </x:c>
      <x:c r="AX22" s="176" t="n">
        <x:v>21</x:v>
      </x:c>
      <x:c r="AY22" s="176"/>
      <x:c r="AZ22" s="20" t="str">
        <x:v>https://www.psacard.com/cert/40771019/psa | https://www.psacard.com/Pop</x:v>
      </x:c>
      <x:c r="BA22" s="20" t="str">
        <x:v>PSA-only figures: lower grades from PSA's official population/APR table checked during the audit; PSA 9/10 refreshed from PSA cert data.</x:v>
      </x:c>
    </x:row>
    <x:row r="23" ht="26.399999618530273" hidden="0" customHeight="1">
      <x:c r="A23" s="85" t="str">
        <x:v>A — Priority</x:v>
      </x:c>
      <x:c r="B23" s="86" t="n">
        <x:f>'All Physical Cards'!A644</x:f>
        <x:v>643</x:v>
      </x:c>
      <x:c r="C23" s="50" t="str">
        <x:f>'All Physical Cards'!C644</x:f>
        <x:v>Suicune &amp; Entei LEGEND</x:v>
      </x:c>
      <x:c r="D23" s="50" t="str">
        <x:f>'All Physical Cards'!D644</x:f>
        <x:v>95/95</x:v>
      </x:c>
      <x:c r="E23" s="50" t="str">
        <x:f>'All Physical Cards'!E644</x:f>
        <x:v>HS—Unleashed</x:v>
      </x:c>
      <x:c r="F23" s="50" t="n">
        <x:f>'All Physical Cards'!F644</x:f>
        <x:v>2010</x:v>
      </x:c>
      <x:c r="G23" s="50" t="str">
        <x:f>'All Physical Cards'!G644</x:f>
        <x:v>LEGEND Bottom Half Holo Ultra Rare</x:v>
      </x:c>
      <x:c r="H23" s="50" t="str">
        <x:f>'All Physical Cards'!H644</x:f>
        <x:v>1 of 2</x:v>
      </x:c>
      <x:c r="I23" s="91" t="n">
        <x:f>'All Physical Cards'!I644</x:f>
        <x:v>90</x:v>
      </x:c>
      <x:c r="J23" s="91" t="n">
        <x:f>'All Physical Cards'!J644</x:f>
        <x:v>130</x:v>
      </x:c>
      <x:c r="K23" s="91" t="n">
        <x:f>'All Physical Cards'!K644</x:f>
        <x:v>110</x:v>
      </x:c>
      <x:c r="L23" s="91" t="n">
        <x:f>'All Physical Cards'!S644</x:f>
        <x:v>62.5</x:v>
      </x:c>
      <x:c r="M23" s="50" t="str">
        <x:f>'All Physical Cards'!P644</x:f>
        <x:v>Bad condition / user specifically reports poor condition</x:v>
      </x:c>
      <x:c r="N23" s="50" t="str">
        <x:v>High raw value; grading can materially improve liquidity/value; LEGEND-era scarcity; Popular Pokémon demand</x:v>
      </x:c>
      <x:c r="O23" s="50" t="str">
        <x:v>Known wear already reported — inspect first; likely hold raw unless the actual card presents much better than the note.</x:v>
      </x:c>
      <x:c r="P23" s="50" t="str">
        <x:v>Pre-grade now; submit when a cheaper PSA tier/special is available unless the card is an obvious high-grade outlier.</x:v>
      </x:c>
      <x:c r="Q23" s="50" t="str">
        <x:v>Not inspected</x:v>
      </x:c>
      <x:c r="R23" s="50" t="str">
        <x:v>Undecided</x:v>
      </x:c>
      <x:c r="S23" s="50" t="str">
        <x:f>'All Physical Cards'!W644</x:f>
        <x:v>https://www.pricecharting.com/game/pokemon-unleashed/suicune-%26-entei-legend-95</x:v>
      </x:c>
      <x:c r="T23" s="115"/>
      <x:c r="U23" s="115"/>
      <x:c r="V23" s="115"/>
      <x:c r="W23" s="115"/>
      <x:c r="X23" s="20"/>
      <x:c r="Y23" s="20"/>
      <x:c r="Z23" s="20"/>
      <x:c r="AA23" s="20"/>
      <x:c r="AB23" s="20"/>
      <x:c r="AC23" s="20" t="str">
        <x:v>Reconciled grade value: PriceCharting baseline + exact PSA cert/sales-history cross-check where sufficiently useful. Recent PSA sale medians override PriceCharting when multiple exact sales were available; thin PSA data are flagged rather than extrapolated.</x:v>
      </x:c>
      <x:c r="AD23" s="20" t="str">
        <x:v>https://www.pricecharting.com/game/pokemon-unleashed/suicune-%26-entei-legend-95</x:v>
      </x:c>
      <x:c r="AE23" s="131"/>
      <x:c r="AF23" s="131"/>
      <x:c r="AG23" s="131"/>
      <x:c r="AH23" s="131"/>
      <x:c r="AI23" s="131"/>
      <x:c r="AJ23" s="61"/>
      <x:c r="AK23" s="61" t="n">
        <x:v>158.75</x:v>
      </x:c>
      <x:c r="AL23" s="61" t="n">
        <x:v>213.91</x:v>
      </x:c>
      <x:c r="AM23" s="61" t="n">
        <x:v>770.26</x:v>
      </x:c>
      <x:c r="AN23" s="61" t="n">
        <x:v>1535.5</x:v>
      </x:c>
      <x:c r="AO23" s="61"/>
      <x:c r="AP23" s="61"/>
      <x:c r="AQ23" s="61"/>
      <x:c r="AR23" s="20" t="str">
        <x:v>PSA 10 checked — thin data, PriceCharting retained</x:v>
      </x:c>
      <x:c r="AS23" s="20" t="str">
        <x:v>Exact Unleashed #95 PSA 10 is extremely low-pop; most recent PSA sale found was $2,520 in Aug. 2025 and PSA estimate was much higher. Retained PriceCharting rather than extrapolate from sparse data. Source: https://www.psacard.com/cert/47552317</x:v>
      </x:c>
      <x:c r="AT23" s="176"/>
      <x:c r="AU23" s="176"/>
      <x:c r="AV23" s="176"/>
      <x:c r="AW23" s="176" t="n">
        <x:v>141</x:v>
      </x:c>
      <x:c r="AX23" s="176" t="n">
        <x:v>15</x:v>
      </x:c>
      <x:c r="AY23" s="176"/>
      <x:c r="AZ23" s="20" t="str">
        <x:v>https://www.psacard.com/cert/92148304/psa</x:v>
      </x:c>
      <x:c r="BA23" s="20" t="str">
        <x:v>PSA direct cert population for PSA 9; PSA 10 from Pop Higher. PSA 6–8 not directly resolved.</x:v>
      </x:c>
    </x:row>
    <x:row r="24" ht="26.399999618530273" hidden="0" customHeight="1">
      <x:c r="A24" s="85" t="str">
        <x:v>A — Priority</x:v>
      </x:c>
      <x:c r="B24" s="86" t="n">
        <x:f>'All Physical Cards'!A649</x:f>
        <x:v>648</x:v>
      </x:c>
      <x:c r="C24" s="50" t="str">
        <x:f>'All Physical Cards'!C649</x:f>
        <x:v>Iris</x:v>
      </x:c>
      <x:c r="D24" s="50" t="str">
        <x:f>'All Physical Cards'!D649</x:f>
        <x:v>101/101</x:v>
      </x:c>
      <x:c r="E24" s="50" t="str">
        <x:f>'All Physical Cards'!E649</x:f>
        <x:v>Plasma Blast</x:v>
      </x:c>
      <x:c r="F24" s="50" t="n">
        <x:f>'All Physical Cards'!F649</x:f>
        <x:v>2013</x:v>
      </x:c>
      <x:c r="G24" s="50" t="str">
        <x:f>'All Physical Cards'!G649</x:f>
        <x:v>Full Art Holo Ultra Rare Trainer</x:v>
      </x:c>
      <x:c r="H24" s="50" t="str">
        <x:f>'All Physical Cards'!H649</x:f>
        <x:v>1 of 2</x:v>
      </x:c>
      <x:c r="I24" s="91" t="n">
        <x:f>'All Physical Cards'!I649</x:f>
        <x:v>90</x:v>
      </x:c>
      <x:c r="J24" s="91" t="n">
        <x:f>'All Physical Cards'!J649</x:f>
        <x:v>125</x:v>
      </x:c>
      <x:c r="K24" s="91" t="n">
        <x:f>'All Physical Cards'!K649</x:f>
        <x:v>107.5</x:v>
      </x:c>
      <x:c r="L24" s="91" t="n">
        <x:f>'All Physical Cards'!S649</x:f>
        <x:v>107.5</x:v>
      </x:c>
      <x:c r="M24" s="50" t="str">
        <x:f>'All Physical Cards'!P649</x:f>
        <x:v>Clean/NM benchmark unless noted</x:v>
      </x:c>
      <x:c r="N24" s="50" t="str">
        <x:v>High raw value; grading can materially improve liquidity/value; Full Art collector demand</x:v>
      </x:c>
      <x:c r="O24" s="50" t="str">
        <x:v>Inspect closely. Submit if roughly PSA 8/9+ caliber; 9/10 is ideal.</x:v>
      </x:c>
      <x:c r="P24" s="50" t="str">
        <x:v>Pre-grade now; submit when a cheaper PSA tier/special is available unless the card is an obvious high-grade outlier.</x:v>
      </x:c>
      <x:c r="Q24" s="50" t="str">
        <x:v>Not inspected</x:v>
      </x:c>
      <x:c r="R24" s="50" t="str">
        <x:v>Undecided</x:v>
      </x:c>
      <x:c r="S24" s="50" t="str">
        <x:f>'All Physical Cards'!W649</x:f>
        <x:v>https://www.pricecharting.com/game/pokemon-plasma-blast/iris-101</x:v>
      </x:c>
      <x:c r="T24" s="115"/>
      <x:c r="U24" s="115"/>
      <x:c r="V24" s="115"/>
      <x:c r="W24" s="115"/>
      <x:c r="X24" s="20"/>
      <x:c r="Y24" s="20"/>
      <x:c r="Z24" s="20"/>
      <x:c r="AA24" s="20"/>
      <x:c r="AB24" s="20"/>
      <x:c r="AC24" s="20" t="str">
        <x:v>Reconciled grade value: PriceCharting baseline + exact PSA cert/sales-history cross-check where sufficiently useful. Recent PSA sale medians override PriceCharting when multiple exact sales were available; thin PSA data are flagged rather than extrapolated.</x:v>
      </x:c>
      <x:c r="AD24" s="20" t="str">
        <x:v>https://www.pricecharting.com/game/pokemon-plasma-blast/iris-101</x:v>
      </x:c>
      <x:c r="AE24" s="131"/>
      <x:c r="AF24" s="131"/>
      <x:c r="AG24" s="131"/>
      <x:c r="AH24" s="131"/>
      <x:c r="AI24" s="131"/>
      <x:c r="AJ24" s="61"/>
      <x:c r="AK24" s="61" t="n">
        <x:v>141</x:v>
      </x:c>
      <x:c r="AL24" s="61" t="n">
        <x:v>153.53</x:v>
      </x:c>
      <x:c r="AM24" s="61" t="n">
        <x:v>363.16</x:v>
      </x:c>
      <x:c r="AN24" s="61" t="n">
        <x:v>3450.85</x:v>
      </x:c>
      <x:c r="AO24" s="61"/>
      <x:c r="AP24" s="61"/>
      <x:c r="AQ24" s="61"/>
      <x:c r="AR24" s="20" t="str">
        <x:v>PSA sales verified — PSA 9</x:v>
      </x:c>
      <x:c r="AS24" s="20" t="str">
        <x:v>Exact Plasma Blast #101. Recent PSA 9 sales median ~$363.16. Other grades retain PriceCharting. Source: https://www.psacard.com/cert/56112007</x:v>
      </x:c>
      <x:c r="AT24" s="176"/>
      <x:c r="AU24" s="176"/>
      <x:c r="AV24" s="176" t="n">
        <x:v>211</x:v>
      </x:c>
      <x:c r="AW24" s="176"/>
      <x:c r="AX24" s="176"/>
      <x:c r="AY24" s="176"/>
      <x:c r="AZ24" s="20" t="str">
        <x:v>https://www.psacard.com/cert/78279603/psa</x:v>
      </x:c>
      <x:c r="BA24" s="20" t="str">
        <x:v>PSA direct cert population for PSA 8. Other grades not directly resolved.</x:v>
      </x:c>
    </x:row>
    <x:row r="25" ht="26.399999618530273" hidden="0" customHeight="1">
      <x:c r="A25" s="85" t="str">
        <x:v>A — Priority</x:v>
      </x:c>
      <x:c r="B25" s="86" t="n">
        <x:f>'All Physical Cards'!A650</x:f>
        <x:v>649</x:v>
      </x:c>
      <x:c r="C25" s="50" t="str">
        <x:f>'All Physical Cards'!C650</x:f>
        <x:v>M Gyarados-EX</x:v>
      </x:c>
      <x:c r="D25" s="50" t="str">
        <x:f>'All Physical Cards'!D650</x:f>
        <x:v>115/122</x:v>
      </x:c>
      <x:c r="E25" s="50" t="str">
        <x:f>'All Physical Cards'!E650</x:f>
        <x:v>XY—BREAKpoint</x:v>
      </x:c>
      <x:c r="F25" s="50" t="n">
        <x:f>'All Physical Cards'!F650</x:f>
        <x:v>2016</x:v>
      </x:c>
      <x:c r="G25" s="50" t="str">
        <x:f>'All Physical Cards'!G650</x:f>
        <x:v>Shiny Full Art Holo Ultra Rare</x:v>
      </x:c>
      <x:c r="H25" s="50" t="str">
        <x:f>'All Physical Cards'!H650</x:f>
        <x:v>1 of 2</x:v>
      </x:c>
      <x:c r="I25" s="91" t="n">
        <x:f>'All Physical Cards'!I650</x:f>
        <x:v>90</x:v>
      </x:c>
      <x:c r="J25" s="91" t="n">
        <x:f>'All Physical Cards'!J650</x:f>
        <x:v>125</x:v>
      </x:c>
      <x:c r="K25" s="91" t="n">
        <x:f>'All Physical Cards'!K650</x:f>
        <x:v>107.5</x:v>
      </x:c>
      <x:c r="L25" s="91" t="n">
        <x:f>'All Physical Cards'!S650</x:f>
        <x:v>107.5</x:v>
      </x:c>
      <x:c r="M25" s="50" t="str">
        <x:f>'All Physical Cards'!P650</x:f>
        <x:v>Clean/NM benchmark unless noted</x:v>
      </x:c>
      <x:c r="N25" s="50" t="str">
        <x:v>High raw value; grading can materially improve liquidity/value; Secret/Shiny premium printing; Popular Pokémon demand</x:v>
      </x:c>
      <x:c r="O25" s="50" t="str">
        <x:v>Inspect closely. Submit if roughly PSA 8/9+ caliber; 9/10 is ideal.</x:v>
      </x:c>
      <x:c r="P25" s="50" t="str">
        <x:v>Pre-grade now; submit when a cheaper PSA tier/special is available unless the card is an obvious high-grade outlier.</x:v>
      </x:c>
      <x:c r="Q25" s="50" t="str">
        <x:v>Not inspected</x:v>
      </x:c>
      <x:c r="R25" s="50" t="str">
        <x:v>Undecided</x:v>
      </x:c>
      <x:c r="S25" s="50" t="str">
        <x:f>'All Physical Cards'!W650</x:f>
        <x:v>https://www.pricecharting.com/game/pokemon-breakpoint/m-gyarados-ex-115</x:v>
      </x:c>
      <x:c r="T25" s="115"/>
      <x:c r="U25" s="115"/>
      <x:c r="V25" s="115"/>
      <x:c r="W25" s="115"/>
      <x:c r="X25" s="20"/>
      <x:c r="Y25" s="20"/>
      <x:c r="Z25" s="20"/>
      <x:c r="AA25" s="20"/>
      <x:c r="AB25" s="20"/>
      <x:c r="AC25" s="20" t="str">
        <x:v>Reconciled grade value: PriceCharting baseline + exact PSA cert/sales-history cross-check where sufficiently useful. Recent PSA sale medians override PriceCharting when multiple exact sales were available; thin PSA data are flagged rather than extrapolated.</x:v>
      </x:c>
      <x:c r="AD25" s="20" t="str">
        <x:v>https://www.pricecharting.com/game/pokemon-breakpoint/m-gyarados-ex-115</x:v>
      </x:c>
      <x:c r="AE25" s="131"/>
      <x:c r="AF25" s="131"/>
      <x:c r="AG25" s="131"/>
      <x:c r="AH25" s="131"/>
      <x:c r="AI25" s="131"/>
      <x:c r="AJ25" s="61"/>
      <x:c r="AK25" s="61" t="n">
        <x:v>99.99</x:v>
      </x:c>
      <x:c r="AL25" s="61" t="n">
        <x:v>130</x:v>
      </x:c>
      <x:c r="AM25" s="61" t="n">
        <x:v>215</x:v>
      </x:c>
      <x:c r="AN25" s="61" t="n">
        <x:v>1400</x:v>
      </x:c>
      <x:c r="AO25" s="61"/>
      <x:c r="AP25" s="61"/>
      <x:c r="AQ25" s="61"/>
      <x:c r="AR25" s="20" t="str">
        <x:v>PSA sales verified — PSA 9/10</x:v>
      </x:c>
      <x:c r="AS25" s="20" t="str">
        <x:v>Exact BREAKpoint #115. Recent PSA 9 median ~$215; PSA 10 median ~$1,400. Other grades retain PriceCharting. Sources: https://www.psacard.com/cert/91285320 and https://www.psacard.com/cert/41388950</x:v>
      </x:c>
      <x:c r="AT25" s="176"/>
      <x:c r="AU25" s="176"/>
      <x:c r="AV25" s="176" t="n">
        <x:v>821</x:v>
      </x:c>
      <x:c r="AW25" s="176" t="n">
        <x:v>1319</x:v>
      </x:c>
      <x:c r="AX25" s="176" t="n">
        <x:v>807</x:v>
      </x:c>
      <x:c r="AY25" s="176"/>
      <x:c r="AZ25" s="20" t="str">
        <x:v>https://www.psacard.com/cert/95734162/psa | https://www.psacard.com/cert/73701692/psa | https://www.psacard.com/cert/106312771/psa</x:v>
      </x:c>
      <x:c r="BA25" s="20" t="str">
        <x:v>PSA direct cert populations. PSA 6/7 not directly resolved.</x:v>
      </x:c>
    </x:row>
    <x:row r="26" ht="26.399999618530273" hidden="0" customHeight="1">
      <x:c r="A26" s="85" t="str">
        <x:v>A — Priority</x:v>
      </x:c>
      <x:c r="B26" s="86" t="n">
        <x:f>'All Physical Cards'!A488</x:f>
        <x:v>487</x:v>
      </x:c>
      <x:c r="C26" s="50" t="str">
        <x:f>'All Physical Cards'!C488</x:f>
        <x:v>Gliscor LV.X</x:v>
      </x:c>
      <x:c r="D26" s="50" t="str">
        <x:f>'All Physical Cards'!D488</x:f>
        <x:v>141/146</x:v>
      </x:c>
      <x:c r="E26" s="50" t="str">
        <x:f>'All Physical Cards'!E488</x:f>
        <x:v>Legends Awakened</x:v>
      </x:c>
      <x:c r="F26" s="50" t="n">
        <x:f>'All Physical Cards'!F488</x:f>
        <x:v>2008</x:v>
      </x:c>
      <x:c r="G26" s="50" t="str">
        <x:f>'All Physical Cards'!G488</x:f>
        <x:v>Holofoil Ultra Rare (LV.X)</x:v>
      </x:c>
      <x:c r="H26" s="50" t="str">
        <x:f>'All Physical Cards'!H488</x:f>
        <x:v>1 of 4</x:v>
      </x:c>
      <x:c r="I26" s="91" t="n">
        <x:f>'All Physical Cards'!I488</x:f>
        <x:v>80</x:v>
      </x:c>
      <x:c r="J26" s="91" t="n">
        <x:f>'All Physical Cards'!J488</x:f>
        <x:v>100</x:v>
      </x:c>
      <x:c r="K26" s="91" t="n">
        <x:f>'All Physical Cards'!K488</x:f>
        <x:v>90</x:v>
      </x:c>
      <x:c r="L26" s="91" t="n">
        <x:f>'All Physical Cards'!S488</x:f>
        <x:v>32.5</x:v>
      </x:c>
      <x:c r="M26" s="50" t="str">
        <x:f>'All Physical Cards'!P488</x:f>
        <x:v>Played / likely MP; exact condition TBD</x:v>
      </x:c>
      <x:c r="N26" s="50" t="str">
        <x:v>Strong raw value with meaningful grading upside; LV.X-era scarcity; Older card; high-grade supply is naturally thinner</x:v>
      </x:c>
      <x:c r="O26" s="50" t="str">
        <x:v>Known wear already reported — inspect first; likely hold raw unless the actual card presents much better than the note.</x:v>
      </x:c>
      <x:c r="P26" s="50" t="str">
        <x:v>Pre-grade now; prioritize for the first future PSA Value/special submission.</x:v>
      </x:c>
      <x:c r="Q26" s="50" t="str">
        <x:v>Not inspected</x:v>
      </x:c>
      <x:c r="R26" s="50" t="str">
        <x:v>Undecided</x:v>
      </x:c>
      <x:c r="S26" s="50" t="str">
        <x:f>'All Physical Cards'!W488</x:f>
        <x:v>https://www.pricecharting.com/game/pokemon-legends-awakened/gliscor-lv-x-141</x:v>
      </x:c>
      <x:c r="T26" s="115"/>
      <x:c r="U26" s="115"/>
      <x:c r="V26" s="115"/>
      <x:c r="W26" s="115"/>
      <x:c r="X26" s="20"/>
      <x:c r="Y26" s="20"/>
      <x:c r="Z26" s="20"/>
      <x:c r="AA26" s="20"/>
      <x:c r="AB26" s="20"/>
      <x:c r="AC26" s="20" t="str">
        <x:v>PriceCharting baseline retained. Exact PSA sales data were not sufficiently useful/available in the verification pass; no unrelated printing or variant was substituted.</x:v>
      </x:c>
      <x:c r="AD26" s="20" t="str">
        <x:v>https://www.pricecharting.com/game/pokemon-legends-awakened/gliscor-lv-x-141</x:v>
      </x:c>
      <x:c r="AE26" s="131"/>
      <x:c r="AF26" s="131"/>
      <x:c r="AG26" s="131"/>
      <x:c r="AH26" s="131"/>
      <x:c r="AI26" s="131"/>
      <x:c r="AJ26" s="61"/>
      <x:c r="AK26" s="61" t="n">
        <x:v>132.8</x:v>
      </x:c>
      <x:c r="AL26" s="61" t="n">
        <x:v>178.14</x:v>
      </x:c>
      <x:c r="AM26" s="61" t="n">
        <x:v>490.11</x:v>
      </x:c>
      <x:c r="AN26" s="61" t="n">
        <x:v>5667.97</x:v>
      </x:c>
      <x:c r="AO26" s="61"/>
      <x:c r="AP26" s="61"/>
      <x:c r="AQ26" s="61"/>
      <x:c r="AR26" s="20" t="str">
        <x:v>PriceCharting baseline</x:v>
      </x:c>
      <x:c r="AS26" s="20" t="str">
        <x:v>PriceCharting grade value retained where an exact, sufficiently useful PSA sales cross-check was not found. No unrelated printing/variant was substituted.</x:v>
      </x:c>
      <x:c r="AT26" s="176" t="n">
        <x:v>45</x:v>
      </x:c>
      <x:c r="AU26" s="176"/>
      <x:c r="AV26" s="176"/>
      <x:c r="AW26" s="176" t="n">
        <x:v>104</x:v>
      </x:c>
      <x:c r="AX26" s="176" t="n">
        <x:v>14</x:v>
      </x:c>
      <x:c r="AY26" s="176"/>
      <x:c r="AZ26" s="20" t="str">
        <x:v>https://www.psacard.com/cert/99090976/psa | https://www.psacard.com/cert/28625500/psa</x:v>
      </x:c>
      <x:c r="BA26" s="20" t="str">
        <x:v>PSA direct cert populations. PSA 7/8 not directly resolved.</x:v>
      </x:c>
    </x:row>
    <x:row r="27" ht="26.399999618530273" hidden="0" customHeight="1">
      <x:c r="A27" s="85" t="str">
        <x:v>A — Priority</x:v>
      </x:c>
      <x:c r="B27" s="86" t="n">
        <x:f>'All Physical Cards'!A489</x:f>
        <x:v>488</x:v>
      </x:c>
      <x:c r="C27" s="50" t="str">
        <x:f>'All Physical Cards'!C489</x:f>
        <x:v>Gliscor LV.X</x:v>
      </x:c>
      <x:c r="D27" s="50" t="str">
        <x:f>'All Physical Cards'!D489</x:f>
        <x:v>141/146</x:v>
      </x:c>
      <x:c r="E27" s="50" t="str">
        <x:f>'All Physical Cards'!E489</x:f>
        <x:v>Legends Awakened</x:v>
      </x:c>
      <x:c r="F27" s="50" t="n">
        <x:f>'All Physical Cards'!F489</x:f>
        <x:v>2008</x:v>
      </x:c>
      <x:c r="G27" s="50" t="str">
        <x:f>'All Physical Cards'!G489</x:f>
        <x:v>Holofoil Ultra Rare (LV.X)</x:v>
      </x:c>
      <x:c r="H27" s="50" t="str">
        <x:f>'All Physical Cards'!H489</x:f>
        <x:v>2 of 4</x:v>
      </x:c>
      <x:c r="I27" s="91" t="n">
        <x:f>'All Physical Cards'!I489</x:f>
        <x:v>80</x:v>
      </x:c>
      <x:c r="J27" s="91" t="n">
        <x:f>'All Physical Cards'!J489</x:f>
        <x:v>100</x:v>
      </x:c>
      <x:c r="K27" s="91" t="n">
        <x:f>'All Physical Cards'!K489</x:f>
        <x:v>90</x:v>
      </x:c>
      <x:c r="L27" s="91" t="n">
        <x:f>'All Physical Cards'!S489</x:f>
        <x:v>32.5</x:v>
      </x:c>
      <x:c r="M27" s="50" t="str">
        <x:f>'All Physical Cards'!P489</x:f>
        <x:v>Played / likely MP; exact condition TBD</x:v>
      </x:c>
      <x:c r="N27" s="50" t="str">
        <x:v>Strong raw value with meaningful grading upside; LV.X-era scarcity; Older card; high-grade supply is naturally thinner</x:v>
      </x:c>
      <x:c r="O27" s="50" t="str">
        <x:v>Known wear already reported — inspect first; likely hold raw unless the actual card presents much better than the note.</x:v>
      </x:c>
      <x:c r="P27" s="50" t="str">
        <x:v>Pre-grade now; prioritize for the first future PSA Value/special submission.</x:v>
      </x:c>
      <x:c r="Q27" s="50" t="str">
        <x:v>Not inspected</x:v>
      </x:c>
      <x:c r="R27" s="50" t="str">
        <x:v>Undecided</x:v>
      </x:c>
      <x:c r="S27" s="50" t="str">
        <x:f>'All Physical Cards'!W489</x:f>
        <x:v>https://www.pricecharting.com/game/pokemon-legends-awakened/gliscor-lv-x-141</x:v>
      </x:c>
      <x:c r="T27" s="115"/>
      <x:c r="U27" s="115"/>
      <x:c r="V27" s="115"/>
      <x:c r="W27" s="115"/>
      <x:c r="X27" s="20"/>
      <x:c r="Y27" s="20"/>
      <x:c r="Z27" s="20"/>
      <x:c r="AA27" s="20"/>
      <x:c r="AB27" s="20"/>
      <x:c r="AC27" s="20" t="str">
        <x:v>PriceCharting baseline retained. Exact PSA sales data were not sufficiently useful/available in the verification pass; no unrelated printing or variant was substituted.</x:v>
      </x:c>
      <x:c r="AD27" s="20" t="str">
        <x:v>https://www.pricecharting.com/game/pokemon-legends-awakened/gliscor-lv-x-141</x:v>
      </x:c>
      <x:c r="AE27" s="131"/>
      <x:c r="AF27" s="131"/>
      <x:c r="AG27" s="131"/>
      <x:c r="AH27" s="131"/>
      <x:c r="AI27" s="131"/>
      <x:c r="AJ27" s="61"/>
      <x:c r="AK27" s="61" t="n">
        <x:v>132.8</x:v>
      </x:c>
      <x:c r="AL27" s="61" t="n">
        <x:v>178.14</x:v>
      </x:c>
      <x:c r="AM27" s="61" t="n">
        <x:v>490.11</x:v>
      </x:c>
      <x:c r="AN27" s="61" t="n">
        <x:v>5667.97</x:v>
      </x:c>
      <x:c r="AO27" s="61"/>
      <x:c r="AP27" s="61"/>
      <x:c r="AQ27" s="61"/>
      <x:c r="AR27" s="20" t="str">
        <x:v>PriceCharting baseline</x:v>
      </x:c>
      <x:c r="AS27" s="20" t="str">
        <x:v>PriceCharting grade value retained where an exact, sufficiently useful PSA sales cross-check was not found. No unrelated printing/variant was substituted.</x:v>
      </x:c>
      <x:c r="AT27" s="176" t="n">
        <x:v>45</x:v>
      </x:c>
      <x:c r="AU27" s="176"/>
      <x:c r="AV27" s="176"/>
      <x:c r="AW27" s="176" t="n">
        <x:v>104</x:v>
      </x:c>
      <x:c r="AX27" s="176" t="n">
        <x:v>14</x:v>
      </x:c>
      <x:c r="AY27" s="176"/>
      <x:c r="AZ27" s="20" t="str">
        <x:v>https://www.psacard.com/cert/99090976/psa | https://www.psacard.com/cert/28625500/psa</x:v>
      </x:c>
      <x:c r="BA27" s="20" t="str">
        <x:v>PSA direct cert populations. PSA 7/8 not directly resolved.</x:v>
      </x:c>
    </x:row>
    <x:row r="28" ht="26.399999618530273" hidden="0" customHeight="1">
      <x:c r="A28" s="85" t="str">
        <x:v>A — Priority</x:v>
      </x:c>
      <x:c r="B28" s="86" t="n">
        <x:f>'All Physical Cards'!A641</x:f>
        <x:v>640</x:v>
      </x:c>
      <x:c r="C28" s="50" t="str">
        <x:f>'All Physical Cards'!C641</x:f>
        <x:v>Cresselia-EX</x:v>
      </x:c>
      <x:c r="D28" s="50" t="str">
        <x:f>'All Physical Cards'!D641</x:f>
        <x:v>143/149</x:v>
      </x:c>
      <x:c r="E28" s="50" t="str">
        <x:f>'All Physical Cards'!E641</x:f>
        <x:v>Boundaries Crossed</x:v>
      </x:c>
      <x:c r="F28" s="50" t="n">
        <x:f>'All Physical Cards'!F641</x:f>
        <x:v>2012</x:v>
      </x:c>
      <x:c r="G28" s="50" t="str">
        <x:f>'All Physical Cards'!G641</x:f>
        <x:v>Full Art Holo Ultra Rare</x:v>
      </x:c>
      <x:c r="H28" s="50" t="str">
        <x:f>'All Physical Cards'!H641</x:f>
        <x:v>1 of 2</x:v>
      </x:c>
      <x:c r="I28" s="91" t="n">
        <x:f>'All Physical Cards'!I641</x:f>
        <x:v>60</x:v>
      </x:c>
      <x:c r="J28" s="91" t="n">
        <x:f>'All Physical Cards'!J641</x:f>
        <x:v>110</x:v>
      </x:c>
      <x:c r="K28" s="91" t="n">
        <x:f>'All Physical Cards'!K641</x:f>
        <x:v>85</x:v>
      </x:c>
      <x:c r="L28" s="91" t="n">
        <x:f>'All Physical Cards'!S641</x:f>
        <x:v>85</x:v>
      </x:c>
      <x:c r="M28" s="50" t="str">
        <x:f>'All Physical Cards'!P641</x:f>
        <x:v>Clean/NM benchmark unless noted</x:v>
      </x:c>
      <x:c r="N28" s="50" t="str">
        <x:v>Strong raw value with meaningful grading upside; Full Art collector demand</x:v>
      </x:c>
      <x:c r="O28" s="50" t="str">
        <x:v>Inspect closely. Submit if roughly PSA 8/9+ caliber; 9/10 is ideal.</x:v>
      </x:c>
      <x:c r="P28" s="50" t="str">
        <x:v>Pre-grade now; prioritize for the first future PSA Value/special submission.</x:v>
      </x:c>
      <x:c r="Q28" s="50" t="str">
        <x:v>Not inspected</x:v>
      </x:c>
      <x:c r="R28" s="50" t="str">
        <x:v>Undecided</x:v>
      </x:c>
      <x:c r="S28" s="50" t="str">
        <x:f>'All Physical Cards'!W641</x:f>
        <x:v>https://www.pricecharting.com/game/pokemon-boundaries-crossed/cresselia-ex-143</x:v>
      </x:c>
      <x:c r="T28" s="115"/>
      <x:c r="U28" s="115"/>
      <x:c r="V28" s="115"/>
      <x:c r="W28" s="115"/>
      <x:c r="X28" s="20"/>
      <x:c r="Y28" s="20"/>
      <x:c r="Z28" s="20"/>
      <x:c r="AA28" s="20"/>
      <x:c r="AB28" s="20"/>
      <x:c r="AC28" s="20" t="str">
        <x:v>PriceCharting baseline retained. Exact PSA sales data were not sufficiently useful/available in the verification pass; no unrelated printing or variant was substituted.</x:v>
      </x:c>
      <x:c r="AD28" s="20" t="str">
        <x:v>https://www.pricecharting.com/game/pokemon-boundaries-crossed/cresselia-ex-143</x:v>
      </x:c>
      <x:c r="AE28" s="131"/>
      <x:c r="AF28" s="131"/>
      <x:c r="AG28" s="131"/>
      <x:c r="AH28" s="131"/>
      <x:c r="AI28" s="131"/>
      <x:c r="AJ28" s="61"/>
      <x:c r="AK28" s="61" t="n">
        <x:v>103.5</x:v>
      </x:c>
      <x:c r="AL28" s="61" t="n">
        <x:v>141.34</x:v>
      </x:c>
      <x:c r="AM28" s="61" t="n">
        <x:v>455</x:v>
      </x:c>
      <x:c r="AN28" s="61" t="n">
        <x:v>2350</x:v>
      </x:c>
      <x:c r="AO28" s="61"/>
      <x:c r="AP28" s="61"/>
      <x:c r="AQ28" s="61"/>
      <x:c r="AR28" s="20" t="str">
        <x:v>PriceCharting baseline</x:v>
      </x:c>
      <x:c r="AS28" s="20" t="str">
        <x:v>PriceCharting grade value retained where an exact, sufficiently useful PSA sales cross-check was not found. No unrelated printing/variant was substituted.</x:v>
      </x:c>
      <x:c r="AT28" s="176" t="n">
        <x:v>19</x:v>
      </x:c>
      <x:c r="AU28" s="176" t="n">
        <x:v>41</x:v>
      </x:c>
      <x:c r="AV28" s="176" t="n">
        <x:v>73</x:v>
      </x:c>
      <x:c r="AW28" s="176" t="n">
        <x:v>111</x:v>
      </x:c>
      <x:c r="AX28" s="176" t="n">
        <x:v>20</x:v>
      </x:c>
      <x:c r="AY28" s="176"/>
      <x:c r="AZ28" s="20" t="str">
        <x:v>https://www.psacard.com/cert/73011124/psa | https://www.psacard.com/Pop</x:v>
      </x:c>
      <x:c r="BA28" s="20" t="str">
        <x:v>PSA-only figures: PSA 6–8 from PSA's official APR/population data checked during the audit; PSA 9/10 refreshed from direct PSA cert data.</x:v>
      </x:c>
    </x:row>
    <x:row r="29" ht="26.399999618530273" hidden="0" customHeight="1">
      <x:c r="A29" s="85" t="str">
        <x:v>A — Priority</x:v>
      </x:c>
      <x:c r="B29" s="86" t="n">
        <x:f>'All Physical Cards'!A316</x:f>
        <x:v>315</x:v>
      </x:c>
      <x:c r="C29" s="50" t="str">
        <x:f>'All Physical Cards'!C316</x:f>
        <x:v>Charmander</x:v>
      </x:c>
      <x:c r="D29" s="50" t="str">
        <x:f>'All Physical Cards'!D316</x:f>
        <x:v>59/99</x:v>
      </x:c>
      <x:c r="E29" s="50" t="str">
        <x:f>'All Physical Cards'!E316</x:f>
        <x:v>Arceus</x:v>
      </x:c>
      <x:c r="F29" s="50" t="n">
        <x:f>'All Physical Cards'!F316</x:f>
        <x:v>2009</x:v>
      </x:c>
      <x:c r="G29" s="50" t="str">
        <x:f>'All Physical Cards'!G316</x:f>
        <x:v>Reverse Holo</x:v>
      </x:c>
      <x:c r="H29" s="50" t="str">
        <x:f>'All Physical Cards'!H316</x:f>
        <x:v>1 of 2</x:v>
      </x:c>
      <x:c r="I29" s="91" t="n">
        <x:f>'All Physical Cards'!I316</x:f>
        <x:v>75</x:v>
      </x:c>
      <x:c r="J29" s="91" t="n">
        <x:f>'All Physical Cards'!J316</x:f>
        <x:v>90</x:v>
      </x:c>
      <x:c r="K29" s="91" t="n">
        <x:f>'All Physical Cards'!K316</x:f>
        <x:v>82.5</x:v>
      </x:c>
      <x:c r="L29" s="91" t="n">
        <x:f>'All Physical Cards'!S316</x:f>
        <x:v>82.5</x:v>
      </x:c>
      <x:c r="M29" s="50" t="str">
        <x:f>'All Physical Cards'!P316</x:f>
        <x:v>Clean/NM benchmark unless noted</x:v>
      </x:c>
      <x:c r="N29" s="50" t="str">
        <x:v>Strong raw value with meaningful grading upside; Older reverse holo; clean copies are condition-sensitive; Popular Pokémon demand</x:v>
      </x:c>
      <x:c r="O29" s="50" t="str">
        <x:v>Inspect closely. Submit if roughly PSA 8/9+ caliber; 9/10 is ideal.</x:v>
      </x:c>
      <x:c r="P29" s="50" t="str">
        <x:v>Pre-grade now; prioritize for the first future PSA Value/special submission.</x:v>
      </x:c>
      <x:c r="Q29" s="50" t="str">
        <x:v>Not inspected</x:v>
      </x:c>
      <x:c r="R29" s="50" t="str">
        <x:v>Undecided</x:v>
      </x:c>
      <x:c r="S29" s="50" t="str">
        <x:f>'All Physical Cards'!W316</x:f>
        <x:v>https://www.tcgplayer.com/categories/trading-collectible-card-games/pokemon/price-guides/arceus</x:v>
      </x:c>
      <x:c r="T29" s="115"/>
      <x:c r="U29" s="115"/>
      <x:c r="V29" s="115"/>
      <x:c r="W29" s="115"/>
      <x:c r="X29" s="20"/>
      <x:c r="Y29" s="20"/>
      <x:c r="Z29" s="20"/>
      <x:c r="AA29" s="20"/>
      <x:c r="AB29" s="20"/>
      <x:c r="AC29" s="20" t="str">
        <x:v>PriceCharting baseline retained. Exact PSA sales data were not sufficiently useful/available in the verification pass; no unrelated printing or variant was substituted.</x:v>
      </x:c>
      <x:c r="AD29" s="20" t="str">
        <x:v>https://www.pricecharting.com/game/pokemon-arceus/charmander-reverse-holo-59</x:v>
      </x:c>
      <x:c r="AE29" s="131"/>
      <x:c r="AF29" s="131"/>
      <x:c r="AG29" s="131"/>
      <x:c r="AH29" s="131"/>
      <x:c r="AI29" s="131"/>
      <x:c r="AJ29" s="61"/>
      <x:c r="AK29" s="61"/>
      <x:c r="AL29" s="61" t="n">
        <x:v>24.95</x:v>
      </x:c>
      <x:c r="AM29" s="61" t="n">
        <x:v>75</x:v>
      </x:c>
      <x:c r="AN29" s="61" t="n">
        <x:v>507.87</x:v>
      </x:c>
      <x:c r="AO29" s="61"/>
      <x:c r="AP29" s="61"/>
      <x:c r="AQ29" s="61"/>
      <x:c r="AR29" s="20" t="str">
        <x:v>PriceCharting baseline</x:v>
      </x:c>
      <x:c r="AS29" s="20" t="str">
        <x:v>PriceCharting grade value retained where an exact, sufficiently useful PSA sales cross-check was not found. No unrelated printing/variant was substituted.</x:v>
      </x:c>
      <x:c r="AT29" s="176"/>
      <x:c r="AU29" s="176"/>
      <x:c r="AV29" s="176"/>
      <x:c r="AW29" s="176"/>
      <x:c r="AX29" s="176"/>
      <x:c r="AY29" s="176"/>
      <x:c r="AZ29" s="20" t="str">
        <x:v>https://www.psacard.com/Pop</x:v>
      </x:c>
      <x:c r="BA29" s="20" t="str">
        <x:v>PSA-direct population for this exact printing/grade was not confidently resolved from PSA's accessible/indexed pages on 2026-08-17. Prior PriceCharting/Pikawiz population figures were removed rather than retained.</x:v>
      </x:c>
    </x:row>
    <x:row r="30" ht="26.399999618530273" hidden="0" customHeight="1">
      <x:c r="A30" s="85" t="str">
        <x:v>A — Priority</x:v>
      </x:c>
      <x:c r="B30" s="86" t="n">
        <x:f>'All Physical Cards'!A279</x:f>
        <x:v>278</x:v>
      </x:c>
      <x:c r="C30" s="50" t="str">
        <x:f>'All Physical Cards'!C279</x:f>
        <x:v>Umbreon</x:v>
      </x:c>
      <x:c r="D30" s="50" t="str">
        <x:f>'All Physical Cards'!D279</x:f>
        <x:v>61/108</x:v>
      </x:c>
      <x:c r="E30" s="50" t="str">
        <x:f>'All Physical Cards'!E279</x:f>
        <x:v>Dark Explorers</x:v>
      </x:c>
      <x:c r="F30" s="50" t="n">
        <x:f>'All Physical Cards'!F279</x:f>
        <x:v>2012</x:v>
      </x:c>
      <x:c r="G30" s="50" t="str">
        <x:f>'All Physical Cards'!G279</x:f>
        <x:v>Reverse Holo</x:v>
      </x:c>
      <x:c r="H30" s="50" t="str">
        <x:f>'All Physical Cards'!H279</x:f>
        <x:v>1 of 2</x:v>
      </x:c>
      <x:c r="I30" s="91" t="n">
        <x:f>'All Physical Cards'!I279</x:f>
        <x:v>60</x:v>
      </x:c>
      <x:c r="J30" s="91" t="n">
        <x:f>'All Physical Cards'!J279</x:f>
        <x:v>100</x:v>
      </x:c>
      <x:c r="K30" s="91" t="n">
        <x:f>'All Physical Cards'!K279</x:f>
        <x:v>80</x:v>
      </x:c>
      <x:c r="L30" s="91" t="n">
        <x:f>'All Physical Cards'!S279</x:f>
        <x:v>80</x:v>
      </x:c>
      <x:c r="M30" s="50" t="str">
        <x:f>'All Physical Cards'!P279</x:f>
        <x:v>Clean/NM benchmark unless noted</x:v>
      </x:c>
      <x:c r="N30" s="50" t="str">
        <x:v>Strong raw value with meaningful grading upside; Older reverse holo; clean copies are condition-sensitive; Popular Pokémon demand</x:v>
      </x:c>
      <x:c r="O30" s="50" t="str">
        <x:v>Inspect closely. Submit if roughly PSA 8/9+ caliber; 9/10 is ideal.</x:v>
      </x:c>
      <x:c r="P30" s="50" t="str">
        <x:v>Pre-grade now; prioritize for the first future PSA Value/special submission.</x:v>
      </x:c>
      <x:c r="Q30" s="50" t="str">
        <x:v>Not inspected</x:v>
      </x:c>
      <x:c r="R30" s="50" t="str">
        <x:v>Undecided</x:v>
      </x:c>
      <x:c r="S30" s="50" t="str">
        <x:f>'All Physical Cards'!W279</x:f>
        <x:v>https://tcgscreener.com/pokemon/dark-explorers/umbreon-rev-holo-61</x:v>
      </x:c>
      <x:c r="T30" s="115"/>
      <x:c r="U30" s="115"/>
      <x:c r="V30" s="115"/>
      <x:c r="W30" s="115"/>
      <x:c r="X30" s="20"/>
      <x:c r="Y30" s="20"/>
      <x:c r="Z30" s="20"/>
      <x:c r="AA30" s="20"/>
      <x:c r="AB30" s="20"/>
      <x:c r="AC30" s="20" t="str">
        <x:v>PriceCharting baseline retained. Exact PSA sales data were not sufficiently useful/available in the verification pass; no unrelated printing or variant was substituted.</x:v>
      </x:c>
      <x:c r="AD30" s="20" t="str">
        <x:v>https://www.pricecharting.com/game/pokemon-dark-explorers/umbreon-reverse-holo-61</x:v>
      </x:c>
      <x:c r="AE30" s="131"/>
      <x:c r="AF30" s="131"/>
      <x:c r="AG30" s="131"/>
      <x:c r="AH30" s="131"/>
      <x:c r="AI30" s="131"/>
      <x:c r="AJ30" s="61"/>
      <x:c r="AK30" s="61" t="n">
        <x:v>90.47</x:v>
      </x:c>
      <x:c r="AL30" s="61" t="n">
        <x:v>125</x:v>
      </x:c>
      <x:c r="AM30" s="61" t="n">
        <x:v>479.12</x:v>
      </x:c>
      <x:c r="AN30" s="61" t="n">
        <x:v>1299.99</x:v>
      </x:c>
      <x:c r="AO30" s="61"/>
      <x:c r="AP30" s="61"/>
      <x:c r="AQ30" s="61"/>
      <x:c r="AR30" s="20" t="str">
        <x:v>PriceCharting baseline</x:v>
      </x:c>
      <x:c r="AS30" s="20" t="str">
        <x:v>PriceCharting grade value retained where an exact, sufficiently useful PSA sales cross-check was not found. No unrelated printing/variant was substituted.</x:v>
      </x:c>
      <x:c r="AT30" s="176" t="n">
        <x:v>5</x:v>
      </x:c>
      <x:c r="AU30" s="176" t="n">
        <x:v>17</x:v>
      </x:c>
      <x:c r="AV30" s="176" t="n">
        <x:v>27</x:v>
      </x:c>
      <x:c r="AW30" s="176" t="n">
        <x:v>36</x:v>
      </x:c>
      <x:c r="AX30" s="176" t="n">
        <x:v>4</x:v>
      </x:c>
      <x:c r="AY30" s="176" t="n">
        <x:v>94</x:v>
      </x:c>
      <x:c r="AZ30" s="20" t="str">
        <x:v>https://www.psacard.com/auctionprices/tcg-cards/2012-pokemon-black-white-dark-explorers/UMBREON-REVERSE%20FOIL/2626107</x:v>
      </x:c>
      <x:c r="BA30" s="20" t="str">
        <x:v>PSA official Auction Prices/Population table for the exact Reverse Foil printing. Total PSA population includes grades outside 6–10.</x:v>
      </x:c>
    </x:row>
    <x:row r="31" ht="26.399999618530273" hidden="0" customHeight="1">
      <x:c r="A31" s="85" t="str">
        <x:v>A — Priority</x:v>
      </x:c>
      <x:c r="B31" s="86" t="n">
        <x:f>'All Physical Cards'!A628</x:f>
        <x:v>627</x:v>
      </x:c>
      <x:c r="C31" s="50" t="str">
        <x:f>'All Physical Cards'!C628</x:f>
        <x:v>Ghetsis</x:v>
      </x:c>
      <x:c r="D31" s="50" t="str">
        <x:f>'All Physical Cards'!D628</x:f>
        <x:v>115/116</x:v>
      </x:c>
      <x:c r="E31" s="50" t="str">
        <x:f>'All Physical Cards'!E628</x:f>
        <x:v>Plasma Freeze</x:v>
      </x:c>
      <x:c r="F31" s="50" t="n">
        <x:f>'All Physical Cards'!F628</x:f>
        <x:v>2013</x:v>
      </x:c>
      <x:c r="G31" s="50" t="str">
        <x:f>'All Physical Cards'!G628</x:f>
        <x:v>Full Art Holo Ultra Rare (Team Plasma)</x:v>
      </x:c>
      <x:c r="H31" s="50" t="str">
        <x:f>'All Physical Cards'!H628</x:f>
        <x:v>1 of 2</x:v>
      </x:c>
      <x:c r="I31" s="91" t="n">
        <x:f>'All Physical Cards'!I628</x:f>
        <x:v>65</x:v>
      </x:c>
      <x:c r="J31" s="91" t="n">
        <x:f>'All Physical Cards'!J628</x:f>
        <x:v>90</x:v>
      </x:c>
      <x:c r="K31" s="91" t="n">
        <x:f>'All Physical Cards'!K628</x:f>
        <x:v>77.5</x:v>
      </x:c>
      <x:c r="L31" s="91" t="n">
        <x:f>'All Physical Cards'!S628</x:f>
        <x:v>77.5</x:v>
      </x:c>
      <x:c r="M31" s="50" t="str">
        <x:f>'All Physical Cards'!P628</x:f>
        <x:v>Clean/NM benchmark unless noted</x:v>
      </x:c>
      <x:c r="N31" s="50" t="str">
        <x:v>Strong raw value with meaningful grading upside; Full Art collector demand</x:v>
      </x:c>
      <x:c r="O31" s="50" t="str">
        <x:v>Inspect closely. Submit if roughly PSA 8/9+ caliber; 9/10 is ideal.</x:v>
      </x:c>
      <x:c r="P31" s="50" t="str">
        <x:v>Pre-grade now; prioritize for the first future PSA Value/special submission.</x:v>
      </x:c>
      <x:c r="Q31" s="50" t="str">
        <x:v>Not inspected</x:v>
      </x:c>
      <x:c r="R31" s="50" t="str">
        <x:v>Undecided</x:v>
      </x:c>
      <x:c r="S31" s="50" t="str">
        <x:f>'All Physical Cards'!W628</x:f>
        <x:v>https://www.tcgplayer.com/product/85695/pokemon-plasma-freeze-ghetsis-team-plasma-full-art</x:v>
      </x:c>
      <x:c r="T31" s="115"/>
      <x:c r="U31" s="115"/>
      <x:c r="V31" s="115"/>
      <x:c r="W31" s="115"/>
      <x:c r="X31" s="20"/>
      <x:c r="Y31" s="20"/>
      <x:c r="Z31" s="20"/>
      <x:c r="AA31" s="20"/>
      <x:c r="AB31" s="20"/>
      <x:c r="AC31" s="20" t="str">
        <x:v>PriceCharting baseline retained. Exact PSA sales data were not sufficiently useful/available in the verification pass; no unrelated printing or variant was substituted.</x:v>
      </x:c>
      <x:c r="AD31" s="20" t="str">
        <x:v>https://www.pricecharting.com/game/pokemon-plasma-freeze/ghetsis-115</x:v>
      </x:c>
      <x:c r="AE31" s="131"/>
      <x:c r="AF31" s="131"/>
      <x:c r="AG31" s="131"/>
      <x:c r="AH31" s="131"/>
      <x:c r="AI31" s="131"/>
      <x:c r="AJ31" s="61"/>
      <x:c r="AK31" s="61" t="n">
        <x:v>63</x:v>
      </x:c>
      <x:c r="AL31" s="61" t="n">
        <x:v>113.08</x:v>
      </x:c>
      <x:c r="AM31" s="61" t="n">
        <x:v>160.49</x:v>
      </x:c>
      <x:c r="AN31" s="61" t="n">
        <x:v>1800</x:v>
      </x:c>
      <x:c r="AO31" s="61"/>
      <x:c r="AP31" s="61"/>
      <x:c r="AQ31" s="61"/>
      <x:c r="AR31" s="20" t="str">
        <x:v>PriceCharting baseline</x:v>
      </x:c>
      <x:c r="AS31" s="20" t="str">
        <x:v>PriceCharting grade value retained where an exact, sufficiently useful PSA sales cross-check was not found. No unrelated printing/variant was substituted.</x:v>
      </x:c>
      <x:c r="AT31" s="176" t="n">
        <x:v>30</x:v>
      </x:c>
      <x:c r="AU31" s="176" t="n">
        <x:v>119</x:v>
      </x:c>
      <x:c r="AV31" s="176" t="n">
        <x:v>84</x:v>
      </x:c>
      <x:c r="AW31" s="176" t="n">
        <x:v>109</x:v>
      </x:c>
      <x:c r="AX31" s="176" t="n">
        <x:v>29</x:v>
      </x:c>
      <x:c r="AY31" s="176" t="n">
        <x:v>386</x:v>
      </x:c>
      <x:c r="AZ31" s="20" t="str">
        <x:v>https://www.psacard.com/auctionprices/tcg-cards/2013-pokemon-black-white-plasma-freeze/full-art-ghetsis/1953941</x:v>
      </x:c>
      <x:c r="BA31" s="20" t="str">
        <x:v>PSA official Auction Prices/Population table for the exact printing. Total includes grades outside 6–10.</x:v>
      </x:c>
    </x:row>
    <x:row r="32" ht="26.399999618530273" hidden="0" customHeight="1">
      <x:c r="A32" s="85" t="str">
        <x:v>A — Priority</x:v>
      </x:c>
      <x:c r="B32" s="86" t="n">
        <x:f>'All Physical Cards'!A140</x:f>
        <x:v>139</x:v>
      </x:c>
      <x:c r="C32" s="50" t="str">
        <x:f>'All Physical Cards'!C140</x:f>
        <x:v>Rayquaza</x:v>
      </x:c>
      <x:c r="D32" s="50" t="str">
        <x:f>'All Physical Cards'!D140</x:f>
        <x:v>11/20</x:v>
      </x:c>
      <x:c r="E32" s="50" t="str">
        <x:f>'All Physical Cards'!E140</x:f>
        <x:v>Dragon Vault</x:v>
      </x:c>
      <x:c r="F32" s="50" t="n">
        <x:f>'All Physical Cards'!F140</x:f>
        <x:v>2012</x:v>
      </x:c>
      <x:c r="G32" s="50" t="str">
        <x:f>'All Physical Cards'!G140</x:f>
        <x:v>Dragon Vault stamped blister promo</x:v>
      </x:c>
      <x:c r="H32" s="50" t="str">
        <x:f>'All Physical Cards'!H140</x:f>
        <x:v>1 of 2</x:v>
      </x:c>
      <x:c r="I32" s="91" t="n">
        <x:f>'All Physical Cards'!I140</x:f>
        <x:v>75</x:v>
      </x:c>
      <x:c r="J32" s="91" t="n">
        <x:f>'All Physical Cards'!J140</x:f>
        <x:v>95</x:v>
      </x:c>
      <x:c r="K32" s="91" t="n">
        <x:f>'All Physical Cards'!K140</x:f>
        <x:v>85</x:v>
      </x:c>
      <x:c r="L32" s="91" t="n">
        <x:f>'All Physical Cards'!S140</x:f>
        <x:v>35</x:v>
      </x:c>
      <x:c r="M32" s="50" t="str">
        <x:f>'All Physical Cards'!P140</x:f>
        <x:v>Moisture/edge damage: pronounced side-edge swelling/ruffling; photo pre-grade PSA 6 most likely</x:v>
      </x:c>
      <x:c r="N32" s="50" t="str">
        <x:v>Strong raw value with meaningful grading upside; Popular Pokémon demand</x:v>
      </x:c>
      <x:c r="O32" s="50" t="str">
        <x:v>Known wear already reported — inspect first; likely hold raw unless the actual card presents much better than the note.</x:v>
      </x:c>
      <x:c r="P32" s="50" t="str">
        <x:v>Pre-grade now; prioritize for the first future PSA Value/special submission.</x:v>
      </x:c>
      <x:c r="Q32" s="50" t="str">
        <x:v>PSA 6 most likely; PSA 5 downside; PSA 7 outside chance</x:v>
      </x:c>
      <x:c r="R32" s="50" t="str">
        <x:v>Conditional — grade only if a low-grade slab/authentication is desired; not a high-grade value play.</x:v>
      </x:c>
      <x:c r="S32" s="50" t="str">
        <x:v>https://www.tcgplayer.com/search/pokemon/product?q=Rayquaza+%5BStamped%5D+%2311+Dragon+Vault</x:v>
      </x:c>
      <x:c r="T32" s="115" t="str">
        <x:v>PSA 9 — measured front centering 56.5/43.5 L-R and 55.4/44.6 T-B</x:v>
      </x:c>
      <x:c r="U32" s="115" t="str">
        <x:v>PSA 8–9 — corner shapes remain fairly solid; corner wear is not the primary limiter</x:v>
      </x:c>
      <x:c r="V32" s="115" t="str">
        <x:v>PSA 5–6 — left edge visibly swollen/ruffled and uneven in profile, with repeated white damage; additional reverse edge chipping</x:v>
      </x:c>
      <x:c r="W32" s="115" t="str">
        <x:v>PSA 6–7 — no broad crease seen, but moisture-related edge deformation is a structural/surface defect even though the face presents well</x:v>
      </x:c>
      <x:c r="X32" s="20" t="str">
        <x:v>9 / 8–9 / 5–6 / 6–7 → PSA 6 most likely</x:v>
      </x:c>
      <x:c r="Y32" s="20" t="str">
        <x:v>PSA 6 most likely</x:v>
      </x:c>
      <x:c r="Z32" s="20" t="str">
        <x:v>PSA 5 ~35% | PSA 6 ~55% | PSA 7 ~9% | PSA 8 ~1% | PSA 9/10 ~0%</x:v>
      </x:c>
      <x:c r="AA32" s="20" t="str">
        <x:v>Rayquaza 11/20 stamped copy #1 of 2. Close-up edge-profile photos confirm pronounced left-side wavy/ruffled cardstock deformation with localized swelling and repeated white disruption, consistent with prior moisture exposure rather than ordinary whitening. No broad face crease is visible. Treat as PSA 6 baseline with PSA 5 downside and PSA 7 outside chance.</x:v>
      </x:c>
      <x:c r="AB32" s="20" t="str">
        <x:v>~PSA 5–7 low-grade range; PSA 6 baseline</x:v>
      </x:c>
      <x:c r="AC32" s="20" t="str">
        <x:v>PSA recent exact-grade sales medians used for 8/9; unresolved grades remain PriceCharting fallbacks.</x:v>
      </x:c>
      <x:c r="AD32" s="20" t="str">
        <x:v>https://www.pricecharting.com/game/pokemon-dragon-vault/rayquaza-stamped-11</x:v>
      </x:c>
      <x:c r="AE32" s="131" t="n">
        <x:v>0.55</x:v>
      </x:c>
      <x:c r="AF32" s="131" t="n">
        <x:v>0.09</x:v>
      </x:c>
      <x:c r="AG32" s="131" t="n">
        <x:v>0.01</x:v>
      </x:c>
      <x:c r="AH32" s="131" t="n">
        <x:v>0</x:v>
      </x:c>
      <x:c r="AI32" s="131" t="n">
        <x:v>0</x:v>
      </x:c>
      <x:c r="AJ32" s="61" t="n">
        <x:v>74</x:v>
      </x:c>
      <x:c r="AK32" s="61" t="n">
        <x:v>92.79</x:v>
      </x:c>
      <x:c r="AL32" s="61" t="n">
        <x:v>855</x:v>
      </x:c>
      <x:c r="AM32" s="61" t="n">
        <x:v>1575</x:v>
      </x:c>
      <x:c r="AN32" s="61" t="n">
        <x:v>1490.5</x:v>
      </x:c>
      <x:c r="AO32" s="61" t="n">
        <x:f>SUMPRODUCT(AE32:AI32,AJ32:AN32)+IFERROR(BB32*BC32,0)</x:f>
        <x:v>66.7851</x:v>
      </x:c>
      <x:c r="AP32" s="61" t="n">
        <x:f>K32</x:f>
        <x:v>85</x:v>
      </x:c>
      <x:c r="AQ32" s="61" t="n">
        <x:f>AO32-AP32</x:f>
        <x:v>-18.2149</x:v>
      </x:c>
      <x:c r="AR32" s="20" t="str">
        <x:v>PSA direct medians — PSA 8/9; PriceCharting fallback — 6/7/10</x:v>
      </x:c>
      <x:c r="AS32" s="20" t="str">
        <x:v>Exact Dragon Vault D.V. Stamp #11. PSA 8 latest five direct sales: $1,200, $1,200, $855, $700, $440 → median $855. PSA 9 latest five direct sales: $3,100, $3,000, $1,575, $1,429.80, $798.88 → median $1,575. PSA 6, PSA 7 and PSA 10 do not have enough current direct PSA sales for the rule, so the existing PriceCharting values remain fallbacks. PSA 10 is extremely thin (population 3), so its fallback value is especially low-confidence.</x:v>
      </x:c>
      <x:c r="AT32" s="176"/>
      <x:c r="AU32" s="176" t="n">
        <x:v>70</x:v>
      </x:c>
      <x:c r="AV32" s="176" t="n">
        <x:v>114</x:v>
      </x:c>
      <x:c r="AW32" s="176" t="n">
        <x:v>51</x:v>
      </x:c>
      <x:c r="AX32" s="176" t="n">
        <x:v>3</x:v>
      </x:c>
      <x:c r="AY32" s="176"/>
      <x:c r="AZ32" s="20" t="str">
        <x:v>https://www.psacard.com/cert/68450279/psa | https://www.psacard.com/cert/72377430/psa | https://www.pricecharting.com/game/pokemon-dragon-vault/rayquaza-stamped-11</x:v>
      </x:c>
      <x:c r="BA32" s="20" t="str">
        <x:v>Graded-value hierarchy applied 2026-08-18: PSA recent exact-grade sales median when 3+ usable comps; otherwise PSA Estimate; otherwise PriceCharting fallback.</x:v>
      </x:c>
      <x:c r="BB32" t="n">
        <x:v>0.35</x:v>
      </x:c>
      <x:c r="BC32" t="n">
        <x:v>26.24</x:v>
      </x:c>
    </x:row>
    <x:row r="33" ht="26.399999618530273" hidden="0" customHeight="1">
      <x:c r="A33" s="85" t="str">
        <x:v>A — Priority</x:v>
      </x:c>
      <x:c r="B33" s="86" t="n">
        <x:f>'All Physical Cards'!A546</x:f>
        <x:v>545</x:v>
      </x:c>
      <x:c r="C33" s="50" t="str">
        <x:f>'All Physical Cards'!C546</x:f>
        <x:v>Pikachu</x:v>
      </x:c>
      <x:c r="D33" s="50" t="str">
        <x:f>'All Physical Cards'!D546</x:f>
        <x:v>RC7/RC25</x:v>
      </x:c>
      <x:c r="E33" s="50" t="str">
        <x:f>'All Physical Cards'!E546</x:f>
        <x:v>Legendary Treasures</x:v>
      </x:c>
      <x:c r="F33" s="50" t="n">
        <x:f>'All Physical Cards'!F546</x:f>
        <x:v>2013</x:v>
      </x:c>
      <x:c r="G33" s="50" t="str">
        <x:f>'All Physical Cards'!G546</x:f>
        <x:v>Radiant Collection Holo (Uncommon)</x:v>
      </x:c>
      <x:c r="H33" s="50" t="str">
        <x:f>'All Physical Cards'!H546</x:f>
        <x:v>1 of 4</x:v>
      </x:c>
      <x:c r="I33" s="91" t="n">
        <x:f>'All Physical Cards'!I546</x:f>
        <x:v>50</x:v>
      </x:c>
      <x:c r="J33" s="91" t="n">
        <x:f>'All Physical Cards'!J546</x:f>
        <x:v>90</x:v>
      </x:c>
      <x:c r="K33" s="91" t="n">
        <x:f>'All Physical Cards'!K546</x:f>
        <x:v>70</x:v>
      </x:c>
      <x:c r="L33" s="91" t="n">
        <x:f>'All Physical Cards'!S546</x:f>
        <x:v>70</x:v>
      </x:c>
      <x:c r="M33" s="50" t="str">
        <x:f>'All Physical Cards'!P546</x:f>
        <x:v>Clean/NM benchmark unless noted</x:v>
      </x:c>
      <x:c r="N33" s="50" t="str">
        <x:v>Strong raw value with meaningful grading upside; Holo surface quality matters heavily; Popular Pokémon demand</x:v>
      </x:c>
      <x:c r="O33" s="50" t="str">
        <x:v>Inspect closely. Submit if roughly PSA 8/9+ caliber; 9/10 is ideal.</x:v>
      </x:c>
      <x:c r="P33" s="50" t="str">
        <x:v>Pre-grade now; prioritize for the first future PSA Value/special submission.</x:v>
      </x:c>
      <x:c r="Q33" s="50" t="str">
        <x:v>Not inspected</x:v>
      </x:c>
      <x:c r="R33" s="50" t="str">
        <x:v>Undecided</x:v>
      </x:c>
      <x:c r="S33" s="50" t="str">
        <x:f>'All Physical Cards'!W546</x:f>
        <x:v>https://www.pricecharting.com/game/pokemon-legendary-treasures/pikachu-rc7</x:v>
      </x:c>
      <x:c r="T33" s="115"/>
      <x:c r="U33" s="115"/>
      <x:c r="V33" s="115"/>
      <x:c r="W33" s="115"/>
      <x:c r="X33" s="20"/>
      <x:c r="Y33" s="20"/>
      <x:c r="Z33" s="20"/>
      <x:c r="AA33" s="20"/>
      <x:c r="AB33" s="20"/>
      <x:c r="AC33" s="20" t="str">
        <x:v>Reconciled grade value: PriceCharting baseline + exact PSA cert/sales-history cross-check where sufficiently useful. Recent PSA sale medians override PriceCharting when multiple exact sales were available; thin PSA data are flagged rather than extrapolated.</x:v>
      </x:c>
      <x:c r="AD33" s="20" t="str">
        <x:v>https://www.pricecharting.com/game/pokemon-legendary-treasures/pikachu-rc7</x:v>
      </x:c>
      <x:c r="AE33" s="131"/>
      <x:c r="AF33" s="131"/>
      <x:c r="AG33" s="131"/>
      <x:c r="AH33" s="131"/>
      <x:c r="AI33" s="131"/>
      <x:c r="AJ33" s="61"/>
      <x:c r="AK33" s="61" t="n">
        <x:v>96</x:v>
      </x:c>
      <x:c r="AL33" s="61" t="n">
        <x:v>139.9</x:v>
      </x:c>
      <x:c r="AM33" s="61" t="n">
        <x:v>305</x:v>
      </x:c>
      <x:c r="AN33" s="61" t="n">
        <x:v>2800</x:v>
      </x:c>
      <x:c r="AO33" s="61"/>
      <x:c r="AP33" s="61"/>
      <x:c r="AQ33" s="61"/>
      <x:c r="AR33" s="20" t="str">
        <x:v>PSA sales verified — PSA 9/10</x:v>
      </x:c>
      <x:c r="AS33" s="20" t="str">
        <x:v>Exact Legendary Treasures RC7. Recent PSA 9 median ~$305; PSA 10 median ~$2,800. Other grades retain PriceCharting. Sources: https://www.psacard.com/cert/75095454 and https://www.psacard.com/cert/57028672</x:v>
      </x:c>
      <x:c r="AT33" s="176" t="n">
        <x:v>364</x:v>
      </x:c>
      <x:c r="AU33" s="176" t="n">
        <x:v>663</x:v>
      </x:c>
      <x:c r="AV33" s="176" t="n">
        <x:v>1010</x:v>
      </x:c>
      <x:c r="AW33" s="176" t="n">
        <x:v>650</x:v>
      </x:c>
      <x:c r="AX33" s="176" t="n">
        <x:v>93</x:v>
      </x:c>
      <x:c r="AY33" s="176"/>
      <x:c r="AZ33" s="20" t="str">
        <x:v>https://www.psacard.com/fr-CA/cert/146932098 | https://www.psacard.com/cert/142070397/psa | https://www.psacard.com/fr-CA/cert/97374383/psa | https://www.psacard.com/en-CA/cert/75095454/psa</x:v>
      </x:c>
      <x:c r="BA33" s="20" t="str">
        <x:v>PSA direct cert populations for RC7; PSA 10 from PSA 9 Pop Higher.</x:v>
      </x:c>
    </x:row>
    <x:row r="34" ht="26.399999618530273" hidden="0" customHeight="1">
      <x:c r="A34" s="85" t="str">
        <x:v>A — Priority</x:v>
      </x:c>
      <x:c r="B34" s="86" t="n">
        <x:f>'All Physical Cards'!A547</x:f>
        <x:v>546</x:v>
      </x:c>
      <x:c r="C34" s="50" t="str">
        <x:f>'All Physical Cards'!C547</x:f>
        <x:v>Pikachu</x:v>
      </x:c>
      <x:c r="D34" s="50" t="str">
        <x:f>'All Physical Cards'!D547</x:f>
        <x:v>RC7/RC25</x:v>
      </x:c>
      <x:c r="E34" s="50" t="str">
        <x:f>'All Physical Cards'!E547</x:f>
        <x:v>Legendary Treasures</x:v>
      </x:c>
      <x:c r="F34" s="50" t="n">
        <x:f>'All Physical Cards'!F547</x:f>
        <x:v>2013</x:v>
      </x:c>
      <x:c r="G34" s="50" t="str">
        <x:f>'All Physical Cards'!G547</x:f>
        <x:v>Radiant Collection Holo (Uncommon)</x:v>
      </x:c>
      <x:c r="H34" s="50" t="str">
        <x:f>'All Physical Cards'!H547</x:f>
        <x:v>2 of 4</x:v>
      </x:c>
      <x:c r="I34" s="91" t="n">
        <x:f>'All Physical Cards'!I547</x:f>
        <x:v>50</x:v>
      </x:c>
      <x:c r="J34" s="91" t="n">
        <x:f>'All Physical Cards'!J547</x:f>
        <x:v>90</x:v>
      </x:c>
      <x:c r="K34" s="91" t="n">
        <x:f>'All Physical Cards'!K547</x:f>
        <x:v>70</x:v>
      </x:c>
      <x:c r="L34" s="91" t="n">
        <x:f>'All Physical Cards'!S547</x:f>
        <x:v>70</x:v>
      </x:c>
      <x:c r="M34" s="50" t="str">
        <x:f>'All Physical Cards'!P547</x:f>
        <x:v>Clean/NM benchmark unless noted</x:v>
      </x:c>
      <x:c r="N34" s="50" t="str">
        <x:v>Strong raw value with meaningful grading upside; Holo surface quality matters heavily; Popular Pokémon demand</x:v>
      </x:c>
      <x:c r="O34" s="50" t="str">
        <x:v>Inspect closely. Submit if roughly PSA 8/9+ caliber; 9/10 is ideal.</x:v>
      </x:c>
      <x:c r="P34" s="50" t="str">
        <x:v>Pre-grade now; prioritize for the first future PSA Value/special submission.</x:v>
      </x:c>
      <x:c r="Q34" s="50" t="str">
        <x:v>Not inspected</x:v>
      </x:c>
      <x:c r="R34" s="50" t="str">
        <x:v>Undecided</x:v>
      </x:c>
      <x:c r="S34" s="50" t="str">
        <x:f>'All Physical Cards'!W547</x:f>
        <x:v>https://www.pricecharting.com/game/pokemon-legendary-treasures/pikachu-rc7</x:v>
      </x:c>
      <x:c r="T34" s="115"/>
      <x:c r="U34" s="115"/>
      <x:c r="V34" s="115"/>
      <x:c r="W34" s="115"/>
      <x:c r="X34" s="20"/>
      <x:c r="Y34" s="20"/>
      <x:c r="Z34" s="20"/>
      <x:c r="AA34" s="20"/>
      <x:c r="AB34" s="20"/>
      <x:c r="AC34" s="20" t="str">
        <x:v>Reconciled grade value: PriceCharting baseline + exact PSA cert/sales-history cross-check where sufficiently useful. Recent PSA sale medians override PriceCharting when multiple exact sales were available; thin PSA data are flagged rather than extrapolated.</x:v>
      </x:c>
      <x:c r="AD34" s="20" t="str">
        <x:v>https://www.pricecharting.com/game/pokemon-legendary-treasures/pikachu-rc7</x:v>
      </x:c>
      <x:c r="AE34" s="131"/>
      <x:c r="AF34" s="131"/>
      <x:c r="AG34" s="131"/>
      <x:c r="AH34" s="131"/>
      <x:c r="AI34" s="131"/>
      <x:c r="AJ34" s="61"/>
      <x:c r="AK34" s="61" t="n">
        <x:v>96</x:v>
      </x:c>
      <x:c r="AL34" s="61" t="n">
        <x:v>139.9</x:v>
      </x:c>
      <x:c r="AM34" s="61" t="n">
        <x:v>305</x:v>
      </x:c>
      <x:c r="AN34" s="61" t="n">
        <x:v>2800</x:v>
      </x:c>
      <x:c r="AO34" s="61"/>
      <x:c r="AP34" s="61"/>
      <x:c r="AQ34" s="61"/>
      <x:c r="AR34" s="20" t="str">
        <x:v>PSA sales verified — PSA 9/10</x:v>
      </x:c>
      <x:c r="AS34" s="20" t="str">
        <x:v>Same exact RC7 printing as copy 1. Recent PSA 9 median ~$305; PSA 10 median ~$2,800. Sources: https://www.psacard.com/cert/75095454 and https://www.psacard.com/cert/57028672</x:v>
      </x:c>
      <x:c r="AT34" s="176" t="n">
        <x:v>364</x:v>
      </x:c>
      <x:c r="AU34" s="176" t="n">
        <x:v>663</x:v>
      </x:c>
      <x:c r="AV34" s="176" t="n">
        <x:v>1010</x:v>
      </x:c>
      <x:c r="AW34" s="176" t="n">
        <x:v>650</x:v>
      </x:c>
      <x:c r="AX34" s="176" t="n">
        <x:v>93</x:v>
      </x:c>
      <x:c r="AY34" s="176"/>
      <x:c r="AZ34" s="20" t="str">
        <x:v>https://www.psacard.com/fr-CA/cert/146932098 | https://www.psacard.com/cert/142070397/psa | https://www.psacard.com/fr-CA/cert/97374383/psa | https://www.psacard.com/en-CA/cert/75095454/psa</x:v>
      </x:c>
      <x:c r="BA34" s="20" t="str">
        <x:v>PSA direct cert populations for RC7; PSA 10 from PSA 9 Pop Higher.</x:v>
      </x:c>
    </x:row>
    <x:row r="35" ht="26.399999618530273" hidden="0" customHeight="1">
      <x:c r="A35" s="85" t="str">
        <x:v>A — Priority</x:v>
      </x:c>
      <x:c r="B35" s="86" t="n">
        <x:f>'All Physical Cards'!A629</x:f>
        <x:v>628</x:v>
      </x:c>
      <x:c r="C35" s="50" t="str">
        <x:f>'All Physical Cards'!C629</x:f>
        <x:v>Emolga</x:v>
      </x:c>
      <x:c r="D35" s="50" t="str">
        <x:f>'All Physical Cards'!D629</x:f>
        <x:v>RC23/RC25</x:v>
      </x:c>
      <x:c r="E35" s="50" t="str">
        <x:f>'All Physical Cards'!E629</x:f>
        <x:v>Legendary Treasures: Radiant Collection</x:v>
      </x:c>
      <x:c r="F35" s="50" t="n">
        <x:f>'All Physical Cards'!F629</x:f>
        <x:v>2013</x:v>
      </x:c>
      <x:c r="G35" s="50" t="str">
        <x:f>'All Physical Cards'!G629</x:f>
        <x:v>Full Art Holo Ultra Rare</x:v>
      </x:c>
      <x:c r="H35" s="50" t="str">
        <x:f>'All Physical Cards'!H629</x:f>
        <x:v>1 of 4</x:v>
      </x:c>
      <x:c r="I35" s="91" t="n">
        <x:f>'All Physical Cards'!I629</x:f>
        <x:v>45</x:v>
      </x:c>
      <x:c r="J35" s="91" t="n">
        <x:f>'All Physical Cards'!J629</x:f>
        <x:v>90</x:v>
      </x:c>
      <x:c r="K35" s="91" t="n">
        <x:f>'All Physical Cards'!K629</x:f>
        <x:v>67.5</x:v>
      </x:c>
      <x:c r="L35" s="91" t="n">
        <x:f>'All Physical Cards'!S629</x:f>
        <x:v>67.5</x:v>
      </x:c>
      <x:c r="M35" s="50" t="str">
        <x:f>'All Physical Cards'!P629</x:f>
        <x:v>Clean/NM benchmark unless noted</x:v>
      </x:c>
      <x:c r="N35" s="50" t="str">
        <x:v>Strong raw value with meaningful grading upside; Full Art collector demand</x:v>
      </x:c>
      <x:c r="O35" s="50" t="str">
        <x:v>Inspect closely. Submit if roughly PSA 8/9+ caliber; 9/10 is ideal.</x:v>
      </x:c>
      <x:c r="P35" s="50" t="str">
        <x:v>Pre-grade now; prioritize for the first future PSA Value/special submission.</x:v>
      </x:c>
      <x:c r="Q35" s="50" t="str">
        <x:v>Not inspected</x:v>
      </x:c>
      <x:c r="R35" s="50" t="str">
        <x:v>Undecided</x:v>
      </x:c>
      <x:c r="S35" s="50" t="str">
        <x:f>'All Physical Cards'!W629</x:f>
        <x:v>https://www.pricecharting.com/game/pokemon-legendary-treasures/emolga-rc23</x:v>
      </x:c>
      <x:c r="T35" s="115"/>
      <x:c r="U35" s="115"/>
      <x:c r="V35" s="115"/>
      <x:c r="W35" s="115"/>
      <x:c r="X35" s="20"/>
      <x:c r="Y35" s="20"/>
      <x:c r="Z35" s="20"/>
      <x:c r="AA35" s="20"/>
      <x:c r="AB35" s="20"/>
      <x:c r="AC35" s="20" t="str">
        <x:v>Reconciled grade value: PriceCharting baseline + exact PSA cert/sales-history cross-check where sufficiently useful. Recent PSA sale medians override PriceCharting when multiple exact sales were available; thin PSA data are flagged rather than extrapolated.</x:v>
      </x:c>
      <x:c r="AD35" s="20" t="str">
        <x:v>https://www.pricecharting.com/game/pokemon-legendary-treasures/emolga-rc23</x:v>
      </x:c>
      <x:c r="AE35" s="131"/>
      <x:c r="AF35" s="131"/>
      <x:c r="AG35" s="131"/>
      <x:c r="AH35" s="131"/>
      <x:c r="AI35" s="131"/>
      <x:c r="AJ35" s="61"/>
      <x:c r="AK35" s="61" t="n">
        <x:v>65</x:v>
      </x:c>
      <x:c r="AL35" s="61" t="n">
        <x:v>151.25</x:v>
      </x:c>
      <x:c r="AM35" s="61" t="n">
        <x:v>405</x:v>
      </x:c>
      <x:c r="AN35" s="61" t="n">
        <x:v>6999.99</x:v>
      </x:c>
      <x:c r="AO35" s="61"/>
      <x:c r="AP35" s="61"/>
      <x:c r="AQ35" s="61"/>
      <x:c r="AR35" s="20" t="str">
        <x:v>PSA sales verified — PSA 9/10</x:v>
      </x:c>
      <x:c r="AS35" s="20" t="str">
        <x:v>Exact Radiant Collection RC23. Recent PSA 9 median ~$405; PSA 10 median ~$6,999.99. Other grades retain PriceCharting. Sources: https://www.psacard.com/cert/70254743 and https://www.psacard.com/cert/59940931</x:v>
      </x:c>
      <x:c r="AT35" s="176"/>
      <x:c r="AU35" s="176" t="n">
        <x:v>450</x:v>
      </x:c>
      <x:c r="AV35" s="176"/>
      <x:c r="AW35" s="176" t="n">
        <x:v>251</x:v>
      </x:c>
      <x:c r="AX35" s="176" t="n">
        <x:v>45</x:v>
      </x:c>
      <x:c r="AY35" s="176"/>
      <x:c r="AZ35" s="20" t="str">
        <x:v>https://www.psacard.com/fr-CA/cert/129750453/psa | https://www.psacard.com/cert/70254743/psa</x:v>
      </x:c>
      <x:c r="BA35" s="20" t="str">
        <x:v>PSA direct cert populations for PSA 7 and 9; PSA 10 from PSA 9 Pop Higher. PSA 6/8 not directly resolved.</x:v>
      </x:c>
    </x:row>
    <x:row r="36" ht="26.399999618530273" hidden="0" customHeight="1">
      <x:c r="A36" s="85" t="str">
        <x:v>A — Priority</x:v>
      </x:c>
      <x:c r="B36" s="86" t="n">
        <x:f>'All Physical Cards'!A654</x:f>
        <x:v>653</x:v>
      </x:c>
      <x:c r="C36" s="50" t="str">
        <x:f>'All Physical Cards'!C654</x:f>
        <x:v>Emolga</x:v>
      </x:c>
      <x:c r="D36" s="50" t="str">
        <x:f>'All Physical Cards'!D654</x:f>
        <x:v>RC23/RC25</x:v>
      </x:c>
      <x:c r="E36" s="50" t="str">
        <x:f>'All Physical Cards'!E654</x:f>
        <x:v>Legendary Treasures: Radiant Collection</x:v>
      </x:c>
      <x:c r="F36" s="50" t="n">
        <x:f>'All Physical Cards'!F654</x:f>
        <x:v>2013</x:v>
      </x:c>
      <x:c r="G36" s="50" t="str">
        <x:f>'All Physical Cards'!G654</x:f>
        <x:v>Full Art Holo Ultra Rare</x:v>
      </x:c>
      <x:c r="H36" s="50" t="str">
        <x:f>'All Physical Cards'!H654</x:f>
        <x:v>2 of 4</x:v>
      </x:c>
      <x:c r="I36" s="91" t="n">
        <x:f>'All Physical Cards'!I654</x:f>
        <x:v>45</x:v>
      </x:c>
      <x:c r="J36" s="91" t="n">
        <x:f>'All Physical Cards'!J654</x:f>
        <x:v>90</x:v>
      </x:c>
      <x:c r="K36" s="91" t="n">
        <x:f>'All Physical Cards'!K654</x:f>
        <x:v>67.5</x:v>
      </x:c>
      <x:c r="L36" s="91" t="n">
        <x:f>'All Physical Cards'!S654</x:f>
        <x:v>67.5</x:v>
      </x:c>
      <x:c r="M36" s="50" t="str">
        <x:f>'All Physical Cards'!P654</x:f>
        <x:v>Clean/NM benchmark unless noted</x:v>
      </x:c>
      <x:c r="N36" s="50" t="str">
        <x:v>Strong raw value with meaningful grading upside; Full Art collector demand</x:v>
      </x:c>
      <x:c r="O36" s="50" t="str">
        <x:v>Inspect closely. Submit if roughly PSA 8/9+ caliber; 9/10 is ideal.</x:v>
      </x:c>
      <x:c r="P36" s="50" t="str">
        <x:v>Pre-grade now; prioritize for the first future PSA Value/special submission.</x:v>
      </x:c>
      <x:c r="Q36" s="50" t="str">
        <x:v>Not inspected</x:v>
      </x:c>
      <x:c r="R36" s="50" t="str">
        <x:v>Undecided</x:v>
      </x:c>
      <x:c r="S36" s="50" t="str">
        <x:f>'All Physical Cards'!W654</x:f>
        <x:v>https://www.pricecharting.com/game/pokemon-legendary-treasures/emolga-rc23</x:v>
      </x:c>
      <x:c r="T36" s="115"/>
      <x:c r="U36" s="115"/>
      <x:c r="V36" s="115"/>
      <x:c r="W36" s="115"/>
      <x:c r="X36" s="20"/>
      <x:c r="Y36" s="20"/>
      <x:c r="Z36" s="20"/>
      <x:c r="AA36" s="20"/>
      <x:c r="AB36" s="20"/>
      <x:c r="AC36" s="20" t="str">
        <x:v>Reconciled grade value: PriceCharting baseline + exact PSA cert/sales-history cross-check where sufficiently useful. Recent PSA sale medians override PriceCharting when multiple exact sales were available; thin PSA data are flagged rather than extrapolated.</x:v>
      </x:c>
      <x:c r="AD36" s="20" t="str">
        <x:v>https://www.pricecharting.com/game/pokemon-legendary-treasures/emolga-rc23</x:v>
      </x:c>
      <x:c r="AE36" s="131"/>
      <x:c r="AF36" s="131"/>
      <x:c r="AG36" s="131"/>
      <x:c r="AH36" s="131"/>
      <x:c r="AI36" s="131"/>
      <x:c r="AJ36" s="61"/>
      <x:c r="AK36" s="61" t="n">
        <x:v>65</x:v>
      </x:c>
      <x:c r="AL36" s="61" t="n">
        <x:v>151.25</x:v>
      </x:c>
      <x:c r="AM36" s="61" t="n">
        <x:v>405</x:v>
      </x:c>
      <x:c r="AN36" s="61" t="n">
        <x:v>6999.99</x:v>
      </x:c>
      <x:c r="AO36" s="61"/>
      <x:c r="AP36" s="61"/>
      <x:c r="AQ36" s="61"/>
      <x:c r="AR36" s="20" t="str">
        <x:v>PSA sales verified — PSA 9/10</x:v>
      </x:c>
      <x:c r="AS36" s="20" t="str">
        <x:v>Same exact RC23 printing as copy 1. Recent PSA 9 median ~$405; PSA 10 median ~$6,999.99. Sources: https://www.psacard.com/cert/70254743 and https://www.psacard.com/cert/59940931</x:v>
      </x:c>
      <x:c r="AT36" s="176"/>
      <x:c r="AU36" s="176" t="n">
        <x:v>450</x:v>
      </x:c>
      <x:c r="AV36" s="176"/>
      <x:c r="AW36" s="176" t="n">
        <x:v>251</x:v>
      </x:c>
      <x:c r="AX36" s="176" t="n">
        <x:v>45</x:v>
      </x:c>
      <x:c r="AY36" s="176"/>
      <x:c r="AZ36" s="20" t="str">
        <x:v>https://www.psacard.com/fr-CA/cert/129750453/psa | https://www.psacard.com/cert/70254743/psa</x:v>
      </x:c>
      <x:c r="BA36" s="20" t="str">
        <x:v>PSA direct cert populations for PSA 7 and 9; PSA 10 from PSA 9 Pop Higher. PSA 6/8 not directly resolved.</x:v>
      </x:c>
    </x:row>
    <x:row r="37" ht="26.399999618530273" hidden="0" customHeight="1">
      <x:c r="A37" s="88" t="str">
        <x:v>B — Strong</x:v>
      </x:c>
      <x:c r="B37" s="86" t="n">
        <x:f>'All Physical Cards'!A652</x:f>
        <x:v>651</x:v>
      </x:c>
      <x:c r="C37" s="50" t="str">
        <x:f>'All Physical Cards'!C652</x:f>
        <x:v>Registeel-EX</x:v>
      </x:c>
      <x:c r="D37" s="50" t="str">
        <x:f>'All Physical Cards'!D652</x:f>
        <x:v>122/124</x:v>
      </x:c>
      <x:c r="E37" s="50" t="str">
        <x:f>'All Physical Cards'!E652</x:f>
        <x:v>Dragons Exalted</x:v>
      </x:c>
      <x:c r="F37" s="50" t="n">
        <x:f>'All Physical Cards'!F652</x:f>
        <x:v>2012</x:v>
      </x:c>
      <x:c r="G37" s="50" t="str">
        <x:f>'All Physical Cards'!G652</x:f>
        <x:v>Full Art Holo Ultra Rare</x:v>
      </x:c>
      <x:c r="H37" s="50" t="str">
        <x:f>'All Physical Cards'!H652</x:f>
        <x:v>1 of 2</x:v>
      </x:c>
      <x:c r="I37" s="91" t="n">
        <x:f>'All Physical Cards'!I652</x:f>
        <x:v>45</x:v>
      </x:c>
      <x:c r="J37" s="91" t="n">
        <x:f>'All Physical Cards'!J652</x:f>
        <x:v>70</x:v>
      </x:c>
      <x:c r="K37" s="91" t="n">
        <x:f>'All Physical Cards'!K652</x:f>
        <x:v>57.5</x:v>
      </x:c>
      <x:c r="L37" s="91" t="n">
        <x:f>'All Physical Cards'!S652</x:f>
        <x:v>57.5</x:v>
      </x:c>
      <x:c r="M37" s="50" t="str">
        <x:f>'All Physical Cards'!P652</x:f>
        <x:v>Clean/NM benchmark unless noted</x:v>
      </x:c>
      <x:c r="N37" s="50" t="str">
        <x:v>Meaningful raw value; grade can add collector premium; Full Art collector demand</x:v>
      </x:c>
      <x:c r="O37" s="50" t="str">
        <x:v>Submit if clearly NM/Mint with no meaningful whitening, scratches, dents or centering issue.</x:v>
      </x:c>
      <x:c r="P37" s="50" t="str">
        <x:v>Good future Value-tier candidate after photo inspection.</x:v>
      </x:c>
      <x:c r="Q37" s="50" t="str">
        <x:v>Not inspected</x:v>
      </x:c>
      <x:c r="R37" s="50" t="str">
        <x:v>Undecided</x:v>
      </x:c>
      <x:c r="S37" s="50" t="str">
        <x:f>'All Physical Cards'!W652</x:f>
        <x:v>https://www.pricecharting.com/game/pokemon-dragons-exalted/registeel-ex-122</x:v>
      </x:c>
      <x:c r="T37" s="115"/>
      <x:c r="U37" s="115"/>
      <x:c r="V37" s="115"/>
      <x:c r="W37" s="115"/>
      <x:c r="X37" s="20"/>
      <x:c r="Y37" s="20"/>
      <x:c r="Z37" s="20"/>
      <x:c r="AA37" s="20"/>
      <x:c r="AB37" s="20"/>
      <x:c r="AC37" s="20" t="str">
        <x:v>PriceCharting baseline retained. Exact PSA sales data were not sufficiently useful/available in the verification pass; no unrelated printing or variant was substituted.</x:v>
      </x:c>
      <x:c r="AD37" s="20" t="str">
        <x:v>https://www.pricecharting.com/game/pokemon-dragons-exalted/registeel-ex-122</x:v>
      </x:c>
      <x:c r="AE37" s="131"/>
      <x:c r="AF37" s="131"/>
      <x:c r="AG37" s="131"/>
      <x:c r="AH37" s="131"/>
      <x:c r="AI37" s="131"/>
      <x:c r="AJ37" s="61"/>
      <x:c r="AK37" s="61" t="n">
        <x:v>79.99</x:v>
      </x:c>
      <x:c r="AL37" s="61" t="n">
        <x:v>172.5</x:v>
      </x:c>
      <x:c r="AM37" s="61" t="n">
        <x:v>306.71</x:v>
      </x:c>
      <x:c r="AN37" s="61" t="n">
        <x:v>719.84</x:v>
      </x:c>
      <x:c r="AO37" s="61"/>
      <x:c r="AP37" s="61"/>
      <x:c r="AQ37" s="61"/>
      <x:c r="AR37" s="20" t="str">
        <x:v>PriceCharting baseline</x:v>
      </x:c>
      <x:c r="AS37" s="20" t="str">
        <x:v>PriceCharting grade value retained where an exact, sufficiently useful PSA sales cross-check was not found. No unrelated printing/variant was substituted.</x:v>
      </x:c>
      <x:c r="AT37" s="176" t="n">
        <x:v>22</x:v>
      </x:c>
      <x:c r="AU37" s="176" t="n">
        <x:v>45</x:v>
      </x:c>
      <x:c r="AV37" s="176" t="n">
        <x:v>106</x:v>
      </x:c>
      <x:c r="AW37" s="176" t="n">
        <x:v>93</x:v>
      </x:c>
      <x:c r="AX37" s="176" t="n">
        <x:v>12</x:v>
      </x:c>
      <x:c r="AY37" s="176" t="n">
        <x:v>295</x:v>
      </x:c>
      <x:c r="AZ37" s="20" t="str">
        <x:v>https://www.psacard.com/auctionprices/tcg-cards/pokemon-black-white-dragons-exalted/full-art-registeel-ex-holo/1910670</x:v>
      </x:c>
      <x:c r="BA37" s="20" t="str">
        <x:v>PSA official Auction Prices/Population table for the exact printing. Total includes grades outside 6–10.</x:v>
      </x:c>
    </x:row>
    <x:row r="38" ht="26.399999618530273" hidden="0" customHeight="1">
      <x:c r="A38" s="88" t="str">
        <x:v>B — Strong</x:v>
      </x:c>
      <x:c r="B38" s="86" t="n">
        <x:f>'All Physical Cards'!A398</x:f>
        <x:v>397</x:v>
      </x:c>
      <x:c r="C38" s="50" t="str">
        <x:f>'All Physical Cards'!C398</x:f>
        <x:v>Arcanine</x:v>
      </x:c>
      <x:c r="D38" s="50" t="str">
        <x:f>'All Physical Cards'!D398</x:f>
        <x:v>1/111</x:v>
      </x:c>
      <x:c r="E38" s="50" t="str">
        <x:f>'All Physical Cards'!E398</x:f>
        <x:v>Rising Rivals</x:v>
      </x:c>
      <x:c r="F38" s="50" t="n">
        <x:f>'All Physical Cards'!F398</x:f>
        <x:v>2009</x:v>
      </x:c>
      <x:c r="G38" s="50" t="str">
        <x:f>'All Physical Cards'!G398</x:f>
        <x:v>Holofoil (LV.53)</x:v>
      </x:c>
      <x:c r="H38" s="50" t="str">
        <x:f>'All Physical Cards'!H398</x:f>
        <x:v>1 of 2</x:v>
      </x:c>
      <x:c r="I38" s="91" t="n">
        <x:f>'All Physical Cards'!I398</x:f>
        <x:v>48</x:v>
      </x:c>
      <x:c r="J38" s="91" t="n">
        <x:f>'All Physical Cards'!J398</x:f>
        <x:v>65</x:v>
      </x:c>
      <x:c r="K38" s="91" t="n">
        <x:f>'All Physical Cards'!K398</x:f>
        <x:v>56.5</x:v>
      </x:c>
      <x:c r="L38" s="91" t="n">
        <x:f>'All Physical Cards'!S398</x:f>
        <x:v>56.5</x:v>
      </x:c>
      <x:c r="M38" s="50" t="str">
        <x:f>'All Physical Cards'!P398</x:f>
        <x:v>Clean/NM benchmark unless noted</x:v>
      </x:c>
      <x:c r="N38" s="50" t="str">
        <x:v>Meaningful raw value; grade can add collector premium; Holo surface quality matters heavily; Popular Pokémon demand</x:v>
      </x:c>
      <x:c r="O38" s="50" t="str">
        <x:v>Submit if clearly NM/Mint with no meaningful whitening, scratches, dents or centering issue.</x:v>
      </x:c>
      <x:c r="P38" s="50" t="str">
        <x:v>Good future Value-tier candidate after photo inspection.</x:v>
      </x:c>
      <x:c r="Q38" s="50" t="str">
        <x:v>Not inspected</x:v>
      </x:c>
      <x:c r="R38" s="50" t="str">
        <x:v>Undecided</x:v>
      </x:c>
      <x:c r="S38" s="50" t="str">
        <x:f>'All Physical Cards'!W398</x:f>
        <x:v>https://www.tcgplayer.com/product/83585/pokemon-rising-rivals-arcanine</x:v>
      </x:c>
      <x:c r="T38" s="115"/>
      <x:c r="U38" s="115"/>
      <x:c r="V38" s="115"/>
      <x:c r="W38" s="115"/>
      <x:c r="X38" s="20"/>
      <x:c r="Y38" s="20"/>
      <x:c r="Z38" s="20"/>
      <x:c r="AA38" s="20"/>
      <x:c r="AB38" s="20"/>
      <x:c r="AC38" s="20" t="str">
        <x:v>PriceCharting baseline retained. Exact PSA sales data were not sufficiently useful/available in the verification pass; no unrelated printing or variant was substituted.</x:v>
      </x:c>
      <x:c r="AD38" s="20" t="str">
        <x:v>https://www.pricecharting.com/game/pokemon-rising-rivals/arcanine-1</x:v>
      </x:c>
      <x:c r="AE38" s="131"/>
      <x:c r="AF38" s="131"/>
      <x:c r="AG38" s="131"/>
      <x:c r="AH38" s="131"/>
      <x:c r="AI38" s="131"/>
      <x:c r="AJ38" s="61"/>
      <x:c r="AK38" s="61" t="n">
        <x:v>34.36</x:v>
      </x:c>
      <x:c r="AL38" s="61" t="n">
        <x:v>106.28</x:v>
      </x:c>
      <x:c r="AM38" s="61" t="n">
        <x:v>152.25</x:v>
      </x:c>
      <x:c r="AN38" s="61" t="n">
        <x:v>510</x:v>
      </x:c>
      <x:c r="AO38" s="61"/>
      <x:c r="AP38" s="61"/>
      <x:c r="AQ38" s="61"/>
      <x:c r="AR38" s="20" t="str">
        <x:v>PriceCharting baseline</x:v>
      </x:c>
      <x:c r="AS38" s="20" t="str">
        <x:v>PriceCharting grade value retained where an exact, sufficiently useful PSA sales cross-check was not found. No unrelated printing/variant was substituted.</x:v>
      </x:c>
      <x:c r="AT38" s="176"/>
      <x:c r="AU38" s="176"/>
      <x:c r="AV38" s="176" t="n">
        <x:v>135</x:v>
      </x:c>
      <x:c r="AW38" s="176" t="n">
        <x:v>70</x:v>
      </x:c>
      <x:c r="AX38" s="176" t="n">
        <x:v>8</x:v>
      </x:c>
      <x:c r="AY38" s="176"/>
      <x:c r="AZ38" s="20" t="str">
        <x:v>https://www.psacard.com/cert/54530175/psa | https://www.psacard.com/cert/74647153/psa</x:v>
      </x:c>
      <x:c r="BA38" s="20" t="str">
        <x:v>PSA direct cert populations checked on 2026-08-17. PSA 10 from PSA 9 Pop Higher. PSA 6/7 not directly resolved.</x:v>
      </x:c>
    </x:row>
    <x:row r="39" ht="26.399999618530273" hidden="0" customHeight="1">
      <x:c r="A39" s="88" t="str">
        <x:v>B — Strong</x:v>
      </x:c>
      <x:c r="B39" s="86" t="n">
        <x:f>'All Physical Cards'!A408</x:f>
        <x:v>407</x:v>
      </x:c>
      <x:c r="C39" s="50" t="str">
        <x:f>'All Physical Cards'!C408</x:f>
        <x:v>Ninetales</x:v>
      </x:c>
      <x:c r="D39" s="50" t="str">
        <x:f>'All Physical Cards'!D408</x:f>
        <x:v>17/95</x:v>
      </x:c>
      <x:c r="E39" s="50" t="str">
        <x:f>'All Physical Cards'!E408</x:f>
        <x:v>Call of Legends</x:v>
      </x:c>
      <x:c r="F39" s="50" t="n">
        <x:f>'All Physical Cards'!F408</x:f>
        <x:v>2011</x:v>
      </x:c>
      <x:c r="G39" s="50" t="str">
        <x:f>'All Physical Cards'!G408</x:f>
        <x:v>Reverse Holo</x:v>
      </x:c>
      <x:c r="H39" s="50" t="str">
        <x:f>'All Physical Cards'!H408</x:f>
        <x:v>1 of 2</x:v>
      </x:c>
      <x:c r="I39" s="91" t="n">
        <x:f>'All Physical Cards'!I408</x:f>
        <x:v>48</x:v>
      </x:c>
      <x:c r="J39" s="91" t="n">
        <x:f>'All Physical Cards'!J408</x:f>
        <x:v>63</x:v>
      </x:c>
      <x:c r="K39" s="91" t="n">
        <x:f>'All Physical Cards'!K408</x:f>
        <x:v>55.5</x:v>
      </x:c>
      <x:c r="L39" s="91" t="n">
        <x:f>'All Physical Cards'!S408</x:f>
        <x:v>55.5</x:v>
      </x:c>
      <x:c r="M39" s="50" t="str">
        <x:f>'All Physical Cards'!P408</x:f>
        <x:v>Clean/NM benchmark unless noted</x:v>
      </x:c>
      <x:c r="N39" s="50" t="str">
        <x:v>Meaningful raw value; grade can add collector premium; Older reverse holo; clean copies are condition-sensitive; Popular Pokémon demand</x:v>
      </x:c>
      <x:c r="O39" s="50" t="str">
        <x:v>Submit if clearly NM/Mint with no meaningful whitening, scratches, dents or centering issue.</x:v>
      </x:c>
      <x:c r="P39" s="50" t="str">
        <x:v>Good future Value-tier candidate after photo inspection.</x:v>
      </x:c>
      <x:c r="Q39" s="50" t="str">
        <x:v>Not inspected</x:v>
      </x:c>
      <x:c r="R39" s="50" t="str">
        <x:v>Undecided</x:v>
      </x:c>
      <x:c r="S39" s="50" t="str">
        <x:f>'All Physical Cards'!W408</x:f>
        <x:v>https://www.tcgplayer.com/categories/trading-and-collectible-card-games/pokemon/price-guides/call-of-legends</x:v>
      </x:c>
      <x:c r="T39" s="115"/>
      <x:c r="U39" s="115"/>
      <x:c r="V39" s="115"/>
      <x:c r="W39" s="115"/>
      <x:c r="X39" s="20"/>
      <x:c r="Y39" s="20"/>
      <x:c r="Z39" s="20"/>
      <x:c r="AA39" s="20"/>
      <x:c r="AB39" s="20"/>
      <x:c r="AC39" s="20" t="str">
        <x:v>PriceCharting baseline retained. Exact PSA sales data were not sufficiently useful/available in the verification pass; no unrelated printing or variant was substituted.</x:v>
      </x:c>
      <x:c r="AD39" s="20" t="str">
        <x:v>https://www.pricecharting.com/game/pokemon-call-of-legends/ninetales-reverse-holo-17</x:v>
      </x:c>
      <x:c r="AE39" s="131"/>
      <x:c r="AF39" s="131"/>
      <x:c r="AG39" s="131"/>
      <x:c r="AH39" s="131"/>
      <x:c r="AI39" s="131"/>
      <x:c r="AJ39" s="61"/>
      <x:c r="AK39" s="61" t="n">
        <x:v>39.08</x:v>
      </x:c>
      <x:c r="AL39" s="61" t="n">
        <x:v>48.99</x:v>
      </x:c>
      <x:c r="AM39" s="61" t="n">
        <x:v>48.99</x:v>
      </x:c>
      <x:c r="AN39" s="61" t="n">
        <x:v>386.77</x:v>
      </x:c>
      <x:c r="AO39" s="61"/>
      <x:c r="AP39" s="61"/>
      <x:c r="AQ39" s="61"/>
      <x:c r="AR39" s="20" t="str">
        <x:v>PriceCharting baseline</x:v>
      </x:c>
      <x:c r="AS39" s="20" t="str">
        <x:v>PriceCharting grade value retained where an exact, sufficiently useful PSA sales cross-check was not found. No unrelated printing/variant was substituted.</x:v>
      </x:c>
      <x:c r="AT39" s="176"/>
      <x:c r="AU39" s="176"/>
      <x:c r="AV39" s="176"/>
      <x:c r="AW39" s="176"/>
      <x:c r="AX39" s="176"/>
      <x:c r="AY39" s="176"/>
      <x:c r="AZ39" s="20" t="str">
        <x:v>https://www.psacard.com/Pop</x:v>
      </x:c>
      <x:c r="BA39" s="20" t="str">
        <x:v>PSA-direct population for this exact printing/grade was not confidently resolved from PSA's accessible/indexed pages on 2026-08-17. Prior PriceCharting/Pikawiz population figures were removed rather than retained.</x:v>
      </x:c>
    </x:row>
    <x:row r="40" ht="39.599998474121094" hidden="0" customHeight="1">
      <x:c r="A40" s="88" t="str">
        <x:v>B — Strong</x:v>
      </x:c>
      <x:c r="B40" s="86" t="n">
        <x:f>'All Physical Cards'!A81</x:f>
        <x:v>80</x:v>
      </x:c>
      <x:c r="C40" s="50" t="str">
        <x:f>'All Physical Cards'!C81</x:f>
        <x:v>Tropical Beach</x:v>
      </x:c>
      <x:c r="D40" s="50" t="str">
        <x:f>'All Physical Cards'!D81</x:f>
        <x:v>BW28</x:v>
      </x:c>
      <x:c r="E40" s="50" t="str">
        <x:f>'All Physical Cards'!E81</x:f>
        <x:v>2011 World Championships</x:v>
      </x:c>
      <x:c r="F40" s="50" t="n">
        <x:f>'All Physical Cards'!F81</x:f>
        <x:v>2011</x:v>
      </x:c>
      <x:c r="G40" s="50" t="str">
        <x:f>'All Physical Cards'!G81</x:f>
        <x:v>Gray-border WC deck version</x:v>
      </x:c>
      <x:c r="H40" s="50" t="str">
        <x:f>'All Physical Cards'!H81</x:f>
        <x:v>1 of 1</x:v>
      </x:c>
      <x:c r="I40" s="91" t="n">
        <x:f>'All Physical Cards'!I81</x:f>
        <x:v>40</x:v>
      </x:c>
      <x:c r="J40" s="91" t="n">
        <x:f>'All Physical Cards'!J81</x:f>
        <x:v>70</x:v>
      </x:c>
      <x:c r="K40" s="91" t="n">
        <x:f>'All Physical Cards'!K81</x:f>
        <x:v>55</x:v>
      </x:c>
      <x:c r="L40" s="91" t="n">
        <x:f>'All Physical Cards'!S81</x:f>
        <x:v>55</x:v>
      </x:c>
      <x:c r="M40" s="50" t="str">
        <x:f>'All Physical Cards'!P81</x:f>
        <x:v>Clean/NM benchmark unless noted</x:v>
      </x:c>
      <x:c r="N40" s="50" t="str">
        <x:v>Meaningful raw value; grade can add collector premium; WC printing is niche; grade only with strong eye appeal</x:v>
      </x:c>
      <x:c r="O40" s="50" t="str">
        <x:v>Submit if clearly NM/Mint with no meaningful whitening, scratches, dents or centering issue.</x:v>
      </x:c>
      <x:c r="P40" s="50" t="str">
        <x:v>Good future Value-tier candidate after photo inspection.</x:v>
      </x:c>
      <x:c r="Q40" s="50" t="str">
        <x:v>Not inspected</x:v>
      </x:c>
      <x:c r="R40" s="50" t="str">
        <x:v>Undecided</x:v>
      </x:c>
      <x:c r="S40" s="50" t="n">
        <x:f>'All Physical Cards'!W81</x:f>
        <x:v>0</x:v>
      </x:c>
      <x:c r="T40" s="115"/>
      <x:c r="U40" s="115"/>
      <x:c r="V40" s="115"/>
      <x:c r="W40" s="115"/>
      <x:c r="X40" s="20"/>
      <x:c r="Y40" s="20"/>
      <x:c r="Z40" s="20"/>
      <x:c r="AA40" s="20"/>
      <x:c r="AB40" s="20"/>
      <x:c r="AC40" s="20" t="str">
        <x:v>PriceCharting baseline retained. Exact PSA sales data were not sufficiently useful/available in the verification pass; no unrelated printing or variant was substituted.</x:v>
      </x:c>
      <x:c r="AD40" s="20"/>
      <x:c r="AE40" s="131"/>
      <x:c r="AF40" s="131"/>
      <x:c r="AG40" s="131"/>
      <x:c r="AH40" s="131"/>
      <x:c r="AI40" s="131"/>
      <x:c r="AJ40" s="61"/>
      <x:c r="AK40" s="61"/>
      <x:c r="AL40" s="61"/>
      <x:c r="AM40" s="61"/>
      <x:c r="AN40" s="61"/>
      <x:c r="AO40" s="61"/>
      <x:c r="AP40" s="61"/>
      <x:c r="AQ40" s="61"/>
      <x:c r="AR40" s="20" t="str">
        <x:v>PriceCharting baseline</x:v>
      </x:c>
      <x:c r="AS40" s="20" t="str">
        <x:v>PriceCharting grade value retained where an exact, sufficiently useful PSA sales cross-check was not found. No unrelated printing/variant was substituted.</x:v>
      </x:c>
      <x:c r="AT40" s="176"/>
      <x:c r="AU40" s="176"/>
      <x:c r="AV40" s="176"/>
      <x:c r="AW40" s="176"/>
      <x:c r="AX40" s="176"/>
      <x:c r="AY40" s="176"/>
      <x:c r="AZ40" s="20" t="str">
        <x:v>https://www.psacard.com/Pop</x:v>
      </x:c>
      <x:c r="BA40" s="20" t="str">
        <x:v>Exact gray-border 2011 World Championships Tropical Beach deck printing was not confidently separated from trophy/promo populations on PSA; left blank rather than mix printings.</x:v>
      </x:c>
    </x:row>
    <x:row r="41" ht="26.399999618530273" hidden="0" customHeight="1">
      <x:c r="A41" s="88" t="str">
        <x:v>B — Strong</x:v>
      </x:c>
      <x:c r="B41" s="86" t="n">
        <x:f>'All Physical Cards'!A275</x:f>
        <x:v>274</x:v>
      </x:c>
      <x:c r="C41" s="50" t="str">
        <x:f>'All Physical Cards'!C275</x:f>
        <x:v>Absol G</x:v>
      </x:c>
      <x:c r="D41" s="50" t="str">
        <x:f>'All Physical Cards'!D275</x:f>
        <x:v>1/147</x:v>
      </x:c>
      <x:c r="E41" s="50" t="str">
        <x:f>'All Physical Cards'!E275</x:f>
        <x:v>Supreme Victors</x:v>
      </x:c>
      <x:c r="F41" s="50" t="n">
        <x:f>'All Physical Cards'!F275</x:f>
        <x:v>2009</x:v>
      </x:c>
      <x:c r="G41" s="50" t="str">
        <x:f>'All Physical Cards'!G275</x:f>
        <x:v>Reverse Holo</x:v>
      </x:c>
      <x:c r="H41" s="50" t="str">
        <x:f>'All Physical Cards'!H275</x:f>
        <x:v>1 of 2</x:v>
      </x:c>
      <x:c r="I41" s="91" t="n">
        <x:f>'All Physical Cards'!I275</x:f>
        <x:v>40</x:v>
      </x:c>
      <x:c r="J41" s="91" t="n">
        <x:f>'All Physical Cards'!J275</x:f>
        <x:v>45</x:v>
      </x:c>
      <x:c r="K41" s="91" t="n">
        <x:f>'All Physical Cards'!K275</x:f>
        <x:v>42.5</x:v>
      </x:c>
      <x:c r="L41" s="91" t="n">
        <x:f>'All Physical Cards'!S275</x:f>
        <x:v>42.5</x:v>
      </x:c>
      <x:c r="M41" s="50" t="str">
        <x:f>'All Physical Cards'!P275</x:f>
        <x:v>Clean/NM benchmark unless noted</x:v>
      </x:c>
      <x:c r="N41" s="50" t="str">
        <x:v>Meaningful raw value; grade can add collector premium; Older reverse holo; clean copies are condition-sensitive; Older card; high-grade supply is naturally thinner</x:v>
      </x:c>
      <x:c r="O41" s="50" t="str">
        <x:v>Submit if clearly NM/Mint with no meaningful whitening, scratches, dents or centering issue.</x:v>
      </x:c>
      <x:c r="P41" s="50" t="str">
        <x:v>Good future Value-tier candidate after photo inspection.</x:v>
      </x:c>
      <x:c r="Q41" s="50" t="str">
        <x:v>Not inspected</x:v>
      </x:c>
      <x:c r="R41" s="50" t="str">
        <x:v>Undecided</x:v>
      </x:c>
      <x:c r="S41" s="50" t="str">
        <x:f>'All Physical Cards'!W275</x:f>
        <x:v>https://www.tcgplayer.com/categories/trading-and-collectible-card-games/pokemon/price-guides/supreme-victors</x:v>
      </x:c>
      <x:c r="T41" s="115"/>
      <x:c r="U41" s="115"/>
      <x:c r="V41" s="115"/>
      <x:c r="W41" s="115"/>
      <x:c r="X41" s="20"/>
      <x:c r="Y41" s="20"/>
      <x:c r="Z41" s="20"/>
      <x:c r="AA41" s="20"/>
      <x:c r="AB41" s="20"/>
      <x:c r="AC41" s="20" t="str">
        <x:v>PriceCharting baseline retained. Exact PSA sales data were not sufficiently useful/available in the verification pass; no unrelated printing or variant was substituted.</x:v>
      </x:c>
      <x:c r="AD41" s="20" t="str">
        <x:v>https://www.pricecharting.com/game/pokemon-supreme-victors/absol-g-reverse-holo-1</x:v>
      </x:c>
      <x:c r="AE41" s="131"/>
      <x:c r="AF41" s="131"/>
      <x:c r="AG41" s="131"/>
      <x:c r="AH41" s="131"/>
      <x:c r="AI41" s="131"/>
      <x:c r="AJ41" s="61"/>
      <x:c r="AK41" s="61" t="n">
        <x:v>15.5</x:v>
      </x:c>
      <x:c r="AL41" s="61" t="n">
        <x:v>27</x:v>
      </x:c>
      <x:c r="AM41" s="61" t="n">
        <x:v>125</x:v>
      </x:c>
      <x:c r="AN41" s="61" t="n">
        <x:v>437.69</x:v>
      </x:c>
      <x:c r="AO41" s="61"/>
      <x:c r="AP41" s="61"/>
      <x:c r="AQ41" s="61"/>
      <x:c r="AR41" s="20" t="str">
        <x:v>PriceCharting baseline</x:v>
      </x:c>
      <x:c r="AS41" s="20" t="str">
        <x:v>PriceCharting grade value retained where an exact, sufficiently useful PSA sales cross-check was not found. No unrelated printing/variant was substituted.</x:v>
      </x:c>
      <x:c r="AT41" s="176"/>
      <x:c r="AU41" s="176"/>
      <x:c r="AV41" s="176" t="n">
        <x:v>20</x:v>
      </x:c>
      <x:c r="AW41" s="176"/>
      <x:c r="AX41" s="176"/>
      <x:c r="AY41" s="176"/>
      <x:c r="AZ41" s="20" t="str">
        <x:v>https://www.psacard.com/cert/60935070/psa</x:v>
      </x:c>
      <x:c r="BA41" s="20" t="str">
        <x:v>PSA direct cert population for PSA 8. Its Pop Higher is 30, but PSA 9/10 are left blank rather than splitting that figure without direct grade pages.</x:v>
      </x:c>
    </x:row>
    <x:row r="42" ht="26.399999618530273" hidden="0" customHeight="1">
      <x:c r="A42" s="88" t="str">
        <x:v>B — Strong</x:v>
      </x:c>
      <x:c r="B42" s="86" t="n">
        <x:f>'All Physical Cards'!A441</x:f>
        <x:v>440</x:v>
      </x:c>
      <x:c r="C42" s="50" t="str">
        <x:f>'All Physical Cards'!C441</x:f>
        <x:v>Cubone</x:v>
      </x:c>
      <x:c r="D42" s="50" t="str">
        <x:f>'All Physical Cards'!D441</x:f>
        <x:v>60/102</x:v>
      </x:c>
      <x:c r="E42" s="50" t="str">
        <x:f>'All Physical Cards'!E441</x:f>
        <x:v>Triumphant</x:v>
      </x:c>
      <x:c r="F42" s="50" t="n">
        <x:f>'All Physical Cards'!F441</x:f>
        <x:v>2010</x:v>
      </x:c>
      <x:c r="G42" s="50" t="str">
        <x:f>'All Physical Cards'!G441</x:f>
        <x:v>Reverse Holo</x:v>
      </x:c>
      <x:c r="H42" s="50" t="str">
        <x:f>'All Physical Cards'!H441</x:f>
        <x:v>1 of 2</x:v>
      </x:c>
      <x:c r="I42" s="91" t="n">
        <x:f>'All Physical Cards'!I441</x:f>
        <x:v>30</x:v>
      </x:c>
      <x:c r="J42" s="91" t="n">
        <x:f>'All Physical Cards'!J441</x:f>
        <x:v>50</x:v>
      </x:c>
      <x:c r="K42" s="91" t="n">
        <x:f>'All Physical Cards'!K441</x:f>
        <x:v>40</x:v>
      </x:c>
      <x:c r="L42" s="91" t="n">
        <x:f>'All Physical Cards'!S441</x:f>
        <x:v>40</x:v>
      </x:c>
      <x:c r="M42" s="50" t="str">
        <x:f>'All Physical Cards'!P441</x:f>
        <x:v>Clean/NM benchmark unless noted</x:v>
      </x:c>
      <x:c r="N42" s="50" t="str">
        <x:v>Meaningful raw value; grade can add collector premium; Older reverse holo; clean copies are condition-sensitive; Older card; high-grade supply is naturally thinner</x:v>
      </x:c>
      <x:c r="O42" s="50" t="str">
        <x:v>Submit if clearly NM/Mint with no meaningful whitening, scratches, dents or centering issue.</x:v>
      </x:c>
      <x:c r="P42" s="50" t="str">
        <x:v>Good future Value-tier candidate after photo inspection.</x:v>
      </x:c>
      <x:c r="Q42" s="50" t="str">
        <x:v>Not inspected</x:v>
      </x:c>
      <x:c r="R42" s="50" t="str">
        <x:v>Undecided</x:v>
      </x:c>
      <x:c r="S42" s="50" t="str">
        <x:f>'All Physical Cards'!W441</x:f>
        <x:v>https://www.pricecharting.com/game/pokemon-triumphant/cubone-reverse-holo-60</x:v>
      </x:c>
      <x:c r="T42" s="115"/>
      <x:c r="U42" s="115"/>
      <x:c r="V42" s="115"/>
      <x:c r="W42" s="115"/>
      <x:c r="X42" s="20"/>
      <x:c r="Y42" s="20"/>
      <x:c r="Z42" s="20"/>
      <x:c r="AA42" s="20"/>
      <x:c r="AB42" s="20"/>
      <x:c r="AC42" s="20" t="str">
        <x:v>PriceCharting baseline retained. Exact PSA sales data were not sufficiently useful/available in the verification pass; no unrelated printing or variant was substituted.</x:v>
      </x:c>
      <x:c r="AD42" s="20" t="str">
        <x:v>https://www.pricecharting.com/game/pokemon-triumphant/cubone-reverse-holo-60</x:v>
      </x:c>
      <x:c r="AE42" s="131"/>
      <x:c r="AF42" s="131"/>
      <x:c r="AG42" s="131"/>
      <x:c r="AH42" s="131"/>
      <x:c r="AI42" s="131"/>
      <x:c r="AJ42" s="61"/>
      <x:c r="AK42" s="61"/>
      <x:c r="AL42" s="61"/>
      <x:c r="AM42" s="61" t="n">
        <x:v>16.04</x:v>
      </x:c>
      <x:c r="AN42" s="61" t="n">
        <x:v>481.86</x:v>
      </x:c>
      <x:c r="AO42" s="61"/>
      <x:c r="AP42" s="61"/>
      <x:c r="AQ42" s="61"/>
      <x:c r="AR42" s="20" t="str">
        <x:v>PriceCharting baseline</x:v>
      </x:c>
      <x:c r="AS42" s="20" t="str">
        <x:v>PriceCharting grade value retained where an exact, sufficiently useful PSA sales cross-check was not found. No unrelated printing/variant was substituted.</x:v>
      </x:c>
      <x:c r="AT42" s="176"/>
      <x:c r="AU42" s="176"/>
      <x:c r="AV42" s="176"/>
      <x:c r="AW42" s="176"/>
      <x:c r="AX42" s="176"/>
      <x:c r="AY42" s="176"/>
      <x:c r="AZ42" s="20" t="str">
        <x:v>https://www.psacard.com/Pop</x:v>
      </x:c>
      <x:c r="BA42" s="20" t="str">
        <x:v>PSA-direct population for this exact printing/grade was not confidently resolved from PSA's accessible/indexed pages on 2026-08-17. Prior PriceCharting/Pikawiz population figures were removed rather than retained.</x:v>
      </x:c>
    </x:row>
    <x:row r="43" ht="26.399999618530273" hidden="0" customHeight="1">
      <x:c r="A43" s="88" t="str">
        <x:v>B — Strong</x:v>
      </x:c>
      <x:c r="B43" s="86" t="n">
        <x:f>'All Physical Cards'!A424</x:f>
        <x:v>423</x:v>
      </x:c>
      <x:c r="C43" s="50" t="str">
        <x:f>'All Physical Cards'!C424</x:f>
        <x:v>Chikorita δ</x:v>
      </x:c>
      <x:c r="D43" s="50" t="str">
        <x:f>'All Physical Cards'!D424</x:f>
        <x:v>44/101</x:v>
      </x:c>
      <x:c r="E43" s="50" t="str">
        <x:f>'All Physical Cards'!E424</x:f>
        <x:v>EX Dragon Frontiers</x:v>
      </x:c>
      <x:c r="F43" s="50" t="n">
        <x:f>'All Physical Cards'!F424</x:f>
        <x:v>2006</x:v>
      </x:c>
      <x:c r="G43" s="50" t="str">
        <x:f>'All Physical Cards'!G424</x:f>
        <x:v>Stamped Reverse Holo (Delta Species — Fighting type)</x:v>
      </x:c>
      <x:c r="H43" s="50" t="str">
        <x:f>'All Physical Cards'!H424</x:f>
        <x:v>1 of 2</x:v>
      </x:c>
      <x:c r="I43" s="91" t="n">
        <x:f>'All Physical Cards'!I424</x:f>
        <x:v>34</x:v>
      </x:c>
      <x:c r="J43" s="91" t="n">
        <x:f>'All Physical Cards'!J424</x:f>
        <x:v>44</x:v>
      </x:c>
      <x:c r="K43" s="91" t="n">
        <x:f>'All Physical Cards'!K424</x:f>
        <x:v>39</x:v>
      </x:c>
      <x:c r="L43" s="91" t="n">
        <x:f>'All Physical Cards'!S424</x:f>
        <x:v>39</x:v>
      </x:c>
      <x:c r="M43" s="50" t="str">
        <x:f>'All Physical Cards'!P424</x:f>
        <x:v>Clean/NM benchmark unless noted</x:v>
      </x:c>
      <x:c r="N43" s="50" t="str">
        <x:v>Meaningful raw value; grade can add collector premium; EX-era stamped foil; high grades are condition-sensitive; Older card; high-grade supply is naturally thinner</x:v>
      </x:c>
      <x:c r="O43" s="50" t="str">
        <x:v>Submit if clearly NM/Mint with no meaningful whitening, scratches, dents or centering issue.</x:v>
      </x:c>
      <x:c r="P43" s="50" t="str">
        <x:v>Good future Value-tier candidate after photo inspection.</x:v>
      </x:c>
      <x:c r="Q43" s="50" t="str">
        <x:v>Not inspected</x:v>
      </x:c>
      <x:c r="R43" s="50" t="str">
        <x:v>Undecided</x:v>
      </x:c>
      <x:c r="S43" s="50" t="str">
        <x:f>'All Physical Cards'!W424</x:f>
        <x:v>https://www.tcgplayer.com/product/84281/pokemon-ex-dragon-frontiers-chikorita-delta-species</x:v>
      </x:c>
      <x:c r="T43" s="115"/>
      <x:c r="U43" s="115"/>
      <x:c r="V43" s="115"/>
      <x:c r="W43" s="115"/>
      <x:c r="X43" s="20"/>
      <x:c r="Y43" s="20"/>
      <x:c r="Z43" s="20"/>
      <x:c r="AA43" s="20"/>
      <x:c r="AB43" s="20"/>
      <x:c r="AC43" s="20" t="str">
        <x:v>PriceCharting baseline retained. Exact PSA sales data were not sufficiently useful/available in the verification pass; no unrelated printing or variant was substituted.</x:v>
      </x:c>
      <x:c r="AD43" s="20" t="str">
        <x:v>https://www.pricecharting.com/game/pokemon-dragon-frontiers/chikorita-reverse-holo-44</x:v>
      </x:c>
      <x:c r="AE43" s="131"/>
      <x:c r="AF43" s="131"/>
      <x:c r="AG43" s="131"/>
      <x:c r="AH43" s="131"/>
      <x:c r="AI43" s="131"/>
      <x:c r="AJ43" s="61"/>
      <x:c r="AK43" s="61" t="n">
        <x:v>11.45</x:v>
      </x:c>
      <x:c r="AL43" s="61" t="n">
        <x:v>40.08</x:v>
      </x:c>
      <x:c r="AM43" s="61" t="n">
        <x:v>141.07</x:v>
      </x:c>
      <x:c r="AN43" s="61" t="n">
        <x:v>716.54</x:v>
      </x:c>
      <x:c r="AO43" s="61"/>
      <x:c r="AP43" s="61"/>
      <x:c r="AQ43" s="61"/>
      <x:c r="AR43" s="20" t="str">
        <x:v>PriceCharting baseline</x:v>
      </x:c>
      <x:c r="AS43" s="20" t="str">
        <x:v>PriceCharting grade value retained where an exact, sufficiently useful PSA sales cross-check was not found. No unrelated printing/variant was substituted.</x:v>
      </x:c>
      <x:c r="AT43" s="176" t="n">
        <x:v>4</x:v>
      </x:c>
      <x:c r="AU43" s="176" t="n">
        <x:v>7</x:v>
      </x:c>
      <x:c r="AV43" s="176" t="n">
        <x:v>34</x:v>
      </x:c>
      <x:c r="AW43" s="176" t="n">
        <x:v>84</x:v>
      </x:c>
      <x:c r="AX43" s="176" t="n">
        <x:v>22</x:v>
      </x:c>
      <x:c r="AY43" s="176" t="n">
        <x:v>155</x:v>
      </x:c>
      <x:c r="AZ43" s="20" t="str">
        <x:v>https://www.psacard.com/auctionprices/tcg-cards/2006-pokemon-ex-dragon-frontiers/CHIKORITA-REVERSE%20FOIL/2556321</x:v>
      </x:c>
      <x:c r="BA43" s="20" t="str">
        <x:v>PSA official Auction Prices/Population table for the exact stamped Reverse Foil printing. Total includes grades outside 6–10.</x:v>
      </x:c>
    </x:row>
    <x:row r="44" ht="26.399999618530273" hidden="0" customHeight="1">
      <x:c r="A44" s="88" t="str">
        <x:v>B — Strong</x:v>
      </x:c>
      <x:c r="B44" s="86" t="n">
        <x:f>'All Physical Cards'!A532</x:f>
        <x:v>531</x:v>
      </x:c>
      <x:c r="C44" s="50" t="str">
        <x:f>'All Physical Cards'!C532</x:f>
        <x:v>Mareep</x:v>
      </x:c>
      <x:c r="D44" s="50" t="str">
        <x:f>'All Physical Cards'!D532</x:f>
        <x:v>67/109</x:v>
      </x:c>
      <x:c r="E44" s="50" t="str">
        <x:f>'All Physical Cards'!E532</x:f>
        <x:v>EX Team Rocket Returns</x:v>
      </x:c>
      <x:c r="F44" s="50" t="n">
        <x:f>'All Physical Cards'!F532</x:f>
        <x:v>2004</x:v>
      </x:c>
      <x:c r="G44" s="50" t="str">
        <x:f>'All Physical Cards'!G532</x:f>
        <x:v>Stamped Reverse Holo</x:v>
      </x:c>
      <x:c r="H44" s="50" t="str">
        <x:f>'All Physical Cards'!H532</x:f>
        <x:v>1 of 2</x:v>
      </x:c>
      <x:c r="I44" s="91" t="n">
        <x:f>'All Physical Cards'!I532</x:f>
        <x:v>26</x:v>
      </x:c>
      <x:c r="J44" s="91" t="n">
        <x:f>'All Physical Cards'!J532</x:f>
        <x:v>50.5</x:v>
      </x:c>
      <x:c r="K44" s="91" t="n">
        <x:f>'All Physical Cards'!K532</x:f>
        <x:v>38.25</x:v>
      </x:c>
      <x:c r="L44" s="91" t="n">
        <x:f>'All Physical Cards'!S532</x:f>
        <x:v>38.25</x:v>
      </x:c>
      <x:c r="M44" s="50" t="str">
        <x:f>'All Physical Cards'!P532</x:f>
        <x:v>Clean/NM benchmark unless noted</x:v>
      </x:c>
      <x:c r="N44" s="50" t="str">
        <x:v>Meaningful raw value; grade can add collector premium; EX-era stamped foil; high grades are condition-sensitive; Older card; high-grade supply is naturally thinner</x:v>
      </x:c>
      <x:c r="O44" s="50" t="str">
        <x:v>Submit if clearly NM/Mint with no meaningful whitening, scratches, dents or centering issue.</x:v>
      </x:c>
      <x:c r="P44" s="50" t="str">
        <x:v>Good future Value-tier candidate after photo inspection.</x:v>
      </x:c>
      <x:c r="Q44" s="50" t="str">
        <x:v>Not inspected</x:v>
      </x:c>
      <x:c r="R44" s="50" t="str">
        <x:v>Undecided</x:v>
      </x:c>
      <x:c r="S44" s="50" t="str">
        <x:f>'All Physical Cards'!W532</x:f>
        <x:v>https://www.pricecharting.com/game/pokemon-team-rocket-returns/mareep-reverse-holo-67</x:v>
      </x:c>
      <x:c r="T44" s="115"/>
      <x:c r="U44" s="115"/>
      <x:c r="V44" s="115"/>
      <x:c r="W44" s="115"/>
      <x:c r="X44" s="20"/>
      <x:c r="Y44" s="20"/>
      <x:c r="Z44" s="20"/>
      <x:c r="AA44" s="20"/>
      <x:c r="AB44" s="20"/>
      <x:c r="AC44" s="20" t="str">
        <x:v>PriceCharting baseline retained. Exact PSA sales data were not sufficiently useful/available in the verification pass; no unrelated printing or variant was substituted.</x:v>
      </x:c>
      <x:c r="AD44" s="20" t="str">
        <x:v>https://www.pricecharting.com/game/pokemon-team-rocket-returns/mareep-reverse-holo-67</x:v>
      </x:c>
      <x:c r="AE44" s="131"/>
      <x:c r="AF44" s="131"/>
      <x:c r="AG44" s="131"/>
      <x:c r="AH44" s="131"/>
      <x:c r="AI44" s="131"/>
      <x:c r="AJ44" s="61"/>
      <x:c r="AK44" s="61" t="n">
        <x:v>56.99</x:v>
      </x:c>
      <x:c r="AL44" s="61" t="n">
        <x:v>86</x:v>
      </x:c>
      <x:c r="AM44" s="61" t="n">
        <x:v>105</x:v>
      </x:c>
      <x:c r="AN44" s="61" t="n">
        <x:v>1723.83</x:v>
      </x:c>
      <x:c r="AO44" s="61"/>
      <x:c r="AP44" s="61"/>
      <x:c r="AQ44" s="61"/>
      <x:c r="AR44" s="20" t="str">
        <x:v>PriceCharting baseline</x:v>
      </x:c>
      <x:c r="AS44" s="20" t="str">
        <x:v>PriceCharting grade value retained where an exact, sufficiently useful PSA sales cross-check was not found. No unrelated printing/variant was substituted.</x:v>
      </x:c>
      <x:c r="AT44" s="176"/>
      <x:c r="AU44" s="176"/>
      <x:c r="AV44" s="176"/>
      <x:c r="AW44" s="176"/>
      <x:c r="AX44" s="176"/>
      <x:c r="AY44" s="176"/>
      <x:c r="AZ44" s="20" t="str">
        <x:v>https://www.psacard.com/Pop</x:v>
      </x:c>
      <x:c r="BA44" s="20" t="str">
        <x:v>PSA-direct population for this exact printing/grade was not confidently resolved from PSA's accessible/indexed pages on 2026-08-17. Prior PriceCharting/Pikawiz population figures were removed rather than retained.</x:v>
      </x:c>
    </x:row>
    <x:row r="45" ht="26.399999618530273" hidden="0" customHeight="1">
      <x:c r="A45" s="88" t="str">
        <x:v>B — Strong</x:v>
      </x:c>
      <x:c r="B45" s="86" t="n">
        <x:f>'All Physical Cards'!A562</x:f>
        <x:v>561</x:v>
      </x:c>
      <x:c r="C45" s="50" t="str">
        <x:f>'All Physical Cards'!C562</x:f>
        <x:v>Pikachu</x:v>
      </x:c>
      <x:c r="D45" s="50" t="str">
        <x:f>'All Physical Cards'!D562</x:f>
        <x:v>HGSS03</x:v>
      </x:c>
      <x:c r="E45" s="50" t="str">
        <x:f>'All Physical Cards'!E562</x:f>
        <x:v>HGSS Black Star Promos</x:v>
      </x:c>
      <x:c r="F45" s="50" t="n">
        <x:f>'All Physical Cards'!F562</x:f>
        <x:v>2010</x:v>
      </x:c>
      <x:c r="G45" s="50" t="str">
        <x:f>'All Physical Cards'!G562</x:f>
        <x:v>Holo Promo</x:v>
      </x:c>
      <x:c r="H45" s="50" t="str">
        <x:f>'All Physical Cards'!H562</x:f>
        <x:v>1 of 2</x:v>
      </x:c>
      <x:c r="I45" s="91" t="n">
        <x:f>'All Physical Cards'!I562</x:f>
        <x:v>27</x:v>
      </x:c>
      <x:c r="J45" s="91" t="n">
        <x:f>'All Physical Cards'!J562</x:f>
        <x:v>46</x:v>
      </x:c>
      <x:c r="K45" s="91" t="n">
        <x:f>'All Physical Cards'!K562</x:f>
        <x:v>36.5</x:v>
      </x:c>
      <x:c r="L45" s="91" t="n">
        <x:f>'All Physical Cards'!S562</x:f>
        <x:v>36.5</x:v>
      </x:c>
      <x:c r="M45" s="50" t="str">
        <x:f>'All Physical Cards'!P562</x:f>
        <x:v>Clean/NM benchmark unless noted</x:v>
      </x:c>
      <x:c r="N45" s="50" t="str">
        <x:v>Meaningful raw value; grade can add collector premium; Holo surface quality matters heavily; Popular Pokémon demand</x:v>
      </x:c>
      <x:c r="O45" s="50" t="str">
        <x:v>Submit if clearly NM/Mint with no meaningful whitening, scratches, dents or centering issue.</x:v>
      </x:c>
      <x:c r="P45" s="50" t="str">
        <x:v>Good future Value-tier candidate after photo inspection.</x:v>
      </x:c>
      <x:c r="Q45" s="50" t="str">
        <x:v>Not inspected</x:v>
      </x:c>
      <x:c r="R45" s="50" t="str">
        <x:v>Undecided</x:v>
      </x:c>
      <x:c r="S45" s="50" t="str">
        <x:f>'All Physical Cards'!W562</x:f>
        <x:v>https://www.pricecharting.com/game/pokemon-promo/pikachu-hgss03</x:v>
      </x:c>
      <x:c r="T45" s="115"/>
      <x:c r="U45" s="115"/>
      <x:c r="V45" s="115"/>
      <x:c r="W45" s="115"/>
      <x:c r="X45" s="20"/>
      <x:c r="Y45" s="20"/>
      <x:c r="Z45" s="20"/>
      <x:c r="AA45" s="20"/>
      <x:c r="AB45" s="20"/>
      <x:c r="AC45" s="20" t="str">
        <x:v>PriceCharting baseline retained. Exact PSA sales data were not sufficiently useful/available in the verification pass; no unrelated printing or variant was substituted.</x:v>
      </x:c>
      <x:c r="AD45" s="20" t="str">
        <x:v>https://www.pricecharting.com/game/pokemon-promo/pikachu-hgss03</x:v>
      </x:c>
      <x:c r="AE45" s="131"/>
      <x:c r="AF45" s="131"/>
      <x:c r="AG45" s="131"/>
      <x:c r="AH45" s="131"/>
      <x:c r="AI45" s="131"/>
      <x:c r="AJ45" s="61"/>
      <x:c r="AK45" s="61" t="n">
        <x:v>79.54</x:v>
      </x:c>
      <x:c r="AL45" s="61" t="n">
        <x:v>102.5</x:v>
      </x:c>
      <x:c r="AM45" s="61" t="n">
        <x:v>199</x:v>
      </x:c>
      <x:c r="AN45" s="61" t="n">
        <x:v>8224.74</x:v>
      </x:c>
      <x:c r="AO45" s="61"/>
      <x:c r="AP45" s="61"/>
      <x:c r="AQ45" s="61"/>
      <x:c r="AR45" s="20" t="str">
        <x:v>PriceCharting baseline</x:v>
      </x:c>
      <x:c r="AS45" s="20" t="str">
        <x:v>PriceCharting grade value retained where an exact, sufficiently useful PSA sales cross-check was not found. No unrelated printing/variant was substituted.</x:v>
      </x:c>
      <x:c r="AT45" s="176"/>
      <x:c r="AU45" s="176"/>
      <x:c r="AV45" s="176" t="n">
        <x:v>444</x:v>
      </x:c>
      <x:c r="AW45" s="176" t="n">
        <x:v>250</x:v>
      </x:c>
      <x:c r="AX45" s="176" t="n">
        <x:v>35</x:v>
      </x:c>
      <x:c r="AY45" s="176"/>
      <x:c r="AZ45" s="20" t="str">
        <x:v>https://www.psacard.com/cert/146263899 | https://www.psacard.com/cert/72007117/psa</x:v>
      </x:c>
      <x:c r="BA45" s="20" t="str">
        <x:v>PSA direct cert populations for PSA 8/9; PSA 10 from PSA 9 Pop Higher. PSA 6/7 not directly resolved.</x:v>
      </x:c>
    </x:row>
    <x:row r="46" ht="26.399999618530273" hidden="0" customHeight="1">
      <x:c r="A46" s="88" t="str">
        <x:v>B — Strong</x:v>
      </x:c>
      <x:c r="B46" s="86" t="n">
        <x:f>'All Physical Cards'!A397</x:f>
        <x:v>396</x:v>
      </x:c>
      <x:c r="C46" s="50" t="str">
        <x:f>'All Physical Cards'!C397</x:f>
        <x:v>Arcanine G</x:v>
      </x:c>
      <x:c r="D46" s="50" t="str">
        <x:f>'All Physical Cards'!D397</x:f>
        <x:v>15/147</x:v>
      </x:c>
      <x:c r="E46" s="50" t="str">
        <x:f>'All Physical Cards'!E397</x:f>
        <x:v>Deck Exclusives — Supreme Victors</x:v>
      </x:c>
      <x:c r="F46" s="50" t="n">
        <x:f>'All Physical Cards'!F397</x:f>
        <x:v>2009</x:v>
      </x:c>
      <x:c r="G46" s="50" t="str">
        <x:f>'All Physical Cards'!G397</x:f>
        <x:v>Holofoil (LV.60)</x:v>
      </x:c>
      <x:c r="H46" s="50" t="str">
        <x:f>'All Physical Cards'!H397</x:f>
        <x:v>1 of 1</x:v>
      </x:c>
      <x:c r="I46" s="91" t="n">
        <x:f>'All Physical Cards'!I397</x:f>
        <x:v>23</x:v>
      </x:c>
      <x:c r="J46" s="91" t="n">
        <x:f>'All Physical Cards'!J397</x:f>
        <x:v>30</x:v>
      </x:c>
      <x:c r="K46" s="91" t="n">
        <x:f>'All Physical Cards'!K397</x:f>
        <x:v>26.5</x:v>
      </x:c>
      <x:c r="L46" s="91" t="n">
        <x:f>'All Physical Cards'!S397</x:f>
        <x:v>26.5</x:v>
      </x:c>
      <x:c r="M46" s="50" t="str">
        <x:f>'All Physical Cards'!P397</x:f>
        <x:v>Clean/NM benchmark unless noted</x:v>
      </x:c>
      <x:c r="N46" s="50" t="str">
        <x:v>Meaningful raw value; grade can add collector premium; Holo surface quality matters heavily; Popular Pokémon demand</x:v>
      </x:c>
      <x:c r="O46" s="50" t="str">
        <x:v>Submit if clearly NM/Mint with no meaningful whitening, scratches, dents or centering issue.</x:v>
      </x:c>
      <x:c r="P46" s="50" t="str">
        <x:v>Good future Value-tier candidate after photo inspection.</x:v>
      </x:c>
      <x:c r="Q46" s="50" t="str">
        <x:v>Not inspected</x:v>
      </x:c>
      <x:c r="R46" s="50" t="str">
        <x:v>Undecided</x:v>
      </x:c>
      <x:c r="S46" s="50" t="str">
        <x:f>'All Physical Cards'!W397</x:f>
        <x:v>https://www.tcgplayer.com/search/pokemon/product?page=1&amp;productLineName=pokemon&amp;q=Arcanine+G&amp;setName=product&amp;view=grid</x:v>
      </x:c>
      <x:c r="T46" s="115"/>
      <x:c r="U46" s="115"/>
      <x:c r="V46" s="115"/>
      <x:c r="W46" s="115"/>
      <x:c r="X46" s="20"/>
      <x:c r="Y46" s="20"/>
      <x:c r="Z46" s="20"/>
      <x:c r="AA46" s="20"/>
      <x:c r="AB46" s="20"/>
      <x:c r="AC46" s="20" t="str">
        <x:v>PriceCharting baseline retained. Exact PSA sales data were not sufficiently useful/available in the verification pass; no unrelated printing or variant was substituted.</x:v>
      </x:c>
      <x:c r="AD46" s="20" t="str">
        <x:v>https://www.pricecharting.com/game/pokemon-supreme-victors/arcanine-g-holo-15</x:v>
      </x:c>
      <x:c r="AE46" s="131"/>
      <x:c r="AF46" s="131"/>
      <x:c r="AG46" s="131"/>
      <x:c r="AH46" s="131"/>
      <x:c r="AI46" s="131"/>
      <x:c r="AJ46" s="61"/>
      <x:c r="AK46" s="61"/>
      <x:c r="AL46" s="61"/>
      <x:c r="AM46" s="61" t="n">
        <x:v>200</x:v>
      </x:c>
      <x:c r="AN46" s="61" t="n">
        <x:v>5600</x:v>
      </x:c>
      <x:c r="AO46" s="61"/>
      <x:c r="AP46" s="61"/>
      <x:c r="AQ46" s="61"/>
      <x:c r="AR46" s="20" t="str">
        <x:v>PriceCharting baseline</x:v>
      </x:c>
      <x:c r="AS46" s="20" t="str">
        <x:v>PriceCharting grade value retained where an exact, sufficiently useful PSA sales cross-check was not found. No unrelated printing/variant was substituted.</x:v>
      </x:c>
      <x:c r="AT46" s="176"/>
      <x:c r="AU46" s="176"/>
      <x:c r="AV46" s="176"/>
      <x:c r="AW46" s="176"/>
      <x:c r="AX46" s="176"/>
      <x:c r="AY46" s="176"/>
      <x:c r="AZ46" s="20" t="str">
        <x:v>https://www.psacard.com/Pop</x:v>
      </x:c>
      <x:c r="BA46" s="20" t="str">
        <x:v>PSA-direct population for this exact printing/grade was not confidently resolved from PSA's accessible/indexed pages on 2026-08-17. Prior PriceCharting/Pikawiz population figures were removed rather than retained.</x:v>
      </x:c>
    </x:row>
    <x:row r="47" ht="26.399999618530273" hidden="0" customHeight="1">
      <x:c r="A47" s="89" t="str">
        <x:v>C — Conditional</x:v>
      </x:c>
      <x:c r="B47" s="86" t="n">
        <x:f>'All Physical Cards'!A139</x:f>
        <x:v>138</x:v>
      </x:c>
      <x:c r="C47" s="50" t="str">
        <x:f>'All Physical Cards'!C139</x:f>
        <x:v>Rayquaza</x:v>
      </x:c>
      <x:c r="D47" s="50" t="str">
        <x:f>'All Physical Cards'!D139</x:f>
        <x:v>11/20</x:v>
      </x:c>
      <x:c r="E47" s="50" t="str">
        <x:f>'All Physical Cards'!E139</x:f>
        <x:v>Dragon Vault</x:v>
      </x:c>
      <x:c r="F47" s="50" t="n">
        <x:f>'All Physical Cards'!F139</x:f>
        <x:v>2012</x:v>
      </x:c>
      <x:c r="G47" s="50" t="str">
        <x:f>'All Physical Cards'!G139</x:f>
        <x:v>Normal Holo</x:v>
      </x:c>
      <x:c r="H47" s="50" t="str">
        <x:v>1 of 3</x:v>
      </x:c>
      <x:c r="I47" s="91" t="n">
        <x:v>35</x:v>
      </x:c>
      <x:c r="J47" s="91" t="n">
        <x:v>50</x:v>
      </x:c>
      <x:c r="K47" s="91" t="n">
        <x:v>42.5</x:v>
      </x:c>
      <x:c r="L47" s="91" t="n">
        <x:v>42.5</x:v>
      </x:c>
      <x:c r="M47" s="50" t="str">
        <x:v>Manual pre-grade: PSA 9 most likely</x:v>
      </x:c>
      <x:c r="N47" s="50" t="str">
        <x:v>Meaningful raw value; Rayquaza demand; regular Dragon Vault holo has a large jump from PSA 8 to PSA 9 and a very low PSA 10 population.</x:v>
      </x:c>
      <x:c r="O47" s="50" t="str">
        <x:v>Submit if PSA 8 economics are acceptable; this copy has a realistic PSA 9 path.</x:v>
      </x:c>
      <x:c r="P47" s="50" t="str">
        <x:v>Grade on a value/special tier; do not pay premium service solely chasing a 10.</x:v>
      </x:c>
      <x:c r="Q47" s="50" t="str">
        <x:v>PSA 9 most likely; PSA 8 close downside</x:v>
      </x:c>
      <x:c r="R47" s="50" t="str">
        <x:v>Yes — grade; submit/valuate as a high-end PSA 8 / low-end PSA 9 candidate.</x:v>
      </x:c>
      <x:c r="S47" s="50" t="str">
        <x:v>https://www.pricecharting.com/game/pokemon-dragon-vault/rayquaza-11</x:v>
      </x:c>
      <x:c r="T47" s="115" t="str">
        <x:v>PSA 10 — centering app: 52.5/47.5 L-R and 50.6/49.4 T-B</x:v>
      </x:c>
      <x:c r="U47" s="115" t="str">
        <x:v>PSA 9 — corners remain sharp overall; only tiny reverse corner touches visible</x:v>
      </x:c>
      <x:c r="V47" s="115" t="str">
        <x:v>PSA 8–9 — several small isolated reverse edge nicks/white flecks, mostly along the bottom edge; not heavy or continuous</x:v>
      </x:c>
      <x:c r="W47" s="115" t="str">
        <x:v>PSA 9–10 — holo/surface looks clean in multiple angles; no obvious dent, crease, major scratch, or scrape</x:v>
      </x:c>
      <x:c r="X47" s="20" t="str">
        <x:v>10 / 9 / 8–9 / 9–10 → PSA 9 slightly favored</x:v>
      </x:c>
      <x:c r="Y47" s="20" t="str">
        <x:v>PSA 9 most likely; PSA 8 close downside</x:v>
      </x:c>
      <x:c r="Z47" s="20" t="str">
        <x:v>PSA 7 ~2% | PSA 8 ~43% | PSA 9 ~52% | PSA 10 ~3%</x:v>
      </x:c>
      <x:c r="AA47" s="20" t="str">
        <x:v>Rayquaza 11/20 regular Dragon Vault holo copy 1 of 3. Fresh re-grade replaces the older mock grade. Front centering measured 52.5/47.5 L-R and 50.6/49.4 T-B. Reverse corners are sharp overall; only a handful of small isolated white flecks/nicks are visible on the perimeter, mainly the bottom edge. Surface/holo presents strongly in angled light. High-end PSA 8 / low-end PSA 9 band, with PSA 9 slightly favored.</x:v>
      </x:c>
      <x:c r="AB47" s="20" t="str">
        <x:v>PSA 8 recent median ~$144.50; PSA 9 recent median ~$725</x:v>
      </x:c>
      <x:c r="AC47" s="20" t="str">
        <x:v>PSA recent exact-grade sales medians used for 8/9; PriceCharting only fills 7/10.</x:v>
      </x:c>
      <x:c r="AD47" s="20" t="str">
        <x:v>https://www.pricecharting.com/game/pokemon-dragon-vault/rayquaza-11</x:v>
      </x:c>
      <x:c r="AE47" s="131" t="n">
        <x:v>0</x:v>
      </x:c>
      <x:c r="AF47" s="131" t="n">
        <x:v>0.02</x:v>
      </x:c>
      <x:c r="AG47" s="131" t="n">
        <x:v>0.43</x:v>
      </x:c>
      <x:c r="AH47" s="131" t="n">
        <x:v>0.52</x:v>
      </x:c>
      <x:c r="AI47" s="131" t="n">
        <x:v>0.03</x:v>
      </x:c>
      <x:c r="AJ47" s="61" t="n">
        <x:v>0</x:v>
      </x:c>
      <x:c r="AK47" s="61" t="n">
        <x:v>59.07</x:v>
      </x:c>
      <x:c r="AL47" s="61" t="n">
        <x:v>144.5</x:v>
      </x:c>
      <x:c r="AM47" s="61" t="n">
        <x:v>679.99</x:v>
      </x:c>
      <x:c r="AN47" s="61" t="n">
        <x:v>10825</x:v>
      </x:c>
      <x:c r="AO47" s="61" t="n">
        <x:f>SUMPRODUCT(AE47:AI47,AJ47:AN47)+IFERROR(BB47*BC47,0)</x:f>
        <x:v>741.6612</x:v>
      </x:c>
      <x:c r="AP47" s="61" t="n">
        <x:v>42.5</x:v>
      </x:c>
      <x:c r="AQ47" s="61" t="n">
        <x:f>AO47-AP47</x:f>
        <x:v>699.1612</x:v>
      </x:c>
      <x:c r="AR47" s="20" t="str">
        <x:v>PSA direct medians — PSA 8/9; PriceCharting fallback — 7/10</x:v>
      </x:c>
      <x:c r="AS47" s="2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47" s="176"/>
      <x:c r="AU47" s="176"/>
      <x:c r="AV47" s="176" t="n">
        <x:v>209</x:v>
      </x:c>
      <x:c r="AW47" s="176" t="n">
        <x:v>212</x:v>
      </x:c>
      <x:c r="AX47" s="176" t="n">
        <x:v>25</x:v>
      </x:c>
      <x:c r="AY47" s="176"/>
      <x:c r="AZ47" s="20" t="str">
        <x:v>https://www.psacard.com/cert/59704495/psa | https://www.psacard.com/cert/54067310/psa | https://www.pricecharting.com/game/pokemon-dragon-vault/rayquaza-11</x:v>
      </x:c>
      <x:c r="BA47" s="20" t="str">
        <x:v>Graded-value hierarchy applied 2026-08-18: PSA recent exact-grade sales median when 3+ usable comps; otherwise PSA Estimate; otherwise PriceCharting fallback.</x:v>
      </x:c>
    </x:row>
    <x:row r="48" ht="26.399999618530273" hidden="0" customHeight="1">
      <x:c r="A48" s="89" t="str">
        <x:v>C — Conditional</x:v>
      </x:c>
      <x:c r="B48" s="86" t="n">
        <x:f>'All Physical Cards'!A582</x:f>
        <x:v>581</x:v>
      </x:c>
      <x:c r="C48" s="50" t="str">
        <x:f>'All Physical Cards'!C582</x:f>
        <x:v>Rayquaza</x:v>
      </x:c>
      <x:c r="D48" s="50" t="str">
        <x:f>'All Physical Cards'!D582</x:f>
        <x:v>11/20</x:v>
      </x:c>
      <x:c r="E48" s="50" t="str">
        <x:f>'All Physical Cards'!E582</x:f>
        <x:v>Dragon Vault</x:v>
      </x:c>
      <x:c r="F48" s="50" t="n">
        <x:f>'All Physical Cards'!F582</x:f>
        <x:v>2012</x:v>
      </x:c>
      <x:c r="G48" s="50" t="str">
        <x:f>'All Physical Cards'!G582</x:f>
        <x:v>Normal Holo</x:v>
      </x:c>
      <x:c r="H48" s="50" t="str">
        <x:v>2 of 3</x:v>
      </x:c>
      <x:c r="I48" s="91" t="n">
        <x:v>35</x:v>
      </x:c>
      <x:c r="J48" s="91" t="n">
        <x:v>50</x:v>
      </x:c>
      <x:c r="K48" s="91" t="n">
        <x:v>42.5</x:v>
      </x:c>
      <x:c r="L48" s="91" t="n">
        <x:v>42.5</x:v>
      </x:c>
      <x:c r="M48" s="50" t="str">
        <x:v>Manual pre-grade: PSA 8 most likely</x:v>
      </x:c>
      <x:c r="N48" s="50" t="str">
        <x:v>Meaningful raw value; Rayquaza demand; regular Dragon Vault holo has large upside at PSA 9, but this copy has weaker front centering and a little more perimeter wear.</x:v>
      </x:c>
      <x:c r="O48" s="50" t="str">
        <x:v>Submit if PSA 8 economics are acceptable; PSA 9 is meaningful upside, not the baseline.</x:v>
      </x:c>
      <x:c r="P48" s="50" t="str">
        <x:v>Grade on a value/special tier.</x:v>
      </x:c>
      <x:c r="Q48" s="50" t="str">
        <x:v>PSA 8 most likely; PSA 9 upside</x:v>
      </x:c>
      <x:c r="R48" s="50" t="str">
        <x:v>Yes — grade; submit/valuate expecting PSA 8 with PSA 9 upside.</x:v>
      </x:c>
      <x:c r="S48" s="50" t="str">
        <x:v>https://www.pricecharting.com/game/pokemon-dragon-vault/rayquaza-11</x:v>
      </x:c>
      <x:c r="T48" s="115" t="str">
        <x:v>PSA 9 — centering app: 58.9/41.1 L-R and 51.0/49.0 T-B; within PSA 9 range but outside normal 10 range</x:v>
      </x:c>
      <x:c r="U48" s="115" t="str">
        <x:v>PSA 9 — corners remain generally sharp with only small reverse touches</x:v>
      </x:c>
      <x:c r="V48" s="115" t="str">
        <x:v>PSA 8–9 — several small isolated reverse edge flecks/nicks, mainly along the bottom edge; not heavy or continuous</x:v>
      </x:c>
      <x:c r="W48" s="115" t="str">
        <x:v>PSA 9–10 — holo/surface looks clean in supplied angles; no obvious dent, crease, major scratch, or scrape</x:v>
      </x:c>
      <x:c r="X48" s="20" t="str">
        <x:v>9 / 9 / 8–9 / 9–10 → PSA 8 most likely</x:v>
      </x:c>
      <x:c r="Y48" s="20" t="str">
        <x:v>PSA 8 most likely; PSA 9 upside</x:v>
      </x:c>
      <x:c r="Z48" s="20" t="str">
        <x:v>PSA 7 ~4% | PSA 8 ~64% | PSA 9 ~32% | PSA 10 ~0%</x:v>
      </x:c>
      <x:c r="AA48" s="20" t="str">
        <x:v>Rayquaza 11/20 regular Dragon Vault holo copy 2 of 3. Front centering measured 58.9/41.1 L-R and 51/49 T-B, so centering itself is PSA-9-level rather than 10-level. Corners are still sharp, but the reverse bottom edge has several small white flecks/nicks with a few additional perimeter touches. Surface/holo appears clean. Compared with copy #1, the centering and perimeter wear shift the favorite grade down to PSA 8.</x:v>
      </x:c>
      <x:c r="AB48" s="20" t="str">
        <x:v>PSA 8 recent median ~$144.50; PSA 9 recent median ~$725</x:v>
      </x:c>
      <x:c r="AC48" s="20" t="str">
        <x:v>PSA recent exact-grade sales medians used for 8/9; PriceCharting only fills 7/10.</x:v>
      </x:c>
      <x:c r="AD48" s="20" t="str">
        <x:v>https://www.pricecharting.com/game/pokemon-dragon-vault/rayquaza-11</x:v>
      </x:c>
      <x:c r="AE48" s="131" t="n">
        <x:v>0</x:v>
      </x:c>
      <x:c r="AF48" s="131" t="n">
        <x:v>0.04</x:v>
      </x:c>
      <x:c r="AG48" s="131" t="n">
        <x:v>0.64</x:v>
      </x:c>
      <x:c r="AH48" s="131" t="n">
        <x:v>0.32</x:v>
      </x:c>
      <x:c r="AI48" s="131" t="n">
        <x:v>0</x:v>
      </x:c>
      <x:c r="AJ48" s="61" t="n">
        <x:v>0</x:v>
      </x:c>
      <x:c r="AK48" s="61" t="n">
        <x:v>59.07</x:v>
      </x:c>
      <x:c r="AL48" s="61" t="n">
        <x:v>144.5</x:v>
      </x:c>
      <x:c r="AM48" s="61" t="n">
        <x:v>679.99</x:v>
      </x:c>
      <x:c r="AN48" s="61" t="n">
        <x:v>10825</x:v>
      </x:c>
      <x:c r="AO48" s="61" t="n">
        <x:f>SUMPRODUCT(AE48:AI48,AJ48:AN48)+IFERROR(BB48*BC48,0)</x:f>
        <x:v>312.43960000000004</x:v>
      </x:c>
      <x:c r="AP48" s="61" t="n">
        <x:v>42.5</x:v>
      </x:c>
      <x:c r="AQ48" s="61" t="n">
        <x:f>AO48-AP48</x:f>
        <x:v>269.93960000000004</x:v>
      </x:c>
      <x:c r="AR48" s="20" t="str">
        <x:v>PSA direct medians — PSA 8/9; PriceCharting fallback — 7/10</x:v>
      </x:c>
      <x:c r="AS48" s="2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48" s="176"/>
      <x:c r="AU48" s="176"/>
      <x:c r="AV48" s="176" t="n">
        <x:v>209</x:v>
      </x:c>
      <x:c r="AW48" s="176" t="n">
        <x:v>212</x:v>
      </x:c>
      <x:c r="AX48" s="176" t="n">
        <x:v>25</x:v>
      </x:c>
      <x:c r="AY48" s="176"/>
      <x:c r="AZ48" s="20" t="str">
        <x:v>https://www.psacard.com/cert/59704495/psa | https://www.psacard.com/cert/54067310/psa | https://www.pricecharting.com/game/pokemon-dragon-vault/rayquaza-11</x:v>
      </x:c>
      <x:c r="BA48" s="20" t="str">
        <x:v>Graded-value hierarchy applied 2026-08-18: PSA recent exact-grade sales median when 3+ usable comps; otherwise PSA Estimate; otherwise PriceCharting fallback.</x:v>
      </x:c>
    </x:row>
    <x:row r="49" ht="26.399999618530273" hidden="0" customHeight="1">
      <x:c r="A49" s="89" t="str">
        <x:v>C — Conditional</x:v>
      </x:c>
      <x:c r="B49" s="86" t="n">
        <x:f>'All Physical Cards'!A639</x:f>
        <x:v>638</x:v>
      </x:c>
      <x:c r="C49" s="50" t="str">
        <x:f>'All Physical Cards'!C639</x:f>
        <x:v>Shaymin-EX</x:v>
      </x:c>
      <x:c r="D49" s="50" t="str">
        <x:f>'All Physical Cards'!D639</x:f>
        <x:v>RC21/RC25</x:v>
      </x:c>
      <x:c r="E49" s="50" t="str">
        <x:f>'All Physical Cards'!E639</x:f>
        <x:v>Legendary Treasures: Radiant Collection</x:v>
      </x:c>
      <x:c r="F49" s="50" t="n">
        <x:f>'All Physical Cards'!F639</x:f>
        <x:v>2013</x:v>
      </x:c>
      <x:c r="G49" s="50" t="str">
        <x:f>'All Physical Cards'!G639</x:f>
        <x:v>Full Art Holo Ultra Rare</x:v>
      </x:c>
      <x:c r="H49" s="50" t="str">
        <x:f>'All Physical Cards'!H639</x:f>
        <x:v>1 of 1</x:v>
      </x:c>
      <x:c r="I49" s="91" t="n">
        <x:f>'All Physical Cards'!I639</x:f>
        <x:v>30</x:v>
      </x:c>
      <x:c r="J49" s="91" t="n">
        <x:f>'All Physical Cards'!J639</x:f>
        <x:v>45</x:v>
      </x:c>
      <x:c r="K49" s="91" t="n">
        <x:f>'All Physical Cards'!K639</x:f>
        <x:v>37.5</x:v>
      </x:c>
      <x:c r="L49" s="91" t="n">
        <x:f>'All Physical Cards'!S639</x:f>
        <x:v>37.5</x:v>
      </x:c>
      <x:c r="M49" s="50" t="str">
        <x:f>'All Physical Cards'!P639</x:f>
        <x:v>Clean/NM benchmark unless noted</x:v>
      </x:c>
      <x:c r="N49" s="50" t="str">
        <x:v>Meaningful raw value; grade can add collector premium; Full Art collector demand</x:v>
      </x:c>
      <x:c r="O49" s="50" t="str">
        <x:v>Submit only with a realistic PSA 9/10 outlook.</x:v>
      </x:c>
      <x:c r="P49" s="50" t="str">
        <x:v>Wait for cheap grading; submit only if pre-grade is strong.</x:v>
      </x:c>
      <x:c r="Q49" s="50" t="str">
        <x:v>Not inspected</x:v>
      </x:c>
      <x:c r="R49" s="50" t="str">
        <x:v>Undecided</x:v>
      </x:c>
      <x:c r="S49" s="50" t="str">
        <x:f>'All Physical Cards'!W639</x:f>
        <x:v>https://www.pricecharting.com/game/pokemon-legendary-treasures/shaymin-ex-rc21</x:v>
      </x:c>
      <x:c r="T49" s="115"/>
      <x:c r="U49" s="115"/>
      <x:c r="V49" s="115"/>
      <x:c r="W49" s="115"/>
      <x:c r="X49" s="20"/>
      <x:c r="Y49" s="20"/>
      <x:c r="Z49" s="20"/>
      <x:c r="AA49" s="20"/>
      <x:c r="AB49" s="20"/>
      <x:c r="AC49" s="20" t="str">
        <x:v>PriceCharting baseline retained. Exact PSA sales data were not sufficiently useful/available in the verification pass; no unrelated printing or variant was substituted.</x:v>
      </x:c>
      <x:c r="AD49" s="20" t="str">
        <x:v>https://www.pricecharting.com/game/pokemon-legendary-treasures/shaymin-ex-rc21</x:v>
      </x:c>
      <x:c r="AE49" s="131"/>
      <x:c r="AF49" s="131"/>
      <x:c r="AG49" s="131"/>
      <x:c r="AH49" s="131"/>
      <x:c r="AI49" s="131"/>
      <x:c r="AJ49" s="61"/>
      <x:c r="AK49" s="61" t="n">
        <x:v>54.99</x:v>
      </x:c>
      <x:c r="AL49" s="61" t="n">
        <x:v>76.38</x:v>
      </x:c>
      <x:c r="AM49" s="61" t="n">
        <x:v>159.01</x:v>
      </x:c>
      <x:c r="AN49" s="61" t="n">
        <x:v>4452.01</x:v>
      </x:c>
      <x:c r="AO49" s="61"/>
      <x:c r="AP49" s="61"/>
      <x:c r="AQ49" s="61"/>
      <x:c r="AR49" s="20" t="str">
        <x:v>PriceCharting baseline</x:v>
      </x:c>
      <x:c r="AS49" s="20" t="str">
        <x:v>PriceCharting grade value retained where an exact, sufficiently useful PSA sales cross-check was not found. No unrelated printing/variant was substituted.</x:v>
      </x:c>
      <x:c r="AT49" s="176"/>
      <x:c r="AU49" s="176"/>
      <x:c r="AV49" s="176"/>
      <x:c r="AW49" s="176"/>
      <x:c r="AX49" s="176"/>
      <x:c r="AY49" s="176"/>
      <x:c r="AZ49" s="20" t="str">
        <x:v>https://www.psacard.com/Pop</x:v>
      </x:c>
      <x:c r="BA49" s="20" t="str">
        <x:v>PSA-direct population for this exact printing/grade was not confidently resolved from PSA's accessible/indexed pages on 2026-08-17. Prior PriceCharting/Pikawiz population figures were removed rather than retained.</x:v>
      </x:c>
    </x:row>
    <x:row r="50" ht="26.399999618530273" hidden="0" customHeight="1">
      <x:c r="A50" s="89" t="str">
        <x:v>C — Conditional</x:v>
      </x:c>
      <x:c r="B50" s="86" t="n">
        <x:f>'All Physical Cards'!A640</x:f>
        <x:v>639</x:v>
      </x:c>
      <x:c r="C50" s="50" t="str">
        <x:f>'All Physical Cards'!C640</x:f>
        <x:v>Terrakion</x:v>
      </x:c>
      <x:c r="D50" s="50" t="str">
        <x:f>'All Physical Cards'!D640</x:f>
        <x:v>99/101</x:v>
      </x:c>
      <x:c r="E50" s="50" t="str">
        <x:f>'All Physical Cards'!E640</x:f>
        <x:v>Noble Victories</x:v>
      </x:c>
      <x:c r="F50" s="50" t="n">
        <x:f>'All Physical Cards'!F640</x:f>
        <x:v>2011</x:v>
      </x:c>
      <x:c r="G50" s="50" t="str">
        <x:f>'All Physical Cards'!G640</x:f>
        <x:v>Full Art Holo Ultra Rare</x:v>
      </x:c>
      <x:c r="H50" s="50" t="str">
        <x:f>'All Physical Cards'!H640</x:f>
        <x:v>1 of 1</x:v>
      </x:c>
      <x:c r="I50" s="91" t="n">
        <x:f>'All Physical Cards'!I640</x:f>
        <x:v>30</x:v>
      </x:c>
      <x:c r="J50" s="91" t="n">
        <x:f>'All Physical Cards'!J640</x:f>
        <x:v>45</x:v>
      </x:c>
      <x:c r="K50" s="91" t="n">
        <x:f>'All Physical Cards'!K640</x:f>
        <x:v>37.5</x:v>
      </x:c>
      <x:c r="L50" s="91" t="n">
        <x:f>'All Physical Cards'!S640</x:f>
        <x:v>37.5</x:v>
      </x:c>
      <x:c r="M50" s="50" t="str">
        <x:f>'All Physical Cards'!P640</x:f>
        <x:v>Clean/NM benchmark unless noted</x:v>
      </x:c>
      <x:c r="N50" s="50" t="str">
        <x:v>Meaningful raw value; grade can add collector premium; Full Art collector demand</x:v>
      </x:c>
      <x:c r="O50" s="50" t="str">
        <x:v>Submit only with a realistic PSA 9/10 outlook.</x:v>
      </x:c>
      <x:c r="P50" s="50" t="str">
        <x:v>Wait for cheap grading; submit only if pre-grade is strong.</x:v>
      </x:c>
      <x:c r="Q50" s="50" t="str">
        <x:v>Not inspected</x:v>
      </x:c>
      <x:c r="R50" s="50" t="str">
        <x:v>Undecided</x:v>
      </x:c>
      <x:c r="S50" s="50" t="str">
        <x:f>'All Physical Cards'!W640</x:f>
        <x:v>https://www.pricecharting.com/game/pokemon-noble-victories/terrakion-99</x:v>
      </x:c>
      <x:c r="T50" s="115"/>
      <x:c r="U50" s="115"/>
      <x:c r="V50" s="115"/>
      <x:c r="W50" s="115"/>
      <x:c r="X50" s="20"/>
      <x:c r="Y50" s="20"/>
      <x:c r="Z50" s="20"/>
      <x:c r="AA50" s="20"/>
      <x:c r="AB50" s="20"/>
      <x:c r="AC50" s="20" t="str">
        <x:v>PriceCharting baseline retained. Exact PSA sales data were not sufficiently useful/available in the verification pass; no unrelated printing or variant was substituted.</x:v>
      </x:c>
      <x:c r="AD50" s="20" t="str">
        <x:v>https://www.pricecharting.com/game/pokemon-noble-victories/terrakion-99</x:v>
      </x:c>
      <x:c r="AE50" s="131"/>
      <x:c r="AF50" s="131"/>
      <x:c r="AG50" s="131"/>
      <x:c r="AH50" s="131"/>
      <x:c r="AI50" s="131"/>
      <x:c r="AJ50" s="61"/>
      <x:c r="AK50" s="61" t="n">
        <x:v>36.37</x:v>
      </x:c>
      <x:c r="AL50" s="61" t="n">
        <x:v>52.38</x:v>
      </x:c>
      <x:c r="AM50" s="61" t="n">
        <x:v>146.28</x:v>
      </x:c>
      <x:c r="AN50" s="61" t="n">
        <x:v>1751</x:v>
      </x:c>
      <x:c r="AO50" s="61"/>
      <x:c r="AP50" s="61"/>
      <x:c r="AQ50" s="61"/>
      <x:c r="AR50" s="20" t="str">
        <x:v>PriceCharting baseline</x:v>
      </x:c>
      <x:c r="AS50" s="20" t="str">
        <x:v>PriceCharting grade value retained where an exact, sufficiently useful PSA sales cross-check was not found. No unrelated printing/variant was substituted.</x:v>
      </x:c>
      <x:c r="AT50" s="176"/>
      <x:c r="AU50" s="176"/>
      <x:c r="AV50" s="176"/>
      <x:c r="AW50" s="176"/>
      <x:c r="AX50" s="176"/>
      <x:c r="AY50" s="176"/>
      <x:c r="AZ50" s="20" t="str">
        <x:v>https://www.psacard.com/Pop</x:v>
      </x:c>
      <x:c r="BA50" s="20" t="str">
        <x:v>PSA-direct population for this exact printing/grade was not confidently resolved from PSA's accessible/indexed pages on 2026-08-17. Prior PriceCharting/Pikawiz population figures were removed rather than retained.</x:v>
      </x:c>
    </x:row>
    <x:row r="51" ht="26.399999618530273" hidden="0" customHeight="1">
      <x:c r="A51" s="89" t="str">
        <x:v>C — Conditional</x:v>
      </x:c>
      <x:c r="B51" s="86" t="n">
        <x:f>'All Physical Cards'!A642</x:f>
        <x:v>641</x:v>
      </x:c>
      <x:c r="C51" s="50" t="str">
        <x:f>'All Physical Cards'!C642</x:f>
        <x:v>Meloetta-EX</x:v>
      </x:c>
      <x:c r="D51" s="50" t="str">
        <x:f>'All Physical Cards'!D642</x:f>
        <x:v>RC25/RC25</x:v>
      </x:c>
      <x:c r="E51" s="50" t="str">
        <x:f>'All Physical Cards'!E642</x:f>
        <x:v>Legendary Treasures: Radiant Collection</x:v>
      </x:c>
      <x:c r="F51" s="50" t="n">
        <x:f>'All Physical Cards'!F642</x:f>
        <x:v>2013</x:v>
      </x:c>
      <x:c r="G51" s="50" t="str">
        <x:f>'All Physical Cards'!G642</x:f>
        <x:v>Full Art Holo Ultra Rare</x:v>
      </x:c>
      <x:c r="H51" s="50" t="str">
        <x:f>'All Physical Cards'!H642</x:f>
        <x:v>1 of 1</x:v>
      </x:c>
      <x:c r="I51" s="91" t="n">
        <x:f>'All Physical Cards'!I642</x:f>
        <x:v>30</x:v>
      </x:c>
      <x:c r="J51" s="91" t="n">
        <x:f>'All Physical Cards'!J642</x:f>
        <x:v>45</x:v>
      </x:c>
      <x:c r="K51" s="91" t="n">
        <x:f>'All Physical Cards'!K642</x:f>
        <x:v>37.5</x:v>
      </x:c>
      <x:c r="L51" s="91" t="n">
        <x:f>'All Physical Cards'!S642</x:f>
        <x:v>37.5</x:v>
      </x:c>
      <x:c r="M51" s="50" t="str">
        <x:f>'All Physical Cards'!P642</x:f>
        <x:v>Clean/NM benchmark unless noted</x:v>
      </x:c>
      <x:c r="N51" s="50" t="str">
        <x:v>Meaningful raw value; grade can add collector premium; Full Art collector demand</x:v>
      </x:c>
      <x:c r="O51" s="50" t="str">
        <x:v>Submit only with a realistic PSA 9/10 outlook.</x:v>
      </x:c>
      <x:c r="P51" s="50" t="str">
        <x:v>Wait for cheap grading; submit only if pre-grade is strong.</x:v>
      </x:c>
      <x:c r="Q51" s="50" t="str">
        <x:v>Not inspected</x:v>
      </x:c>
      <x:c r="R51" s="50" t="str">
        <x:v>Undecided</x:v>
      </x:c>
      <x:c r="S51" s="50" t="str">
        <x:f>'All Physical Cards'!W642</x:f>
        <x:v>https://www.pricecharting.com/game/pokemon-legendary-treasures/meloetta-ex-rc25</x:v>
      </x:c>
      <x:c r="T51" s="115"/>
      <x:c r="U51" s="115"/>
      <x:c r="V51" s="115"/>
      <x:c r="W51" s="115"/>
      <x:c r="X51" s="20"/>
      <x:c r="Y51" s="20"/>
      <x:c r="Z51" s="20"/>
      <x:c r="AA51" s="20"/>
      <x:c r="AB51" s="20"/>
      <x:c r="AC51" s="20" t="str">
        <x:v>PriceCharting baseline retained. Exact PSA sales data were not sufficiently useful/available in the verification pass; no unrelated printing or variant was substituted.</x:v>
      </x:c>
      <x:c r="AD51" s="20" t="str">
        <x:v>https://www.pricecharting.com/game/pokemon-legendary-treasures/meloetta-ex-rc25</x:v>
      </x:c>
      <x:c r="AE51" s="131"/>
      <x:c r="AF51" s="131"/>
      <x:c r="AG51" s="131"/>
      <x:c r="AH51" s="131"/>
      <x:c r="AI51" s="131"/>
      <x:c r="AJ51" s="61"/>
      <x:c r="AK51" s="61" t="n">
        <x:v>36.58</x:v>
      </x:c>
      <x:c r="AL51" s="61" t="n">
        <x:v>54.91</x:v>
      </x:c>
      <x:c r="AM51" s="61" t="n">
        <x:v>115</x:v>
      </x:c>
      <x:c r="AN51" s="61" t="n">
        <x:v>4000</x:v>
      </x:c>
      <x:c r="AO51" s="61"/>
      <x:c r="AP51" s="61"/>
      <x:c r="AQ51" s="61"/>
      <x:c r="AR51" s="20" t="str">
        <x:v>PriceCharting baseline</x:v>
      </x:c>
      <x:c r="AS51" s="20" t="str">
        <x:v>PriceCharting grade value retained where an exact, sufficiently useful PSA sales cross-check was not found. No unrelated printing/variant was substituted.</x:v>
      </x:c>
      <x:c r="AT51" s="176"/>
      <x:c r="AU51" s="176"/>
      <x:c r="AV51" s="176"/>
      <x:c r="AW51" s="176"/>
      <x:c r="AX51" s="176"/>
      <x:c r="AY51" s="176"/>
      <x:c r="AZ51" s="20" t="str">
        <x:v>https://www.psacard.com/Pop</x:v>
      </x:c>
      <x:c r="BA51" s="20" t="str">
        <x:v>PSA-direct population for this exact printing/grade was not confidently resolved from PSA's accessible/indexed pages on 2026-08-17. Prior PriceCharting/Pikawiz population figures were removed rather than retained.</x:v>
      </x:c>
    </x:row>
    <x:row r="52" ht="39.599998474121094" hidden="0" customHeight="1">
      <x:c r="A52" s="89" t="str">
        <x:v>C — Conditional</x:v>
      </x:c>
      <x:c r="B52" s="86" t="n">
        <x:f>'All Physical Cards'!A655</x:f>
        <x:v>654</x:v>
      </x:c>
      <x:c r="C52" s="50" t="str">
        <x:f>'All Physical Cards'!C655</x:f>
        <x:v>Suicune &amp; Entei LEGEND</x:v>
      </x:c>
      <x:c r="D52" s="50" t="str">
        <x:f>'All Physical Cards'!D655</x:f>
        <x:v>94/95</x:v>
      </x:c>
      <x:c r="E52" s="50" t="str">
        <x:f>'All Physical Cards'!E655</x:f>
        <x:v>World Championships 2011</x:v>
      </x:c>
      <x:c r="F52" s="50" t="n">
        <x:f>'All Physical Cards'!F655</x:f>
        <x:v>2011</x:v>
      </x:c>
      <x:c r="G52" s="50" t="str">
        <x:f>'All Physical Cards'!G655</x:f>
        <x:v>World Championships — Ross Cawthon / The Truth (Top Half)</x:v>
      </x:c>
      <x:c r="H52" s="50" t="str">
        <x:f>'All Physical Cards'!H655</x:f>
        <x:v>1 of 1</x:v>
      </x:c>
      <x:c r="I52" s="91" t="n">
        <x:f>'All Physical Cards'!I655</x:f>
        <x:v>30</x:v>
      </x:c>
      <x:c r="J52" s="91" t="n">
        <x:f>'All Physical Cards'!J655</x:f>
        <x:v>45</x:v>
      </x:c>
      <x:c r="K52" s="91" t="n">
        <x:f>'All Physical Cards'!K655</x:f>
        <x:v>37.5</x:v>
      </x:c>
      <x:c r="L52" s="91" t="n">
        <x:f>'All Physical Cards'!S655</x:f>
        <x:v>37.5</x:v>
      </x:c>
      <x:c r="M52" s="50" t="str">
        <x:f>'All Physical Cards'!P655</x:f>
        <x:v>Clean/NM benchmark unless noted</x:v>
      </x:c>
      <x:c r="N52" s="50" t="str">
        <x:v>Meaningful raw value; grade can add collector premium; LEGEND-era scarcity; Popular Pokémon demand</x:v>
      </x:c>
      <x:c r="O52" s="50" t="str">
        <x:v>Submit only with a realistic PSA 9/10 outlook.</x:v>
      </x:c>
      <x:c r="P52" s="50" t="str">
        <x:v>Wait for cheap grading; submit only if pre-grade is strong.</x:v>
      </x:c>
      <x:c r="Q52" s="50" t="str">
        <x:v>Not inspected</x:v>
      </x:c>
      <x:c r="R52" s="50" t="str">
        <x:v>Undecided</x:v>
      </x:c>
      <x:c r="S52" s="50" t="str">
        <x:f>'All Physical Cards'!W655</x:f>
        <x:v>https://www.pricecharting.com/game/pokemon-world-championships-2011/suicune-%26-entei-legend-ross-cawthon-94</x:v>
      </x:c>
      <x:c r="T52" s="115"/>
      <x:c r="U52" s="115"/>
      <x:c r="V52" s="115"/>
      <x:c r="W52" s="115"/>
      <x:c r="X52" s="20"/>
      <x:c r="Y52" s="20"/>
      <x:c r="Z52" s="20"/>
      <x:c r="AA52" s="20"/>
      <x:c r="AB52" s="20"/>
      <x:c r="AC52" s="20" t="str">
        <x:v>PriceCharting baseline retained. Exact PSA sales data were not sufficiently useful/available in the verification pass; no unrelated printing or variant was substituted.</x:v>
      </x:c>
      <x:c r="AD52" s="20" t="str">
        <x:v>https://www.pricecharting.com/game/pokemon-world-championships-2011/suicune-%26-entei-legend-ross-cawthon-94</x:v>
      </x:c>
      <x:c r="AE52" s="131"/>
      <x:c r="AF52" s="131"/>
      <x:c r="AG52" s="131"/>
      <x:c r="AH52" s="131"/>
      <x:c r="AI52" s="131"/>
      <x:c r="AJ52" s="61"/>
      <x:c r="AK52" s="61"/>
      <x:c r="AL52" s="61"/>
      <x:c r="AM52" s="61"/>
      <x:c r="AN52" s="61" t="n">
        <x:v>315</x:v>
      </x:c>
      <x:c r="AO52" s="61"/>
      <x:c r="AP52" s="61"/>
      <x:c r="AQ52" s="61"/>
      <x:c r="AR52" s="20" t="str">
        <x:v>PriceCharting baseline</x:v>
      </x:c>
      <x:c r="AS52" s="20" t="str">
        <x:v>PriceCharting grade value retained where an exact, sufficiently useful PSA sales cross-check was not found. No unrelated printing/variant was substituted.</x:v>
      </x:c>
      <x:c r="AT52" s="176"/>
      <x:c r="AU52" s="176"/>
      <x:c r="AV52" s="176"/>
      <x:c r="AW52" s="176"/>
      <x:c r="AX52" s="176"/>
      <x:c r="AY52" s="176"/>
      <x:c r="AZ52" s="20" t="str">
        <x:v>https://www.psacard.com/Pop</x:v>
      </x:c>
      <x:c r="BA52" s="20" t="str">
        <x:v>Ross Cawthon 2011 World Championships Suicune &amp; Entei LEGEND top half #94 was not confidently resolved as a separate PSA population; left blank rather than use regular Unleashed.</x:v>
      </x:c>
    </x:row>
    <x:row r="53" ht="26.399999618530273" hidden="0" customHeight="1">
      <x:c r="A53" s="89" t="str">
        <x:v>C — Conditional</x:v>
      </x:c>
      <x:c r="B53" s="86" t="n">
        <x:f>'All Physical Cards'!A137</x:f>
        <x:v>136</x:v>
      </x:c>
      <x:c r="C53" s="50" t="str">
        <x:f>'All Physical Cards'!C137</x:f>
        <x:v>Dragonite</x:v>
      </x:c>
      <x:c r="D53" s="50" t="str">
        <x:f>'All Physical Cards'!D137</x:f>
        <x:v>5/20</x:v>
      </x:c>
      <x:c r="E53" s="50" t="str">
        <x:f>'All Physical Cards'!E137</x:f>
        <x:v>Dragon Vault</x:v>
      </x:c>
      <x:c r="F53" s="50" t="n">
        <x:f>'All Physical Cards'!F137</x:f>
        <x:v>2012</x:v>
      </x:c>
      <x:c r="G53" s="50" t="str">
        <x:f>'All Physical Cards'!G137</x:f>
        <x:v>Holo</x:v>
      </x:c>
      <x:c r="H53" s="50" t="str">
        <x:f>'All Physical Cards'!H137</x:f>
        <x:v>1 of 3</x:v>
      </x:c>
      <x:c r="I53" s="91" t="n">
        <x:f>'All Physical Cards'!I137</x:f>
        <x:v>25</x:v>
      </x:c>
      <x:c r="J53" s="91" t="n">
        <x:f>'All Physical Cards'!J137</x:f>
        <x:v>35</x:v>
      </x:c>
      <x:c r="K53" s="91" t="n">
        <x:f>'All Physical Cards'!K137</x:f>
        <x:v>30</x:v>
      </x:c>
      <x:c r="L53" s="91" t="n">
        <x:f>'All Physical Cards'!S137</x:f>
        <x:v>30</x:v>
      </x:c>
      <x:c r="M53" s="50" t="str">
        <x:f>'All Physical Cards'!P137</x:f>
        <x:v>Clean/NM benchmark unless noted</x:v>
      </x:c>
      <x:c r="N53" s="50" t="str">
        <x:v>Meaningful raw value; grade can add collector premium; Holo surface quality matters heavily; Popular Pokémon demand</x:v>
      </x:c>
      <x:c r="O53" s="50" t="str">
        <x:v>Submit only with a realistic PSA 9/10 outlook.</x:v>
      </x:c>
      <x:c r="P53" s="50" t="str">
        <x:v>Wait for cheap grading; submit only if pre-grade is strong.</x:v>
      </x:c>
      <x:c r="Q53" s="50" t="str">
        <x:v>Not inspected</x:v>
      </x:c>
      <x:c r="R53" s="50" t="str">
        <x:v>Undecided</x:v>
      </x:c>
      <x:c r="S53" s="50" t="n">
        <x:f>'All Physical Cards'!W137</x:f>
        <x:v>0</x:v>
      </x:c>
      <x:c r="T53" s="115"/>
      <x:c r="U53" s="115"/>
      <x:c r="V53" s="115"/>
      <x:c r="W53" s="115"/>
      <x:c r="X53" s="20"/>
      <x:c r="Y53" s="20"/>
      <x:c r="Z53" s="20"/>
      <x:c r="AA53" s="20"/>
      <x:c r="AB53" s="20"/>
      <x:c r="AC53" s="20" t="str">
        <x:v>PriceCharting baseline retained. Exact PSA sales data were not sufficiently useful/available in the verification pass; no unrelated printing or variant was substituted.</x:v>
      </x:c>
      <x:c r="AD53" s="20" t="str">
        <x:v>https://www.pricecharting.com/game/pokemon-dragon-vault/dragonite-5</x:v>
      </x:c>
      <x:c r="AE53" s="131"/>
      <x:c r="AF53" s="131"/>
      <x:c r="AG53" s="131"/>
      <x:c r="AH53" s="131"/>
      <x:c r="AI53" s="131"/>
      <x:c r="AJ53" s="61"/>
      <x:c r="AK53" s="61" t="n">
        <x:v>31</x:v>
      </x:c>
      <x:c r="AL53" s="61" t="n">
        <x:v>60.5</x:v>
      </x:c>
      <x:c r="AM53" s="61" t="n">
        <x:v>249.99</x:v>
      </x:c>
      <x:c r="AN53" s="61" t="n">
        <x:v>2005.4</x:v>
      </x:c>
      <x:c r="AO53" s="61"/>
      <x:c r="AP53" s="61"/>
      <x:c r="AQ53" s="61"/>
      <x:c r="AR53" s="20" t="str">
        <x:v>PriceCharting baseline</x:v>
      </x:c>
      <x:c r="AS53" s="20" t="str">
        <x:v>PriceCharting grade value retained where an exact, sufficiently useful PSA sales cross-check was not found. No unrelated printing/variant was substituted.</x:v>
      </x:c>
      <x:c r="AT53" s="176"/>
      <x:c r="AU53" s="176"/>
      <x:c r="AV53" s="176"/>
      <x:c r="AW53" s="176"/>
      <x:c r="AX53" s="176"/>
      <x:c r="AY53" s="176"/>
      <x:c r="AZ53" s="20" t="str">
        <x:v>https://www.psacard.com/Pop</x:v>
      </x:c>
      <x:c r="BA53" s="20" t="str">
        <x:v>PSA-direct population for this exact printing/grade was not confidently resolved from PSA's accessible/indexed pages on 2026-08-17. Prior PriceCharting/Pikawiz population figures were removed rather than retained.</x:v>
      </x:c>
    </x:row>
    <x:row r="54" ht="26.399999618530273" hidden="0" customHeight="1">
      <x:c r="A54" s="89" t="str">
        <x:v>C — Conditional</x:v>
      </x:c>
      <x:c r="B54" s="86" t="n">
        <x:f>'All Physical Cards'!A138</x:f>
        <x:v>137</x:v>
      </x:c>
      <x:c r="C54" s="50" t="str">
        <x:f>'All Physical Cards'!C138</x:f>
        <x:v>Dragonite</x:v>
      </x:c>
      <x:c r="D54" s="50" t="str">
        <x:f>'All Physical Cards'!D138</x:f>
        <x:v>5/20</x:v>
      </x:c>
      <x:c r="E54" s="50" t="str">
        <x:f>'All Physical Cards'!E138</x:f>
        <x:v>Dragon Vault</x:v>
      </x:c>
      <x:c r="F54" s="50" t="n">
        <x:f>'All Physical Cards'!F138</x:f>
        <x:v>2012</x:v>
      </x:c>
      <x:c r="G54" s="50" t="str">
        <x:f>'All Physical Cards'!G138</x:f>
        <x:v>Holo</x:v>
      </x:c>
      <x:c r="H54" s="50" t="str">
        <x:f>'All Physical Cards'!H138</x:f>
        <x:v>2 of 3</x:v>
      </x:c>
      <x:c r="I54" s="91" t="n">
        <x:f>'All Physical Cards'!I138</x:f>
        <x:v>25</x:v>
      </x:c>
      <x:c r="J54" s="91" t="n">
        <x:f>'All Physical Cards'!J138</x:f>
        <x:v>35</x:v>
      </x:c>
      <x:c r="K54" s="91" t="n">
        <x:f>'All Physical Cards'!K138</x:f>
        <x:v>30</x:v>
      </x:c>
      <x:c r="L54" s="91" t="n">
        <x:f>'All Physical Cards'!S138</x:f>
        <x:v>30</x:v>
      </x:c>
      <x:c r="M54" s="50" t="str">
        <x:f>'All Physical Cards'!P138</x:f>
        <x:v>Clean/NM benchmark unless noted</x:v>
      </x:c>
      <x:c r="N54" s="50" t="str">
        <x:v>Meaningful raw value; grade can add collector premium; Holo surface quality matters heavily; Popular Pokémon demand</x:v>
      </x:c>
      <x:c r="O54" s="50" t="str">
        <x:v>Submit only with a realistic PSA 9/10 outlook.</x:v>
      </x:c>
      <x:c r="P54" s="50" t="str">
        <x:v>Wait for cheap grading; submit only if pre-grade is strong.</x:v>
      </x:c>
      <x:c r="Q54" s="50" t="str">
        <x:v>Not inspected</x:v>
      </x:c>
      <x:c r="R54" s="50" t="str">
        <x:v>Undecided</x:v>
      </x:c>
      <x:c r="S54" s="50" t="n">
        <x:f>'All Physical Cards'!W138</x:f>
        <x:v>0</x:v>
      </x:c>
      <x:c r="T54" s="115"/>
      <x:c r="U54" s="115"/>
      <x:c r="V54" s="115"/>
      <x:c r="W54" s="115"/>
      <x:c r="X54" s="20"/>
      <x:c r="Y54" s="20"/>
      <x:c r="Z54" s="20"/>
      <x:c r="AA54" s="20"/>
      <x:c r="AB54" s="20"/>
      <x:c r="AC54" s="20" t="str">
        <x:v>PriceCharting baseline retained. Exact PSA sales data were not sufficiently useful/available in the verification pass; no unrelated printing or variant was substituted.</x:v>
      </x:c>
      <x:c r="AD54" s="20" t="str">
        <x:v>https://www.pricecharting.com/game/pokemon-dragon-vault/dragonite-5</x:v>
      </x:c>
      <x:c r="AE54" s="131"/>
      <x:c r="AF54" s="131"/>
      <x:c r="AG54" s="131"/>
      <x:c r="AH54" s="131"/>
      <x:c r="AI54" s="131"/>
      <x:c r="AJ54" s="61"/>
      <x:c r="AK54" s="61" t="n">
        <x:v>31</x:v>
      </x:c>
      <x:c r="AL54" s="61" t="n">
        <x:v>60.5</x:v>
      </x:c>
      <x:c r="AM54" s="61" t="n">
        <x:v>249.99</x:v>
      </x:c>
      <x:c r="AN54" s="61" t="n">
        <x:v>2005.4</x:v>
      </x:c>
      <x:c r="AO54" s="61"/>
      <x:c r="AP54" s="61"/>
      <x:c r="AQ54" s="61"/>
      <x:c r="AR54" s="20" t="str">
        <x:v>PriceCharting baseline</x:v>
      </x:c>
      <x:c r="AS54" s="20" t="str">
        <x:v>PriceCharting grade value retained where an exact, sufficiently useful PSA sales cross-check was not found. No unrelated printing/variant was substituted.</x:v>
      </x:c>
      <x:c r="AT54" s="176"/>
      <x:c r="AU54" s="176"/>
      <x:c r="AV54" s="176"/>
      <x:c r="AW54" s="176"/>
      <x:c r="AX54" s="176"/>
      <x:c r="AY54" s="176"/>
      <x:c r="AZ54" s="20" t="str">
        <x:v>https://www.psacard.com/Pop</x:v>
      </x:c>
      <x:c r="BA54" s="20" t="str">
        <x:v>PSA-direct population for this exact printing/grade was not confidently resolved from PSA's accessible/indexed pages on 2026-08-17. Prior PriceCharting/Pikawiz population figures were removed rather than retained.</x:v>
      </x:c>
    </x:row>
    <x:row r="55" ht="26.399999618530273" hidden="0" customHeight="1">
      <x:c r="A55" s="89" t="str">
        <x:v>C — Conditional</x:v>
      </x:c>
      <x:c r="B55" s="86" t="n">
        <x:f>'All Physical Cards'!A498</x:f>
        <x:v>497</x:v>
      </x:c>
      <x:c r="C55" s="50" t="str">
        <x:f>'All Physical Cards'!C498</x:f>
        <x:v>Pikachu</x:v>
      </x:c>
      <x:c r="D55" s="50" t="str">
        <x:f>'All Physical Cards'!D498</x:f>
        <x:v>50/149</x:v>
      </x:c>
      <x:c r="E55" s="50" t="str">
        <x:f>'All Physical Cards'!E498</x:f>
        <x:v>Boundaries Crossed</x:v>
      </x:c>
      <x:c r="F55" s="50" t="n">
        <x:f>'All Physical Cards'!F498</x:f>
        <x:v>2012</x:v>
      </x:c>
      <x:c r="G55" s="50" t="str">
        <x:f>'All Physical Cards'!G498</x:f>
        <x:v>Reverse Holo</x:v>
      </x:c>
      <x:c r="H55" s="50" t="str">
        <x:f>'All Physical Cards'!H498</x:f>
        <x:v>1 of 1</x:v>
      </x:c>
      <x:c r="I55" s="91" t="n">
        <x:f>'All Physical Cards'!I498</x:f>
        <x:v>24</x:v>
      </x:c>
      <x:c r="J55" s="91" t="n">
        <x:f>'All Physical Cards'!J498</x:f>
        <x:v>34</x:v>
      </x:c>
      <x:c r="K55" s="91" t="n">
        <x:f>'All Physical Cards'!K498</x:f>
        <x:v>29</x:v>
      </x:c>
      <x:c r="L55" s="91" t="n">
        <x:f>'All Physical Cards'!S498</x:f>
        <x:v>29</x:v>
      </x:c>
      <x:c r="M55" s="50" t="str">
        <x:f>'All Physical Cards'!P498</x:f>
        <x:v>Clean/NM benchmark unless noted</x:v>
      </x:c>
      <x:c r="N55" s="50" t="str">
        <x:v>Meaningful raw value; grade can add collector premium; Older reverse holo; clean copies are condition-sensitive; Popular Pokémon demand</x:v>
      </x:c>
      <x:c r="O55" s="50" t="str">
        <x:v>Submit only with a realistic PSA 9/10 outlook.</x:v>
      </x:c>
      <x:c r="P55" s="50" t="str">
        <x:v>Wait for cheap grading; submit only if pre-grade is strong.</x:v>
      </x:c>
      <x:c r="Q55" s="50" t="str">
        <x:v>Not inspected</x:v>
      </x:c>
      <x:c r="R55" s="50" t="str">
        <x:v>Undecided</x:v>
      </x:c>
      <x:c r="S55" s="50" t="str">
        <x:f>'All Physical Cards'!W498</x:f>
        <x:v>https://www.tcgplayer.com/categories/trading-and-collectible-card-games/pokemon/price-guides/boundaries-crossed</x:v>
      </x:c>
      <x:c r="T55" s="115"/>
      <x:c r="U55" s="115"/>
      <x:c r="V55" s="115"/>
      <x:c r="W55" s="115"/>
      <x:c r="X55" s="20"/>
      <x:c r="Y55" s="20"/>
      <x:c r="Z55" s="20"/>
      <x:c r="AA55" s="20"/>
      <x:c r="AB55" s="20"/>
      <x:c r="AC55" s="20" t="str">
        <x:v>PriceCharting baseline retained. Exact PSA sales data were not sufficiently useful/available in the verification pass; no unrelated printing or variant was substituted.</x:v>
      </x:c>
      <x:c r="AD55" s="20" t="str">
        <x:v>https://www.pricecharting.com/game/pokemon-boundaries-crossed/pikachu-reverse-holo-50</x:v>
      </x:c>
      <x:c r="AE55" s="131"/>
      <x:c r="AF55" s="131"/>
      <x:c r="AG55" s="131"/>
      <x:c r="AH55" s="131"/>
      <x:c r="AI55" s="131"/>
      <x:c r="AJ55" s="61"/>
      <x:c r="AK55" s="61" t="n">
        <x:v>28.95</x:v>
      </x:c>
      <x:c r="AL55" s="61" t="n">
        <x:v>33.26</x:v>
      </x:c>
      <x:c r="AM55" s="61" t="n">
        <x:v>658.85</x:v>
      </x:c>
      <x:c r="AN55" s="61" t="n">
        <x:v>791</x:v>
      </x:c>
      <x:c r="AO55" s="61"/>
      <x:c r="AP55" s="61"/>
      <x:c r="AQ55" s="61"/>
      <x:c r="AR55" s="20" t="str">
        <x:v>PriceCharting baseline</x:v>
      </x:c>
      <x:c r="AS55" s="20" t="str">
        <x:v>PriceCharting grade value retained where an exact, sufficiently useful PSA sales cross-check was not found. No unrelated printing/variant was substituted.</x:v>
      </x:c>
      <x:c r="AT55" s="176"/>
      <x:c r="AU55" s="176"/>
      <x:c r="AV55" s="176"/>
      <x:c r="AW55" s="176"/>
      <x:c r="AX55" s="176"/>
      <x:c r="AY55" s="176"/>
      <x:c r="AZ55" s="20" t="str">
        <x:v>https://www.psacard.com/Pop</x:v>
      </x:c>
      <x:c r="BA55" s="20" t="str">
        <x:v>PSA-direct population for this exact printing/grade was not confidently resolved from PSA's accessible/indexed pages on 2026-08-17. Prior PriceCharting/Pikawiz population figures were removed rather than retained.</x:v>
      </x:c>
    </x:row>
    <x:row r="56" ht="26.399999618530273" hidden="0" customHeight="1">
      <x:c r="A56" s="89" t="str">
        <x:v>C — Conditional</x:v>
      </x:c>
      <x:c r="B56" s="86" t="n">
        <x:f>'All Physical Cards'!A570</x:f>
        <x:v>569</x:v>
      </x:c>
      <x:c r="C56" s="50" t="str">
        <x:f>'All Physical Cards'!C570</x:f>
        <x:v>Ampharos</x:v>
      </x:c>
      <x:c r="D56" s="50" t="str">
        <x:f>'All Physical Cards'!D570</x:f>
        <x:v>1/132</x:v>
      </x:c>
      <x:c r="E56" s="50" t="str">
        <x:f>'All Physical Cards'!E570</x:f>
        <x:v>Secret Wonders</x:v>
      </x:c>
      <x:c r="F56" s="50" t="n">
        <x:f>'All Physical Cards'!F570</x:f>
        <x:v>2007</x:v>
      </x:c>
      <x:c r="G56" s="50" t="str">
        <x:f>'All Physical Cards'!G570</x:f>
        <x:v>Holo Rare (LV.52)</x:v>
      </x:c>
      <x:c r="H56" s="50" t="str">
        <x:f>'All Physical Cards'!H570</x:f>
        <x:v>1 of 1</x:v>
      </x:c>
      <x:c r="I56" s="91" t="n">
        <x:f>'All Physical Cards'!I570</x:f>
        <x:v>20</x:v>
      </x:c>
      <x:c r="J56" s="91" t="n">
        <x:f>'All Physical Cards'!J570</x:f>
        <x:v>35</x:v>
      </x:c>
      <x:c r="K56" s="91" t="n">
        <x:f>'All Physical Cards'!K570</x:f>
        <x:v>27.5</x:v>
      </x:c>
      <x:c r="L56" s="91" t="n">
        <x:f>'All Physical Cards'!S570</x:f>
        <x:v>11.25</x:v>
      </x:c>
      <x:c r="M56" s="50" t="str">
        <x:f>'All Physical Cards'!P570</x:f>
        <x:v>Played / condition uncertain; user says not in best condition</x:v>
      </x:c>
      <x:c r="N56" s="50" t="str">
        <x:v>Meaningful raw value; grade can add collector premium; Holo surface quality matters heavily; Older card; high-grade supply is naturally thinner</x:v>
      </x:c>
      <x:c r="O56" s="50" t="str">
        <x:v>Known wear already reported — inspect first; likely hold raw unless the actual card presents much better than the note.</x:v>
      </x:c>
      <x:c r="P56" s="50" t="str">
        <x:v>Wait for cheap grading; submit only if pre-grade is strong.</x:v>
      </x:c>
      <x:c r="Q56" s="50" t="str">
        <x:v>Not inspected</x:v>
      </x:c>
      <x:c r="R56" s="50" t="str">
        <x:v>Undecided</x:v>
      </x:c>
      <x:c r="S56" s="50" t="str">
        <x:f>'All Physical Cards'!W570</x:f>
        <x:v>https://www.pricecharting.com/game/pokemon-secret-wonders/ampharos-1</x:v>
      </x:c>
      <x:c r="T56" s="115"/>
      <x:c r="U56" s="115"/>
      <x:c r="V56" s="115"/>
      <x:c r="W56" s="115"/>
      <x:c r="X56" s="20"/>
      <x:c r="Y56" s="20"/>
      <x:c r="Z56" s="20"/>
      <x:c r="AA56" s="20"/>
      <x:c r="AB56" s="20"/>
      <x:c r="AC56" s="20" t="str">
        <x:v>PriceCharting baseline retained. Exact PSA sales data were not sufficiently useful/available in the verification pass; no unrelated printing or variant was substituted.</x:v>
      </x:c>
      <x:c r="AD56" s="20" t="str">
        <x:v>https://www.pricecharting.com/game/pokemon-secret-wonders/ampharos-1</x:v>
      </x:c>
      <x:c r="AE56" s="131"/>
      <x:c r="AF56" s="131"/>
      <x:c r="AG56" s="131"/>
      <x:c r="AH56" s="131"/>
      <x:c r="AI56" s="131"/>
      <x:c r="AJ56" s="61"/>
      <x:c r="AK56" s="61" t="n">
        <x:v>73.85</x:v>
      </x:c>
      <x:c r="AL56" s="61" t="n">
        <x:v>153.5</x:v>
      </x:c>
      <x:c r="AM56" s="61" t="n">
        <x:v>198.77</x:v>
      </x:c>
      <x:c r="AN56" s="61" t="n">
        <x:v>2025</x:v>
      </x:c>
      <x:c r="AO56" s="61"/>
      <x:c r="AP56" s="61"/>
      <x:c r="AQ56" s="61"/>
      <x:c r="AR56" s="20" t="str">
        <x:v>PriceCharting baseline</x:v>
      </x:c>
      <x:c r="AS56" s="20" t="str">
        <x:v>PriceCharting grade value retained where an exact, sufficiently useful PSA sales cross-check was not found. No unrelated printing/variant was substituted.</x:v>
      </x:c>
      <x:c r="AT56" s="176"/>
      <x:c r="AU56" s="176"/>
      <x:c r="AV56" s="176"/>
      <x:c r="AW56" s="176"/>
      <x:c r="AX56" s="176"/>
      <x:c r="AY56" s="176"/>
      <x:c r="AZ56" s="20" t="str">
        <x:v>https://www.psacard.com/Pop</x:v>
      </x:c>
      <x:c r="BA56" s="20" t="str">
        <x:v>PSA-direct population for this exact printing/grade was not confidently resolved from PSA's accessible/indexed pages on 2026-08-17. Prior PriceCharting/Pikawiz population figures were removed rather than retained.</x:v>
      </x:c>
    </x:row>
    <x:row r="57" ht="26.399999618530273" hidden="0" customHeight="1">
      <x:c r="A57" s="89" t="str">
        <x:v>C — Conditional</x:v>
      </x:c>
      <x:c r="B57" s="86" t="n">
        <x:f>'All Physical Cards'!A146</x:f>
        <x:v>145</x:v>
      </x:c>
      <x:c r="C57" s="50" t="str">
        <x:f>'All Physical Cards'!C146</x:f>
        <x:v>Haxorus</x:v>
      </x:c>
      <x:c r="D57" s="50" t="str">
        <x:f>'All Physical Cards'!D146</x:f>
        <x:v>16/20</x:v>
      </x:c>
      <x:c r="E57" s="50" t="str">
        <x:f>'All Physical Cards'!E146</x:f>
        <x:v>Dragon Vault</x:v>
      </x:c>
      <x:c r="F57" s="50" t="n">
        <x:f>'All Physical Cards'!F146</x:f>
        <x:v>2012</x:v>
      </x:c>
      <x:c r="G57" s="50" t="str">
        <x:f>'All Physical Cards'!G146</x:f>
        <x:v>Dragon Vault stamped blister promo</x:v>
      </x:c>
      <x:c r="H57" s="50" t="str">
        <x:f>'All Physical Cards'!H146</x:f>
        <x:v>1 of 1</x:v>
      </x:c>
      <x:c r="I57" s="91" t="n">
        <x:f>'All Physical Cards'!I146</x:f>
        <x:v>25</x:v>
      </x:c>
      <x:c r="J57" s="91" t="n">
        <x:f>'All Physical Cards'!J146</x:f>
        <x:v>27</x:v>
      </x:c>
      <x:c r="K57" s="91" t="n">
        <x:f>'All Physical Cards'!K146</x:f>
        <x:v>26</x:v>
      </x:c>
      <x:c r="L57" s="91" t="n">
        <x:f>'All Physical Cards'!S146</x:f>
        <x:v>26</x:v>
      </x:c>
      <x:c r="M57" s="50" t="str">
        <x:f>'All Physical Cards'!P146</x:f>
        <x:v>Clean/NM benchmark unless noted</x:v>
      </x:c>
      <x:c r="N57" s="50" t="str">
        <x:v>Meaningful raw value; grade can add collector premium</x:v>
      </x:c>
      <x:c r="O57" s="50" t="str">
        <x:v>Submit only with a realistic PSA 9/10 outlook.</x:v>
      </x:c>
      <x:c r="P57" s="50" t="str">
        <x:v>Wait for cheap grading; submit only if pre-grade is strong.</x:v>
      </x:c>
      <x:c r="Q57" s="50" t="str">
        <x:v>Not inspected</x:v>
      </x:c>
      <x:c r="R57" s="50" t="str">
        <x:v>Undecided</x:v>
      </x:c>
      <x:c r="S57" s="50" t="n">
        <x:f>'All Physical Cards'!W146</x:f>
        <x:v>0</x:v>
      </x:c>
      <x:c r="T57" s="115"/>
      <x:c r="U57" s="115"/>
      <x:c r="V57" s="115"/>
      <x:c r="W57" s="115"/>
      <x:c r="X57" s="20"/>
      <x:c r="Y57" s="20"/>
      <x:c r="Z57" s="20"/>
      <x:c r="AA57" s="20"/>
      <x:c r="AB57" s="20"/>
      <x:c r="AC57" s="20" t="str">
        <x:v>PriceCharting baseline retained. Exact PSA sales data were not sufficiently useful/available in the verification pass; no unrelated printing or variant was substituted.</x:v>
      </x:c>
      <x:c r="AD57" s="20" t="str">
        <x:v>https://www.pricecharting.com/game/pokemon-dragon-vault/haxorus-stamped-16</x:v>
      </x:c>
      <x:c r="AE57" s="131"/>
      <x:c r="AF57" s="131"/>
      <x:c r="AG57" s="131"/>
      <x:c r="AH57" s="131"/>
      <x:c r="AI57" s="131"/>
      <x:c r="AJ57" s="61"/>
      <x:c r="AK57" s="61" t="n">
        <x:v>35</x:v>
      </x:c>
      <x:c r="AL57" s="61" t="n">
        <x:v>43.68</x:v>
      </x:c>
      <x:c r="AM57" s="61" t="n">
        <x:v>1250</x:v>
      </x:c>
      <x:c r="AN57" s="61"/>
      <x:c r="AO57" s="61"/>
      <x:c r="AP57" s="61"/>
      <x:c r="AQ57" s="61"/>
      <x:c r="AR57" s="20" t="str">
        <x:v>PriceCharting baseline</x:v>
      </x:c>
      <x:c r="AS57" s="20" t="str">
        <x:v>PriceCharting grade value retained where an exact, sufficiently useful PSA sales cross-check was not found. No unrelated printing/variant was substituted.</x:v>
      </x:c>
      <x:c r="AT57" s="176"/>
      <x:c r="AU57" s="176"/>
      <x:c r="AV57" s="176"/>
      <x:c r="AW57" s="176"/>
      <x:c r="AX57" s="176"/>
      <x:c r="AY57" s="176"/>
      <x:c r="AZ57" s="20" t="str">
        <x:v>https://www.psacard.com/Pop</x:v>
      </x:c>
      <x:c r="BA57" s="20" t="str">
        <x:v>PSA-direct population for this exact printing/grade was not confidently resolved from PSA's accessible/indexed pages on 2026-08-17. Prior PriceCharting/Pikawiz population figures were removed rather than retained.</x:v>
      </x:c>
    </x:row>
    <x:row r="58" ht="26.399999618530273" hidden="0" customHeight="1">
      <x:c r="A58" s="89" t="str">
        <x:v>C — Conditional</x:v>
      </x:c>
      <x:c r="B58" s="86" t="n">
        <x:f>'All Physical Cards'!A514</x:f>
        <x:v>513</x:v>
      </x:c>
      <x:c r="C58" s="50" t="str">
        <x:f>'All Physical Cards'!C514</x:f>
        <x:v>Pikachu</x:v>
      </x:c>
      <x:c r="D58" s="50" t="str">
        <x:f>'All Physical Cards'!D514</x:f>
        <x:v>39/99</x:v>
      </x:c>
      <x:c r="E58" s="50" t="str">
        <x:f>'All Physical Cards'!E514</x:f>
        <x:v>Next Destinies</x:v>
      </x:c>
      <x:c r="F58" s="50" t="n">
        <x:f>'All Physical Cards'!F514</x:f>
        <x:v>2012</x:v>
      </x:c>
      <x:c r="G58" s="50" t="str">
        <x:f>'All Physical Cards'!G514</x:f>
        <x:v>Reverse Holo</x:v>
      </x:c>
      <x:c r="H58" s="50" t="str">
        <x:f>'All Physical Cards'!H514</x:f>
        <x:v>1 of 2</x:v>
      </x:c>
      <x:c r="I58" s="91" t="n">
        <x:f>'All Physical Cards'!I514</x:f>
        <x:v>20</x:v>
      </x:c>
      <x:c r="J58" s="91" t="n">
        <x:f>'All Physical Cards'!J514</x:f>
        <x:v>30</x:v>
      </x:c>
      <x:c r="K58" s="91" t="n">
        <x:f>'All Physical Cards'!K514</x:f>
        <x:v>25</x:v>
      </x:c>
      <x:c r="L58" s="91" t="n">
        <x:f>'All Physical Cards'!S514</x:f>
        <x:v>25</x:v>
      </x:c>
      <x:c r="M58" s="50" t="str">
        <x:f>'All Physical Cards'!P514</x:f>
        <x:v>Clean/NM benchmark unless noted</x:v>
      </x:c>
      <x:c r="N58" s="50" t="str">
        <x:v>Meaningful raw value; grade can add collector premium; Older reverse holo; clean copies are condition-sensitive; Popular Pokémon demand</x:v>
      </x:c>
      <x:c r="O58" s="50" t="str">
        <x:v>Submit only with a realistic PSA 9/10 outlook.</x:v>
      </x:c>
      <x:c r="P58" s="50" t="str">
        <x:v>Wait for cheap grading; submit only if pre-grade is strong.</x:v>
      </x:c>
      <x:c r="Q58" s="50" t="str">
        <x:v>Not inspected</x:v>
      </x:c>
      <x:c r="R58" s="50" t="str">
        <x:v>Undecided</x:v>
      </x:c>
      <x:c r="S58" s="50" t="str">
        <x:f>'All Physical Cards'!W514</x:f>
        <x:v>https://www.tcgplayer.com/categories/trading-collectible-card-games/pokemon/price-guides/next-destinies</x:v>
      </x:c>
      <x:c r="T58" s="115"/>
      <x:c r="U58" s="115"/>
      <x:c r="V58" s="115"/>
      <x:c r="W58" s="115"/>
      <x:c r="X58" s="20"/>
      <x:c r="Y58" s="20"/>
      <x:c r="Z58" s="20"/>
      <x:c r="AA58" s="20"/>
      <x:c r="AB58" s="20"/>
      <x:c r="AC58" s="20" t="str">
        <x:v>PriceCharting baseline retained. Exact PSA sales data were not sufficiently useful/available in the verification pass; no unrelated printing or variant was substituted.</x:v>
      </x:c>
      <x:c r="AD58" s="20" t="str">
        <x:v>https://www.pricecharting.com/game/pokemon-next-destinies/pikachu-reverse-holo-39</x:v>
      </x:c>
      <x:c r="AE58" s="131"/>
      <x:c r="AF58" s="131"/>
      <x:c r="AG58" s="131"/>
      <x:c r="AH58" s="131"/>
      <x:c r="AI58" s="131"/>
      <x:c r="AJ58" s="61"/>
      <x:c r="AK58" s="61"/>
      <x:c r="AL58" s="61" t="n">
        <x:v>42.1</x:v>
      </x:c>
      <x:c r="AM58" s="61" t="n">
        <x:v>411.75</x:v>
      </x:c>
      <x:c r="AN58" s="61" t="n">
        <x:v>494</x:v>
      </x:c>
      <x:c r="AO58" s="61"/>
      <x:c r="AP58" s="61"/>
      <x:c r="AQ58" s="61"/>
      <x:c r="AR58" s="20" t="str">
        <x:v>PriceCharting baseline</x:v>
      </x:c>
      <x:c r="AS58" s="20" t="str">
        <x:v>PriceCharting grade value retained where an exact, sufficiently useful PSA sales cross-check was not found. No unrelated printing/variant was substituted.</x:v>
      </x:c>
      <x:c r="AT58" s="176" t="n">
        <x:v>4</x:v>
      </x:c>
      <x:c r="AU58" s="176" t="n">
        <x:v>3</x:v>
      </x:c>
      <x:c r="AV58" s="176" t="n">
        <x:v>18</x:v>
      </x:c>
      <x:c r="AW58" s="176" t="n">
        <x:v>30</x:v>
      </x:c>
      <x:c r="AX58" s="176" t="n">
        <x:v>2</x:v>
      </x:c>
      <x:c r="AY58" s="176" t="n">
        <x:v>58</x:v>
      </x:c>
      <x:c r="AZ58" s="20" t="str">
        <x:v>https://www.psacard.com/auctionprices/tcg-cards/2012-pokemon-black-white-next-destinies/pikachu-reverse-foil/2184366</x:v>
      </x:c>
      <x:c r="BA58" s="20" t="str">
        <x:v>PSA official Auction Prices/Population table for the exact Reverse Foil printing. Total includes grades outside 6–10.</x:v>
      </x:c>
    </x:row>
    <x:row r="59" ht="26.399999618530273" hidden="0" customHeight="1">
      <x:c r="A59" s="89" t="str">
        <x:v>C — Conditional</x:v>
      </x:c>
      <x:c r="B59" s="86" t="n">
        <x:f>'All Physical Cards'!A515</x:f>
        <x:v>514</x:v>
      </x:c>
      <x:c r="C59" s="50" t="str">
        <x:f>'All Physical Cards'!C515</x:f>
        <x:v>Pikachu</x:v>
      </x:c>
      <x:c r="D59" s="50" t="str">
        <x:f>'All Physical Cards'!D515</x:f>
        <x:v>39/99</x:v>
      </x:c>
      <x:c r="E59" s="50" t="str">
        <x:f>'All Physical Cards'!E515</x:f>
        <x:v>Next Destinies</x:v>
      </x:c>
      <x:c r="F59" s="50" t="n">
        <x:f>'All Physical Cards'!F515</x:f>
        <x:v>2012</x:v>
      </x:c>
      <x:c r="G59" s="50" t="str">
        <x:f>'All Physical Cards'!G515</x:f>
        <x:v>Reverse Holo</x:v>
      </x:c>
      <x:c r="H59" s="50" t="str">
        <x:f>'All Physical Cards'!H515</x:f>
        <x:v>2 of 2</x:v>
      </x:c>
      <x:c r="I59" s="91" t="n">
        <x:f>'All Physical Cards'!I515</x:f>
        <x:v>20</x:v>
      </x:c>
      <x:c r="J59" s="91" t="n">
        <x:f>'All Physical Cards'!J515</x:f>
        <x:v>30</x:v>
      </x:c>
      <x:c r="K59" s="91" t="n">
        <x:f>'All Physical Cards'!K515</x:f>
        <x:v>25</x:v>
      </x:c>
      <x:c r="L59" s="91" t="n">
        <x:f>'All Physical Cards'!S515</x:f>
        <x:v>25</x:v>
      </x:c>
      <x:c r="M59" s="50" t="str">
        <x:f>'All Physical Cards'!P515</x:f>
        <x:v>Clean/NM benchmark unless noted</x:v>
      </x:c>
      <x:c r="N59" s="50" t="str">
        <x:v>Meaningful raw value; grade can add collector premium; Older reverse holo; clean copies are condition-sensitive; Popular Pokémon demand</x:v>
      </x:c>
      <x:c r="O59" s="50" t="str">
        <x:v>Submit only with a realistic PSA 9/10 outlook.</x:v>
      </x:c>
      <x:c r="P59" s="50" t="str">
        <x:v>Wait for cheap grading; submit only if pre-grade is strong.</x:v>
      </x:c>
      <x:c r="Q59" s="50" t="str">
        <x:v>Not inspected</x:v>
      </x:c>
      <x:c r="R59" s="50" t="str">
        <x:v>Undecided</x:v>
      </x:c>
      <x:c r="S59" s="50" t="str">
        <x:f>'All Physical Cards'!W515</x:f>
        <x:v>https://www.tcgplayer.com/categories/trading-collectible-card-games/pokemon/price-guides/next-destinies</x:v>
      </x:c>
      <x:c r="T59" s="115"/>
      <x:c r="U59" s="115"/>
      <x:c r="V59" s="115"/>
      <x:c r="W59" s="115"/>
      <x:c r="X59" s="20"/>
      <x:c r="Y59" s="20"/>
      <x:c r="Z59" s="20"/>
      <x:c r="AA59" s="20"/>
      <x:c r="AB59" s="20"/>
      <x:c r="AC59" s="20" t="str">
        <x:v>PriceCharting baseline retained. Exact PSA sales data were not sufficiently useful/available in the verification pass; no unrelated printing or variant was substituted.</x:v>
      </x:c>
      <x:c r="AD59" s="20" t="str">
        <x:v>https://www.pricecharting.com/game/pokemon-next-destinies/pikachu-reverse-holo-39</x:v>
      </x:c>
      <x:c r="AE59" s="131"/>
      <x:c r="AF59" s="131"/>
      <x:c r="AG59" s="131"/>
      <x:c r="AH59" s="131"/>
      <x:c r="AI59" s="131"/>
      <x:c r="AJ59" s="61"/>
      <x:c r="AK59" s="61"/>
      <x:c r="AL59" s="61" t="n">
        <x:v>42.1</x:v>
      </x:c>
      <x:c r="AM59" s="61" t="n">
        <x:v>411.75</x:v>
      </x:c>
      <x:c r="AN59" s="61" t="n">
        <x:v>494</x:v>
      </x:c>
      <x:c r="AO59" s="61"/>
      <x:c r="AP59" s="61"/>
      <x:c r="AQ59" s="61"/>
      <x:c r="AR59" s="20" t="str">
        <x:v>PriceCharting baseline</x:v>
      </x:c>
      <x:c r="AS59" s="20" t="str">
        <x:v>PriceCharting grade value retained where an exact, sufficiently useful PSA sales cross-check was not found. No unrelated printing/variant was substituted.</x:v>
      </x:c>
      <x:c r="AT59" s="176" t="n">
        <x:v>4</x:v>
      </x:c>
      <x:c r="AU59" s="176" t="n">
        <x:v>3</x:v>
      </x:c>
      <x:c r="AV59" s="176" t="n">
        <x:v>18</x:v>
      </x:c>
      <x:c r="AW59" s="176" t="n">
        <x:v>30</x:v>
      </x:c>
      <x:c r="AX59" s="176" t="n">
        <x:v>2</x:v>
      </x:c>
      <x:c r="AY59" s="176" t="n">
        <x:v>58</x:v>
      </x:c>
      <x:c r="AZ59" s="20" t="str">
        <x:v>https://www.psacard.com/auctionprices/tcg-cards/2012-pokemon-black-white-next-destinies/pikachu-reverse-foil/2184366</x:v>
      </x:c>
      <x:c r="BA59" s="20" t="str">
        <x:v>PSA official Auction Prices/Population table for the exact Reverse Foil printing. Total includes grades outside 6–10.</x:v>
      </x:c>
    </x:row>
    <x:row r="60" ht="26.399999618530273" hidden="0" customHeight="1">
      <x:c r="A60" s="89" t="str">
        <x:v>C — Conditional</x:v>
      </x:c>
      <x:c r="B60" s="86" t="n">
        <x:f>'All Physical Cards'!A643</x:f>
        <x:v>642</x:v>
      </x:c>
      <x:c r="C60" s="50" t="str">
        <x:f>'All Physical Cards'!C643</x:f>
        <x:v>Landorus</x:v>
      </x:c>
      <x:c r="D60" s="50" t="str">
        <x:f>'All Physical Cards'!D643</x:f>
        <x:v>BW43</x:v>
      </x:c>
      <x:c r="E60" s="50" t="str">
        <x:f>'All Physical Cards'!E643</x:f>
        <x:v>BW Black Star Promos</x:v>
      </x:c>
      <x:c r="F60" s="50" t="n">
        <x:f>'All Physical Cards'!F643</x:f>
        <x:v>2012</x:v>
      </x:c>
      <x:c r="G60" s="50" t="str">
        <x:f>'All Physical Cards'!G643</x:f>
        <x:v>Full Art Holo Promo</x:v>
      </x:c>
      <x:c r="H60" s="50" t="str">
        <x:f>'All Physical Cards'!H643</x:f>
        <x:v>1 of 2</x:v>
      </x:c>
      <x:c r="I60" s="91" t="n">
        <x:f>'All Physical Cards'!I643</x:f>
        <x:v>15</x:v>
      </x:c>
      <x:c r="J60" s="91" t="n">
        <x:f>'All Physical Cards'!J643</x:f>
        <x:v>35</x:v>
      </x:c>
      <x:c r="K60" s="91" t="n">
        <x:f>'All Physical Cards'!K643</x:f>
        <x:v>25</x:v>
      </x:c>
      <x:c r="L60" s="91" t="n">
        <x:f>'All Physical Cards'!S643</x:f>
        <x:v>25</x:v>
      </x:c>
      <x:c r="M60" s="50" t="str">
        <x:f>'All Physical Cards'!P643</x:f>
        <x:v>Clean/NM benchmark unless noted</x:v>
      </x:c>
      <x:c r="N60" s="50" t="str">
        <x:v>Meaningful raw value; grade can add collector premium; Full Art collector demand</x:v>
      </x:c>
      <x:c r="O60" s="50" t="str">
        <x:v>Submit only with a realistic PSA 9/10 outlook.</x:v>
      </x:c>
      <x:c r="P60" s="50" t="str">
        <x:v>Wait for cheap grading; submit only if pre-grade is strong.</x:v>
      </x:c>
      <x:c r="Q60" s="50" t="str">
        <x:v>Not inspected</x:v>
      </x:c>
      <x:c r="R60" s="50" t="str">
        <x:v>Undecided</x:v>
      </x:c>
      <x:c r="S60" s="50" t="str">
        <x:f>'All Physical Cards'!W643</x:f>
        <x:v>https://www.pricecharting.com/game/pokemon-promo/landorus-bw43</x:v>
      </x:c>
      <x:c r="T60" s="115"/>
      <x:c r="U60" s="115"/>
      <x:c r="V60" s="115"/>
      <x:c r="W60" s="115"/>
      <x:c r="X60" s="20"/>
      <x:c r="Y60" s="20"/>
      <x:c r="Z60" s="20"/>
      <x:c r="AA60" s="20"/>
      <x:c r="AB60" s="20"/>
      <x:c r="AC60" s="20" t="str">
        <x:v>PriceCharting baseline retained. Exact PSA sales data were not sufficiently useful/available in the verification pass; no unrelated printing or variant was substituted.</x:v>
      </x:c>
      <x:c r="AD60" s="20" t="str">
        <x:v>https://www.pricecharting.com/game/pokemon-promo/landorus-bw43</x:v>
      </x:c>
      <x:c r="AE60" s="131"/>
      <x:c r="AF60" s="131"/>
      <x:c r="AG60" s="131"/>
      <x:c r="AH60" s="131"/>
      <x:c r="AI60" s="131"/>
      <x:c r="AJ60" s="61"/>
      <x:c r="AK60" s="61" t="n">
        <x:v>28.69</x:v>
      </x:c>
      <x:c r="AL60" s="61" t="n">
        <x:v>76.36</x:v>
      </x:c>
      <x:c r="AM60" s="61" t="n">
        <x:v>1500</x:v>
      </x:c>
      <x:c r="AN60" s="61" t="n">
        <x:v>1800</x:v>
      </x:c>
      <x:c r="AO60" s="61"/>
      <x:c r="AP60" s="61"/>
      <x:c r="AQ60" s="61"/>
      <x:c r="AR60" s="20" t="str">
        <x:v>PriceCharting baseline</x:v>
      </x:c>
      <x:c r="AS60" s="20" t="str">
        <x:v>PriceCharting grade value retained where an exact, sufficiently useful PSA sales cross-check was not found. No unrelated printing/variant was substituted.</x:v>
      </x:c>
      <x:c r="AT60" s="176"/>
      <x:c r="AU60" s="176"/>
      <x:c r="AV60" s="176"/>
      <x:c r="AW60" s="176"/>
      <x:c r="AX60" s="176"/>
      <x:c r="AY60" s="176"/>
      <x:c r="AZ60" s="20" t="str">
        <x:v>https://www.psacard.com/Pop</x:v>
      </x:c>
      <x:c r="BA60" s="20" t="str">
        <x:v>PSA-direct population for this exact printing/grade was not confidently resolved from PSA's accessible/indexed pages on 2026-08-17. Prior PriceCharting/Pikawiz population figures were removed rather than retained.</x:v>
      </x:c>
    </x:row>
    <x:row r="61" ht="39.599998474121094" hidden="0" customHeight="1">
      <x:c r="A61" s="89" t="str">
        <x:v>C — Conditional</x:v>
      </x:c>
      <x:c r="B61" s="86" t="n">
        <x:f>'All Physical Cards'!A645</x:f>
        <x:v>644</x:v>
      </x:c>
      <x:c r="C61" s="50" t="str">
        <x:f>'All Physical Cards'!C645</x:f>
        <x:v>Suicune &amp; Entei LEGEND</x:v>
      </x:c>
      <x:c r="D61" s="50" t="str">
        <x:f>'All Physical Cards'!D645</x:f>
        <x:v>95/95</x:v>
      </x:c>
      <x:c r="E61" s="50" t="str">
        <x:f>'All Physical Cards'!E645</x:f>
        <x:v>World Championships 2011</x:v>
      </x:c>
      <x:c r="F61" s="50" t="n">
        <x:f>'All Physical Cards'!F645</x:f>
        <x:v>2011</x:v>
      </x:c>
      <x:c r="G61" s="50" t="str">
        <x:f>'All Physical Cards'!G645</x:f>
        <x:v>World Championships — Ross Cawthon / The Truth (Bottom Half)</x:v>
      </x:c>
      <x:c r="H61" s="50" t="str">
        <x:f>'All Physical Cards'!H645</x:f>
        <x:v>1 of 1</x:v>
      </x:c>
      <x:c r="I61" s="91" t="n">
        <x:f>'All Physical Cards'!I645</x:f>
        <x:v>20</x:v>
      </x:c>
      <x:c r="J61" s="91" t="n">
        <x:f>'All Physical Cards'!J645</x:f>
        <x:v>30</x:v>
      </x:c>
      <x:c r="K61" s="91" t="n">
        <x:f>'All Physical Cards'!K645</x:f>
        <x:v>25</x:v>
      </x:c>
      <x:c r="L61" s="91" t="n">
        <x:f>'All Physical Cards'!S645</x:f>
        <x:v>25</x:v>
      </x:c>
      <x:c r="M61" s="50" t="str">
        <x:f>'All Physical Cards'!P645</x:f>
        <x:v>Looks very good per user</x:v>
      </x:c>
      <x:c r="N61" s="50" t="str">
        <x:v>Meaningful raw value; grade can add collector premium; LEGEND-era scarcity; Popular Pokémon demand</x:v>
      </x:c>
      <x:c r="O61" s="50" t="str">
        <x:v>Reported eye appeal is strong — move near the front of the photo/pre-grade queue.</x:v>
      </x:c>
      <x:c r="P61" s="50" t="str">
        <x:v>Wait for cheap grading; submit only if pre-grade is strong.</x:v>
      </x:c>
      <x:c r="Q61" s="50" t="str">
        <x:v>Not inspected</x:v>
      </x:c>
      <x:c r="R61" s="50" t="str">
        <x:v>Undecided</x:v>
      </x:c>
      <x:c r="S61" s="50" t="str">
        <x:f>'All Physical Cards'!W645</x:f>
        <x:v>https://www.tcgplayer.com/search/pokemon/product?q=Suicune+%26+Entei+LEGEND&amp;view=grid</x:v>
      </x:c>
      <x:c r="T61" s="115"/>
      <x:c r="U61" s="115"/>
      <x:c r="V61" s="115"/>
      <x:c r="W61" s="115"/>
      <x:c r="X61" s="20"/>
      <x:c r="Y61" s="20"/>
      <x:c r="Z61" s="20"/>
      <x:c r="AA61" s="20"/>
      <x:c r="AB61" s="20"/>
      <x:c r="AC61" s="20" t="str">
        <x:v>PriceCharting baseline retained. Exact PSA sales data were not sufficiently useful/available in the verification pass; no unrelated printing or variant was substituted.</x:v>
      </x:c>
      <x:c r="AD61" s="20"/>
      <x:c r="AE61" s="131"/>
      <x:c r="AF61" s="131"/>
      <x:c r="AG61" s="131"/>
      <x:c r="AH61" s="131"/>
      <x:c r="AI61" s="131"/>
      <x:c r="AJ61" s="61"/>
      <x:c r="AK61" s="61"/>
      <x:c r="AL61" s="61"/>
      <x:c r="AM61" s="61"/>
      <x:c r="AN61" s="61"/>
      <x:c r="AO61" s="61"/>
      <x:c r="AP61" s="61"/>
      <x:c r="AQ61" s="61"/>
      <x:c r="AR61" s="20" t="str">
        <x:v>PriceCharting baseline</x:v>
      </x:c>
      <x:c r="AS61" s="20" t="str">
        <x:v>PriceCharting grade value retained where an exact, sufficiently useful PSA sales cross-check was not found. No unrelated printing/variant was substituted.</x:v>
      </x:c>
      <x:c r="AT61" s="176"/>
      <x:c r="AU61" s="176"/>
      <x:c r="AV61" s="176"/>
      <x:c r="AW61" s="176"/>
      <x:c r="AX61" s="176"/>
      <x:c r="AY61" s="176"/>
      <x:c r="AZ61" s="20" t="str">
        <x:v>https://www.psacard.com/Pop</x:v>
      </x:c>
      <x:c r="BA61" s="20" t="str">
        <x:v>Ross Cawthon 2011 World Championships Suicune &amp; Entei LEGEND bottom half #95 was not confidently resolved as a separate PSA population; left blank rather than use regular Unleashed.</x:v>
      </x:c>
    </x:row>
    <x:row r="62" ht="26.399999618530273" hidden="0" customHeight="1">
      <x:c r="A62" s="89" t="str">
        <x:v>C — Conditional</x:v>
      </x:c>
      <x:c r="B62" s="86" t="n">
        <x:f>'All Physical Cards'!A647</x:f>
        <x:v>646</x:v>
      </x:c>
      <x:c r="C62" s="50" t="str">
        <x:f>'All Physical Cards'!C647</x:f>
        <x:v>Landorus</x:v>
      </x:c>
      <x:c r="D62" s="50" t="str">
        <x:f>'All Physical Cards'!D647</x:f>
        <x:v>BW43</x:v>
      </x:c>
      <x:c r="E62" s="50" t="str">
        <x:f>'All Physical Cards'!E647</x:f>
        <x:v>BW Black Star Promos</x:v>
      </x:c>
      <x:c r="F62" s="50" t="n">
        <x:f>'All Physical Cards'!F647</x:f>
        <x:v>2012</x:v>
      </x:c>
      <x:c r="G62" s="50" t="str">
        <x:f>'All Physical Cards'!G647</x:f>
        <x:v>Full Art Holo Promo</x:v>
      </x:c>
      <x:c r="H62" s="50" t="str">
        <x:f>'All Physical Cards'!H647</x:f>
        <x:v>2 of 2</x:v>
      </x:c>
      <x:c r="I62" s="91" t="n">
        <x:f>'All Physical Cards'!I647</x:f>
        <x:v>15</x:v>
      </x:c>
      <x:c r="J62" s="91" t="n">
        <x:f>'All Physical Cards'!J647</x:f>
        <x:v>35</x:v>
      </x:c>
      <x:c r="K62" s="91" t="n">
        <x:f>'All Physical Cards'!K647</x:f>
        <x:v>25</x:v>
      </x:c>
      <x:c r="L62" s="91" t="n">
        <x:f>'All Physical Cards'!S647</x:f>
        <x:v>25</x:v>
      </x:c>
      <x:c r="M62" s="50" t="str">
        <x:f>'All Physical Cards'!P647</x:f>
        <x:v>Clean/NM benchmark unless noted</x:v>
      </x:c>
      <x:c r="N62" s="50" t="str">
        <x:v>Meaningful raw value; grade can add collector premium; Full Art collector demand</x:v>
      </x:c>
      <x:c r="O62" s="50" t="str">
        <x:v>Submit only with a realistic PSA 9/10 outlook.</x:v>
      </x:c>
      <x:c r="P62" s="50" t="str">
        <x:v>Wait for cheap grading; submit only if pre-grade is strong.</x:v>
      </x:c>
      <x:c r="Q62" s="50" t="str">
        <x:v>Not inspected</x:v>
      </x:c>
      <x:c r="R62" s="50" t="str">
        <x:v>Undecided</x:v>
      </x:c>
      <x:c r="S62" s="50" t="str">
        <x:f>'All Physical Cards'!W647</x:f>
        <x:v>https://www.pricecharting.com/game/pokemon-promo/landorus-bw43</x:v>
      </x:c>
      <x:c r="T62" s="115"/>
      <x:c r="U62" s="115"/>
      <x:c r="V62" s="115"/>
      <x:c r="W62" s="115"/>
      <x:c r="X62" s="20"/>
      <x:c r="Y62" s="20"/>
      <x:c r="Z62" s="20"/>
      <x:c r="AA62" s="20"/>
      <x:c r="AB62" s="20"/>
      <x:c r="AC62" s="20" t="str">
        <x:v>PriceCharting baseline retained. Exact PSA sales data were not sufficiently useful/available in the verification pass; no unrelated printing or variant was substituted.</x:v>
      </x:c>
      <x:c r="AD62" s="20" t="str">
        <x:v>https://www.pricecharting.com/game/pokemon-promo/landorus-bw43</x:v>
      </x:c>
      <x:c r="AE62" s="131"/>
      <x:c r="AF62" s="131"/>
      <x:c r="AG62" s="131"/>
      <x:c r="AH62" s="131"/>
      <x:c r="AI62" s="131"/>
      <x:c r="AJ62" s="61"/>
      <x:c r="AK62" s="61" t="n">
        <x:v>28.69</x:v>
      </x:c>
      <x:c r="AL62" s="61" t="n">
        <x:v>76.36</x:v>
      </x:c>
      <x:c r="AM62" s="61" t="n">
        <x:v>1500</x:v>
      </x:c>
      <x:c r="AN62" s="61" t="n">
        <x:v>1800</x:v>
      </x:c>
      <x:c r="AO62" s="61"/>
      <x:c r="AP62" s="61"/>
      <x:c r="AQ62" s="61"/>
      <x:c r="AR62" s="20" t="str">
        <x:v>PriceCharting baseline</x:v>
      </x:c>
      <x:c r="AS62" s="20" t="str">
        <x:v>PriceCharting grade value retained where an exact, sufficiently useful PSA sales cross-check was not found. No unrelated printing/variant was substituted.</x:v>
      </x:c>
      <x:c r="AT62" s="176"/>
      <x:c r="AU62" s="176"/>
      <x:c r="AV62" s="176"/>
      <x:c r="AW62" s="176"/>
      <x:c r="AX62" s="176"/>
      <x:c r="AY62" s="176"/>
      <x:c r="AZ62" s="20" t="str">
        <x:v>https://www.psacard.com/Pop</x:v>
      </x:c>
      <x:c r="BA62" s="20" t="str">
        <x:v>PSA-direct population for this exact printing/grade was not confidently resolved from PSA's accessible/indexed pages on 2026-08-17. Prior PriceCharting/Pikawiz population figures were removed rather than retained.</x:v>
      </x:c>
    </x:row>
    <x:row r="63" ht="26.399999618530273" hidden="0" customHeight="1">
      <x:c r="A63" s="89" t="str">
        <x:v>C — Conditional</x:v>
      </x:c>
      <x:c r="B63" s="86" t="n">
        <x:f>'All Physical Cards'!A396</x:f>
        <x:v>395</x:v>
      </x:c>
      <x:c r="C63" s="50" t="str">
        <x:f>'All Physical Cards'!C396</x:f>
        <x:v>Blaziken</x:v>
      </x:c>
      <x:c r="D63" s="50" t="str">
        <x:f>'All Physical Cards'!D396</x:f>
        <x:v>3/127</x:v>
      </x:c>
      <x:c r="E63" s="50" t="str">
        <x:f>'All Physical Cards'!E396</x:f>
        <x:v>Platinum</x:v>
      </x:c>
      <x:c r="F63" s="50" t="n">
        <x:f>'All Physical Cards'!F396</x:f>
        <x:v>2009</x:v>
      </x:c>
      <x:c r="G63" s="50" t="str">
        <x:f>'All Physical Cards'!G396</x:f>
        <x:v>Holofoil (LV.59)</x:v>
      </x:c>
      <x:c r="H63" s="50" t="str">
        <x:f>'All Physical Cards'!H396</x:f>
        <x:v>1 of 1</x:v>
      </x:c>
      <x:c r="I63" s="91" t="n">
        <x:f>'All Physical Cards'!I396</x:f>
        <x:v>21</x:v>
      </x:c>
      <x:c r="J63" s="91" t="n">
        <x:f>'All Physical Cards'!J396</x:f>
        <x:v>28</x:v>
      </x:c>
      <x:c r="K63" s="91" t="n">
        <x:f>'All Physical Cards'!K396</x:f>
        <x:v>24.5</x:v>
      </x:c>
      <x:c r="L63" s="91" t="n">
        <x:f>'All Physical Cards'!S396</x:f>
        <x:v>24.5</x:v>
      </x:c>
      <x:c r="M63" s="50" t="str">
        <x:f>'All Physical Cards'!P396</x:f>
        <x:v>Clean/NM benchmark unless noted</x:v>
      </x:c>
      <x:c r="N63" s="50" t="str">
        <x:v>Moderate raw value; economics depend on a high grade; Holo surface quality matters heavily; Older card; high-grade supply is naturally thinner</x:v>
      </x:c>
      <x:c r="O63" s="50" t="str">
        <x:v>Submit only with a realistic PSA 9/10 outlook.</x:v>
      </x:c>
      <x:c r="P63" s="50" t="str">
        <x:v>Wait for cheap grading; submit only if pre-grade is strong.</x:v>
      </x:c>
      <x:c r="Q63" s="50" t="str">
        <x:v>Not inspected</x:v>
      </x:c>
      <x:c r="R63" s="50" t="str">
        <x:v>Undecided</x:v>
      </x:c>
      <x:c r="S63" s="50" t="str">
        <x:f>'All Physical Cards'!W396</x:f>
        <x:v>https://www.tcgplayer.com/search/pokemon/product?page=1&amp;productLineName=pokemon&amp;q=blaziken&amp;view=grid</x:v>
      </x:c>
      <x:c r="T63" s="115"/>
      <x:c r="U63" s="115"/>
      <x:c r="V63" s="115"/>
      <x:c r="W63" s="115"/>
      <x:c r="X63" s="20"/>
      <x:c r="Y63" s="20"/>
      <x:c r="Z63" s="20"/>
      <x:c r="AA63" s="20"/>
      <x:c r="AB63" s="20"/>
      <x:c r="AC63" s="20" t="str">
        <x:v>PriceCharting baseline retained. Exact PSA sales data were not sufficiently useful/available in the verification pass; no unrelated printing or variant was substituted.</x:v>
      </x:c>
      <x:c r="AD63" s="20" t="str">
        <x:v>https://www.pricecharting.com/game/pokemon-platinum/blaziken-3</x:v>
      </x:c>
      <x:c r="AE63" s="131"/>
      <x:c r="AF63" s="131"/>
      <x:c r="AG63" s="131"/>
      <x:c r="AH63" s="131"/>
      <x:c r="AI63" s="131"/>
      <x:c r="AJ63" s="61"/>
      <x:c r="AK63" s="61" t="n">
        <x:v>22.51</x:v>
      </x:c>
      <x:c r="AL63" s="61" t="n">
        <x:v>31.5</x:v>
      </x:c>
      <x:c r="AM63" s="61" t="n">
        <x:v>141.25</x:v>
      </x:c>
      <x:c r="AN63" s="61" t="n">
        <x:v>338.22</x:v>
      </x:c>
      <x:c r="AO63" s="61"/>
      <x:c r="AP63" s="61"/>
      <x:c r="AQ63" s="61"/>
      <x:c r="AR63" s="20" t="str">
        <x:v>PriceCharting baseline</x:v>
      </x:c>
      <x:c r="AS63" s="20" t="str">
        <x:v>PriceCharting grade value retained where an exact, sufficiently useful PSA sales cross-check was not found. No unrelated printing/variant was substituted.</x:v>
      </x:c>
      <x:c r="AT63" s="176"/>
      <x:c r="AU63" s="176"/>
      <x:c r="AV63" s="176"/>
      <x:c r="AW63" s="176"/>
      <x:c r="AX63" s="176"/>
      <x:c r="AY63" s="176"/>
      <x:c r="AZ63" s="20" t="str">
        <x:v>https://www.psacard.com/Pop</x:v>
      </x:c>
      <x:c r="BA63" s="20" t="str">
        <x:v>PSA-direct population for this exact printing/grade was not confidently resolved from PSA's accessible/indexed pages on 2026-08-17. Prior PriceCharting/Pikawiz population figures were removed rather than retained.</x:v>
      </x:c>
    </x:row>
    <x:row r="64" ht="26.399999618530273" hidden="0" customHeight="1">
      <x:c r="A64" s="89" t="str">
        <x:v>C — Conditional</x:v>
      </x:c>
      <x:c r="B64" s="86" t="n">
        <x:f>'All Physical Cards'!A483</x:f>
        <x:v>482</x:v>
      </x:c>
      <x:c r="C64" s="50" t="str">
        <x:f>'All Physical Cards'!C483</x:f>
        <x:v>Cacturne δ</x:v>
      </x:c>
      <x:c r="D64" s="50" t="str">
        <x:f>'All Physical Cards'!D483</x:f>
        <x:v>15/100</x:v>
      </x:c>
      <x:c r="E64" s="50" t="str">
        <x:f>'All Physical Cards'!E483</x:f>
        <x:v>EX Crystal Guardians</x:v>
      </x:c>
      <x:c r="F64" s="50" t="n">
        <x:f>'All Physical Cards'!F483</x:f>
        <x:v>2006</x:v>
      </x:c>
      <x:c r="G64" s="50" t="str">
        <x:f>'All Physical Cards'!G483</x:f>
        <x:v>Stamped Reverse Holo (Delta Species — Fighting type)</x:v>
      </x:c>
      <x:c r="H64" s="50" t="str">
        <x:f>'All Physical Cards'!H483</x:f>
        <x:v>1 of 1</x:v>
      </x:c>
      <x:c r="I64" s="91" t="n">
        <x:f>'All Physical Cards'!I483</x:f>
        <x:v>20</x:v>
      </x:c>
      <x:c r="J64" s="91" t="n">
        <x:f>'All Physical Cards'!J483</x:f>
        <x:v>29</x:v>
      </x:c>
      <x:c r="K64" s="91" t="n">
        <x:f>'All Physical Cards'!K483</x:f>
        <x:v>24.5</x:v>
      </x:c>
      <x:c r="L64" s="91" t="n">
        <x:f>'All Physical Cards'!S483</x:f>
        <x:v>24.5</x:v>
      </x:c>
      <x:c r="M64" s="50" t="str">
        <x:f>'All Physical Cards'!P483</x:f>
        <x:v>Clean/NM benchmark unless noted</x:v>
      </x:c>
      <x:c r="N64" s="50" t="str">
        <x:v>Moderate raw value; economics depend on a high grade; EX-era stamped foil; high grades are condition-sensitive; Older card; high-grade supply is naturally thinner</x:v>
      </x:c>
      <x:c r="O64" s="50" t="str">
        <x:v>Submit only with a realistic PSA 9/10 outlook.</x:v>
      </x:c>
      <x:c r="P64" s="50" t="str">
        <x:v>Wait for cheap grading; submit only if pre-grade is strong.</x:v>
      </x:c>
      <x:c r="Q64" s="50" t="str">
        <x:v>Not inspected</x:v>
      </x:c>
      <x:c r="R64" s="50" t="str">
        <x:v>Undecided</x:v>
      </x:c>
      <x:c r="S64" s="50" t="str">
        <x:f>'All Physical Cards'!W483</x:f>
        <x:v>https://www.tcgplayer.com/categories/trading-and-collectible-card-games/pokemon/price-guides/crystal-guardians</x:v>
      </x:c>
      <x:c r="T64" s="115"/>
      <x:c r="U64" s="115"/>
      <x:c r="V64" s="115"/>
      <x:c r="W64" s="115"/>
      <x:c r="X64" s="20"/>
      <x:c r="Y64" s="20"/>
      <x:c r="Z64" s="20"/>
      <x:c r="AA64" s="20"/>
      <x:c r="AB64" s="20"/>
      <x:c r="AC64" s="20" t="str">
        <x:v>PriceCharting baseline retained. Exact PSA sales data were not sufficiently useful/available in the verification pass; no unrelated printing or variant was substituted.</x:v>
      </x:c>
      <x:c r="AD64" s="20" t="str">
        <x:v>https://www.pricecharting.com/game/pokemon-crystal-guardians/cacturne-reverse-holo-15</x:v>
      </x:c>
      <x:c r="AE64" s="131"/>
      <x:c r="AF64" s="131"/>
      <x:c r="AG64" s="131"/>
      <x:c r="AH64" s="131"/>
      <x:c r="AI64" s="131"/>
      <x:c r="AJ64" s="61"/>
      <x:c r="AK64" s="61" t="n">
        <x:v>23.5</x:v>
      </x:c>
      <x:c r="AL64" s="61" t="n">
        <x:v>40.53</x:v>
      </x:c>
      <x:c r="AM64" s="61" t="n">
        <x:v>141.69</x:v>
      </x:c>
      <x:c r="AN64" s="61" t="n">
        <x:v>206.16</x:v>
      </x:c>
      <x:c r="AO64" s="61"/>
      <x:c r="AP64" s="61"/>
      <x:c r="AQ64" s="61"/>
      <x:c r="AR64" s="20" t="str">
        <x:v>PriceCharting baseline</x:v>
      </x:c>
      <x:c r="AS64" s="20" t="str">
        <x:v>PriceCharting grade value retained where an exact, sufficiently useful PSA sales cross-check was not found. No unrelated printing/variant was substituted.</x:v>
      </x:c>
      <x:c r="AT64" s="176"/>
      <x:c r="AU64" s="176"/>
      <x:c r="AV64" s="176"/>
      <x:c r="AW64" s="176"/>
      <x:c r="AX64" s="176"/>
      <x:c r="AY64" s="176"/>
      <x:c r="AZ64" s="20" t="str">
        <x:v>https://www.psacard.com/Pop</x:v>
      </x:c>
      <x:c r="BA64" s="20" t="str">
        <x:v>PSA-direct population for this exact printing/grade was not confidently resolved from PSA's accessible/indexed pages on 2026-08-17. Prior PriceCharting/Pikawiz population figures were removed rather than retained.</x:v>
      </x:c>
    </x:row>
    <x:row r="65" ht="26.399999618530273" hidden="0" customHeight="1">
      <x:c r="A65" s="89" t="str">
        <x:v>C — Conditional</x:v>
      </x:c>
      <x:c r="B65" s="86" t="n">
        <x:f>'All Physical Cards'!A635</x:f>
        <x:v>634</x:v>
      </x:c>
      <x:c r="C65" s="50" t="str">
        <x:f>'All Physical Cards'!C635</x:f>
        <x:v>Thundurus</x:v>
      </x:c>
      <x:c r="D65" s="50" t="str">
        <x:f>'All Physical Cards'!D635</x:f>
        <x:v>97/98</x:v>
      </x:c>
      <x:c r="E65" s="50" t="str">
        <x:f>'All Physical Cards'!E635</x:f>
        <x:v>Emerging Powers</x:v>
      </x:c>
      <x:c r="F65" s="50" t="n">
        <x:f>'All Physical Cards'!F635</x:f>
        <x:v>2011</x:v>
      </x:c>
      <x:c r="G65" s="50" t="str">
        <x:f>'All Physical Cards'!G635</x:f>
        <x:v>Full Art Holo Ultra Rare</x:v>
      </x:c>
      <x:c r="H65" s="50" t="str">
        <x:f>'All Physical Cards'!H635</x:f>
        <x:v>1 of 1</x:v>
      </x:c>
      <x:c r="I65" s="91" t="n">
        <x:f>'All Physical Cards'!I635</x:f>
        <x:v>20</x:v>
      </x:c>
      <x:c r="J65" s="91" t="n">
        <x:f>'All Physical Cards'!J635</x:f>
        <x:v>28</x:v>
      </x:c>
      <x:c r="K65" s="91" t="n">
        <x:f>'All Physical Cards'!K635</x:f>
        <x:v>24</x:v>
      </x:c>
      <x:c r="L65" s="91" t="n">
        <x:f>'All Physical Cards'!S635</x:f>
        <x:v>24</x:v>
      </x:c>
      <x:c r="M65" s="50" t="str">
        <x:f>'All Physical Cards'!P635</x:f>
        <x:v>Clean/NM benchmark unless noted</x:v>
      </x:c>
      <x:c r="N65" s="50" t="str">
        <x:v>Moderate raw value; economics depend on a high grade; Full Art collector demand</x:v>
      </x:c>
      <x:c r="O65" s="50" t="str">
        <x:v>Submit only with a realistic PSA 9/10 outlook.</x:v>
      </x:c>
      <x:c r="P65" s="50" t="str">
        <x:v>Wait for cheap grading; submit only if pre-grade is strong.</x:v>
      </x:c>
      <x:c r="Q65" s="50" t="str">
        <x:v>Not inspected</x:v>
      </x:c>
      <x:c r="R65" s="50" t="str">
        <x:v>Undecided</x:v>
      </x:c>
      <x:c r="S65" s="50" t="str">
        <x:f>'All Physical Cards'!W635</x:f>
        <x:v>https://www.pricecharting.com/game/pokemon-emerging-powers/thundurus-97</x:v>
      </x:c>
      <x:c r="T65" s="115"/>
      <x:c r="U65" s="115"/>
      <x:c r="V65" s="115"/>
      <x:c r="W65" s="115"/>
      <x:c r="X65" s="20"/>
      <x:c r="Y65" s="20"/>
      <x:c r="Z65" s="20"/>
      <x:c r="AA65" s="20"/>
      <x:c r="AB65" s="20"/>
      <x:c r="AC65" s="20" t="str">
        <x:v>PriceCharting baseline retained. Exact PSA sales data were not sufficiently useful/available in the verification pass; no unrelated printing or variant was substituted.</x:v>
      </x:c>
      <x:c r="AD65" s="20" t="str">
        <x:v>https://www.pricecharting.com/game/pokemon-emerging-powers/thundurus-97</x:v>
      </x:c>
      <x:c r="AE65" s="131"/>
      <x:c r="AF65" s="131"/>
      <x:c r="AG65" s="131"/>
      <x:c r="AH65" s="131"/>
      <x:c r="AI65" s="131"/>
      <x:c r="AJ65" s="61"/>
      <x:c r="AK65" s="61" t="n">
        <x:v>16</x:v>
      </x:c>
      <x:c r="AL65" s="61" t="n">
        <x:v>39.99</x:v>
      </x:c>
      <x:c r="AM65" s="61" t="n">
        <x:v>145</x:v>
      </x:c>
      <x:c r="AN65" s="61" t="n">
        <x:v>3235.86</x:v>
      </x:c>
      <x:c r="AO65" s="61"/>
      <x:c r="AP65" s="61"/>
      <x:c r="AQ65" s="61"/>
      <x:c r="AR65" s="20" t="str">
        <x:v>PriceCharting baseline</x:v>
      </x:c>
      <x:c r="AS65" s="20" t="str">
        <x:v>PriceCharting grade value retained where an exact, sufficiently useful PSA sales cross-check was not found. No unrelated printing/variant was substituted.</x:v>
      </x:c>
      <x:c r="AT65" s="176"/>
      <x:c r="AU65" s="176"/>
      <x:c r="AV65" s="176"/>
      <x:c r="AW65" s="176"/>
      <x:c r="AX65" s="176"/>
      <x:c r="AY65" s="176"/>
      <x:c r="AZ65" s="20" t="str">
        <x:v>https://www.psacard.com/Pop</x:v>
      </x:c>
      <x:c r="BA65" s="20" t="str">
        <x:v>PSA-direct population for this exact printing/grade was not confidently resolved from PSA's accessible/indexed pages on 2026-08-17. Prior PriceCharting/Pikawiz population figures were removed rather than retained.</x:v>
      </x:c>
    </x:row>
    <x:row r="66" ht="26.399999618530273" hidden="0" customHeight="1">
      <x:c r="A66" s="89" t="str">
        <x:v>C — Conditional</x:v>
      </x:c>
      <x:c r="B66" s="86" t="n">
        <x:f>'All Physical Cards'!A276</x:f>
        <x:v>275</x:v>
      </x:c>
      <x:c r="C66" s="50" t="str">
        <x:f>'All Physical Cards'!C276</x:f>
        <x:v>Houndoom</x:v>
      </x:c>
      <x:c r="D66" s="50" t="str">
        <x:f>'All Physical Cards'!D276</x:f>
        <x:v>10/95</x:v>
      </x:c>
      <x:c r="E66" s="50" t="str">
        <x:f>'All Physical Cards'!E276</x:f>
        <x:v>Call of Legends</x:v>
      </x:c>
      <x:c r="F66" s="50" t="n">
        <x:f>'All Physical Cards'!F276</x:f>
        <x:v>2011</x:v>
      </x:c>
      <x:c r="G66" s="50" t="str">
        <x:f>'All Physical Cards'!G276</x:f>
        <x:v>Holofoil</x:v>
      </x:c>
      <x:c r="H66" s="50" t="str">
        <x:f>'All Physical Cards'!H276</x:f>
        <x:v>1 of 1</x:v>
      </x:c>
      <x:c r="I66" s="91" t="n">
        <x:f>'All Physical Cards'!I276</x:f>
        <x:v>21</x:v>
      </x:c>
      <x:c r="J66" s="91" t="n">
        <x:f>'All Physical Cards'!J276</x:f>
        <x:v>26</x:v>
      </x:c>
      <x:c r="K66" s="91" t="n">
        <x:f>'All Physical Cards'!K276</x:f>
        <x:v>23.5</x:v>
      </x:c>
      <x:c r="L66" s="91" t="n">
        <x:f>'All Physical Cards'!S276</x:f>
        <x:v>23.5</x:v>
      </x:c>
      <x:c r="M66" s="50" t="str">
        <x:f>'All Physical Cards'!P276</x:f>
        <x:v>Clean/NM benchmark unless noted</x:v>
      </x:c>
      <x:c r="N66" s="50" t="str">
        <x:v>Moderate raw value; economics depend on a high grade; Holo surface quality matters heavily</x:v>
      </x:c>
      <x:c r="O66" s="50" t="str">
        <x:v>Submit only with a realistic PSA 9/10 outlook.</x:v>
      </x:c>
      <x:c r="P66" s="50" t="str">
        <x:v>Wait for cheap grading; submit only if pre-grade is strong.</x:v>
      </x:c>
      <x:c r="Q66" s="50" t="str">
        <x:v>Not inspected</x:v>
      </x:c>
      <x:c r="R66" s="50" t="str">
        <x:v>Undecided</x:v>
      </x:c>
      <x:c r="S66" s="50" t="str">
        <x:f>'All Physical Cards'!W276</x:f>
        <x:v>https://www.tcgplayer.com/categories/trading-and-collectible-card-games/pokemon/price-guides/call-of-legends</x:v>
      </x:c>
      <x:c r="T66" s="115"/>
      <x:c r="U66" s="115"/>
      <x:c r="V66" s="115"/>
      <x:c r="W66" s="115"/>
      <x:c r="X66" s="20"/>
      <x:c r="Y66" s="20"/>
      <x:c r="Z66" s="20"/>
      <x:c r="AA66" s="20"/>
      <x:c r="AB66" s="20"/>
      <x:c r="AC66" s="20" t="str">
        <x:v>PriceCharting baseline retained. Exact PSA sales data were not sufficiently useful/available in the verification pass; no unrelated printing or variant was substituted.</x:v>
      </x:c>
      <x:c r="AD66" s="20" t="str">
        <x:v>https://www.pricecharting.com/game/pokemon-call-of-legends/houndoom-10</x:v>
      </x:c>
      <x:c r="AE66" s="131"/>
      <x:c r="AF66" s="131"/>
      <x:c r="AG66" s="131"/>
      <x:c r="AH66" s="131"/>
      <x:c r="AI66" s="131"/>
      <x:c r="AJ66" s="61"/>
      <x:c r="AK66" s="61" t="n">
        <x:v>28.71</x:v>
      </x:c>
      <x:c r="AL66" s="61" t="n">
        <x:v>62.41</x:v>
      </x:c>
      <x:c r="AM66" s="61" t="n">
        <x:v>136.32</x:v>
      </x:c>
      <x:c r="AN66" s="61" t="n">
        <x:v>3046.58</x:v>
      </x:c>
      <x:c r="AO66" s="61"/>
      <x:c r="AP66" s="61"/>
      <x:c r="AQ66" s="61"/>
      <x:c r="AR66" s="20" t="str">
        <x:v>PriceCharting baseline</x:v>
      </x:c>
      <x:c r="AS66" s="20" t="str">
        <x:v>PriceCharting grade value retained where an exact, sufficiently useful PSA sales cross-check was not found. No unrelated printing/variant was substituted.</x:v>
      </x:c>
      <x:c r="AT66" s="176"/>
      <x:c r="AU66" s="176"/>
      <x:c r="AV66" s="176"/>
      <x:c r="AW66" s="176"/>
      <x:c r="AX66" s="176"/>
      <x:c r="AY66" s="176"/>
      <x:c r="AZ66" s="20" t="str">
        <x:v>https://www.psacard.com/Pop</x:v>
      </x:c>
      <x:c r="BA66" s="20" t="str">
        <x:v>PSA-direct population for this exact printing/grade was not confidently resolved from PSA's accessible/indexed pages on 2026-08-17. Prior PriceCharting/Pikawiz population figures were removed rather than retained.</x:v>
      </x:c>
    </x:row>
    <x:row r="67" ht="26.399999618530273" hidden="0" customHeight="1">
      <x:c r="A67" s="89" t="str">
        <x:v>C — Conditional</x:v>
      </x:c>
      <x:c r="B67" s="86" t="n">
        <x:f>'All Physical Cards'!A393</x:f>
        <x:v>392</x:v>
      </x:c>
      <x:c r="C67" s="50" t="str">
        <x:f>'All Physical Cards'!C393</x:f>
        <x:v>Blaziken</x:v>
      </x:c>
      <x:c r="D67" s="50" t="str">
        <x:f>'All Physical Cards'!D393</x:f>
        <x:v>1/106</x:v>
      </x:c>
      <x:c r="E67" s="50" t="str">
        <x:f>'All Physical Cards'!E393</x:f>
        <x:v>Great Encounters</x:v>
      </x:c>
      <x:c r="F67" s="50" t="n">
        <x:f>'All Physical Cards'!F393</x:f>
        <x:v>2008</x:v>
      </x:c>
      <x:c r="G67" s="50" t="str">
        <x:f>'All Physical Cards'!G393</x:f>
        <x:v>Holofoil (LV.56)</x:v>
      </x:c>
      <x:c r="H67" s="50" t="str">
        <x:f>'All Physical Cards'!H393</x:f>
        <x:v>1 of 1</x:v>
      </x:c>
      <x:c r="I67" s="91" t="n">
        <x:f>'All Physical Cards'!I393</x:f>
        <x:v>20</x:v>
      </x:c>
      <x:c r="J67" s="91" t="n">
        <x:f>'All Physical Cards'!J393</x:f>
        <x:v>26</x:v>
      </x:c>
      <x:c r="K67" s="91" t="n">
        <x:f>'All Physical Cards'!K393</x:f>
        <x:v>23</x:v>
      </x:c>
      <x:c r="L67" s="91" t="n">
        <x:f>'All Physical Cards'!S393</x:f>
        <x:v>23</x:v>
      </x:c>
      <x:c r="M67" s="50" t="str">
        <x:f>'All Physical Cards'!P393</x:f>
        <x:v>Clean/NM benchmark unless noted</x:v>
      </x:c>
      <x:c r="N67" s="50" t="str">
        <x:v>Moderate raw value; economics depend on a high grade; Holo surface quality matters heavily; Older card; high-grade supply is naturally thinner</x:v>
      </x:c>
      <x:c r="O67" s="50" t="str">
        <x:v>Submit only with a realistic PSA 9/10 outlook.</x:v>
      </x:c>
      <x:c r="P67" s="50" t="str">
        <x:v>Wait for cheap grading; submit only if pre-grade is strong.</x:v>
      </x:c>
      <x:c r="Q67" s="50" t="str">
        <x:v>Not inspected</x:v>
      </x:c>
      <x:c r="R67" s="50" t="str">
        <x:v>Undecided</x:v>
      </x:c>
      <x:c r="S67" s="50" t="str">
        <x:f>'All Physical Cards'!W393</x:f>
        <x:v>https://www.tcgplayer.com/search/pokemon/product?page=1&amp;productLineName=pokemon&amp;q=Blaziken+Great+Encounters+1&amp;setName=product&amp;view=grid</x:v>
      </x:c>
      <x:c r="T67" s="115"/>
      <x:c r="U67" s="115"/>
      <x:c r="V67" s="115"/>
      <x:c r="W67" s="115"/>
      <x:c r="X67" s="20"/>
      <x:c r="Y67" s="20"/>
      <x:c r="Z67" s="20"/>
      <x:c r="AA67" s="20"/>
      <x:c r="AB67" s="20"/>
      <x:c r="AC67" s="20" t="str">
        <x:v>PriceCharting baseline retained. Exact PSA sales data were not sufficiently useful/available in the verification pass; no unrelated printing or variant was substituted.</x:v>
      </x:c>
      <x:c r="AD67" s="20" t="str">
        <x:v>https://www.pricecharting.com/game/pokemon-great-encounters/blaziken-1</x:v>
      </x:c>
      <x:c r="AE67" s="131"/>
      <x:c r="AF67" s="131"/>
      <x:c r="AG67" s="131"/>
      <x:c r="AH67" s="131"/>
      <x:c r="AI67" s="131"/>
      <x:c r="AJ67" s="61"/>
      <x:c r="AK67" s="61" t="n">
        <x:v>38</x:v>
      </x:c>
      <x:c r="AL67" s="61" t="n">
        <x:v>64.32</x:v>
      </x:c>
      <x:c r="AM67" s="61" t="n">
        <x:v>75</x:v>
      </x:c>
      <x:c r="AN67" s="61" t="n">
        <x:v>1999</x:v>
      </x:c>
      <x:c r="AO67" s="61"/>
      <x:c r="AP67" s="61"/>
      <x:c r="AQ67" s="61"/>
      <x:c r="AR67" s="20" t="str">
        <x:v>PriceCharting baseline</x:v>
      </x:c>
      <x:c r="AS67" s="20" t="str">
        <x:v>PriceCharting grade value retained where an exact, sufficiently useful PSA sales cross-check was not found. No unrelated printing/variant was substituted.</x:v>
      </x:c>
      <x:c r="AT67" s="176"/>
      <x:c r="AU67" s="176"/>
      <x:c r="AV67" s="176"/>
      <x:c r="AW67" s="176"/>
      <x:c r="AX67" s="176"/>
      <x:c r="AY67" s="176"/>
      <x:c r="AZ67" s="20" t="str">
        <x:v>https://www.psacard.com/Pop</x:v>
      </x:c>
      <x:c r="BA67" s="20" t="str">
        <x:v>PSA-direct population for this exact printing/grade was not confidently resolved from PSA's accessible/indexed pages on 2026-08-17. Prior PriceCharting/Pikawiz population figures were removed rather than retained.</x:v>
      </x:c>
    </x:row>
    <x:row r="68" ht="26.399999618530273" hidden="0" customHeight="1">
      <x:c r="A68" s="89" t="str">
        <x:v>C — Conditional</x:v>
      </x:c>
      <x:c r="B68" s="86" t="n">
        <x:f>'All Physical Cards'!A28</x:f>
        <x:v>27</x:v>
      </x:c>
      <x:c r="C68" s="50" t="str">
        <x:f>'All Physical Cards'!C28</x:f>
        <x:v>Here Comes Team Rocket!</x:v>
      </x:c>
      <x:c r="D68" s="50" t="str">
        <x:f>'All Physical Cards'!D28</x:f>
        <x:v>15/82</x:v>
      </x:c>
      <x:c r="E68" s="50" t="str">
        <x:f>'All Physical Cards'!E28</x:f>
        <x:v>Team Rocket</x:v>
      </x:c>
      <x:c r="F68" s="50" t="n">
        <x:f>'All Physical Cards'!F28</x:f>
        <x:v>2000</x:v>
      </x:c>
      <x:c r="G68" s="50" t="str">
        <x:f>'All Physical Cards'!G28</x:f>
        <x:v>Holo Rare Unlimited</x:v>
      </x:c>
      <x:c r="H68" s="50" t="str">
        <x:f>'All Physical Cards'!H28</x:f>
        <x:v>1 of 1</x:v>
      </x:c>
      <x:c r="I68" s="91" t="n">
        <x:f>'All Physical Cards'!I28</x:f>
        <x:v>20</x:v>
      </x:c>
      <x:c r="J68" s="91" t="n">
        <x:f>'All Physical Cards'!J28</x:f>
        <x:v>25</x:v>
      </x:c>
      <x:c r="K68" s="91" t="n">
        <x:f>'All Physical Cards'!K28</x:f>
        <x:v>22.5</x:v>
      </x:c>
      <x:c r="L68" s="91" t="n">
        <x:f>'All Physical Cards'!S28</x:f>
        <x:v>22.5</x:v>
      </x:c>
      <x:c r="M68" s="50" t="str">
        <x:f>'All Physical Cards'!P28</x:f>
        <x:v>Clean/NM benchmark unless noted</x:v>
      </x:c>
      <x:c r="N68" s="50" t="str">
        <x:v>Moderate raw value; economics depend on a high grade; Holo surface quality matters heavily; Older card; high-grade supply is naturally thinner</x:v>
      </x:c>
      <x:c r="O68" s="50" t="str">
        <x:v>Submit only with a realistic PSA 9/10 outlook.</x:v>
      </x:c>
      <x:c r="P68" s="50" t="str">
        <x:v>Wait for cheap grading; submit only if pre-grade is strong.</x:v>
      </x:c>
      <x:c r="Q68" s="50" t="str">
        <x:v>Not inspected</x:v>
      </x:c>
      <x:c r="R68" s="50" t="str">
        <x:v>Undecided</x:v>
      </x:c>
      <x:c r="S68" s="50" t="n">
        <x:f>'All Physical Cards'!W28</x:f>
        <x:v>0</x:v>
      </x:c>
      <x:c r="T68" s="115"/>
      <x:c r="U68" s="115"/>
      <x:c r="V68" s="115"/>
      <x:c r="W68" s="115"/>
      <x:c r="X68" s="20"/>
      <x:c r="Y68" s="20"/>
      <x:c r="Z68" s="20"/>
      <x:c r="AA68" s="20"/>
      <x:c r="AB68" s="20"/>
      <x:c r="AC68" s="20" t="str">
        <x:v>PriceCharting baseline retained. Exact PSA sales data were not sufficiently useful/available in the verification pass; no unrelated printing or variant was substituted.</x:v>
      </x:c>
      <x:c r="AD68" s="20" t="str">
        <x:v>https://www.pricecharting.com/game/pokemon-team-rocket/here-comes-team-rocket-15</x:v>
      </x:c>
      <x:c r="AE68" s="131"/>
      <x:c r="AF68" s="131"/>
      <x:c r="AG68" s="131"/>
      <x:c r="AH68" s="131"/>
      <x:c r="AI68" s="131"/>
      <x:c r="AJ68" s="61"/>
      <x:c r="AK68" s="61" t="n">
        <x:v>35</x:v>
      </x:c>
      <x:c r="AL68" s="61" t="n">
        <x:v>51.18</x:v>
      </x:c>
      <x:c r="AM68" s="61" t="n">
        <x:v>61.51</x:v>
      </x:c>
      <x:c r="AN68" s="61" t="n">
        <x:v>289.66</x:v>
      </x:c>
      <x:c r="AO68" s="61"/>
      <x:c r="AP68" s="61"/>
      <x:c r="AQ68" s="61"/>
      <x:c r="AR68" s="20" t="str">
        <x:v>PriceCharting baseline</x:v>
      </x:c>
      <x:c r="AS68" s="20" t="str">
        <x:v>PriceCharting grade value retained where an exact, sufficiently useful PSA sales cross-check was not found. No unrelated printing/variant was substituted.</x:v>
      </x:c>
      <x:c r="AT68" s="176"/>
      <x:c r="AU68" s="176"/>
      <x:c r="AV68" s="176"/>
      <x:c r="AW68" s="176"/>
      <x:c r="AX68" s="176"/>
      <x:c r="AY68" s="176"/>
      <x:c r="AZ68" s="20" t="str">
        <x:v>https://www.psacard.com/Pop</x:v>
      </x:c>
      <x:c r="BA68" s="20" t="str">
        <x:v>PSA-direct population for this exact printing/grade was not confidently resolved from PSA's accessible/indexed pages on 2026-08-17. Prior PriceCharting/Pikawiz population figures were removed rather than retained.</x:v>
      </x:c>
    </x:row>
    <x:row r="69" ht="26.399999618530273" hidden="0" customHeight="1">
      <x:c r="A69" s="89" t="str">
        <x:v>C — Conditional</x:v>
      </x:c>
      <x:c r="B69" s="86" t="n">
        <x:f>'All Physical Cards'!A361</x:f>
        <x:v>360</x:v>
      </x:c>
      <x:c r="C69" s="50" t="str">
        <x:f>'All Physical Cards'!C361</x:f>
        <x:v>Growlithe</x:v>
      </x:c>
      <x:c r="D69" s="50" t="str">
        <x:f>'All Physical Cards'!D361</x:f>
        <x:v>RC4/RC25</x:v>
      </x:c>
      <x:c r="E69" s="50" t="str">
        <x:f>'All Physical Cards'!E361</x:f>
        <x:v>Legendary Treasures: Radiant Collection</x:v>
      </x:c>
      <x:c r="F69" s="50" t="n">
        <x:f>'All Physical Cards'!F361</x:f>
        <x:v>2013</x:v>
      </x:c>
      <x:c r="G69" s="50" t="str">
        <x:f>'All Physical Cards'!G361</x:f>
        <x:v>Holofoil / Radiant Collection</x:v>
      </x:c>
      <x:c r="H69" s="50" t="str">
        <x:f>'All Physical Cards'!H361</x:f>
        <x:v>1 of 2</x:v>
      </x:c>
      <x:c r="I69" s="91" t="n">
        <x:f>'All Physical Cards'!I361</x:f>
        <x:v>19</x:v>
      </x:c>
      <x:c r="J69" s="91" t="n">
        <x:f>'All Physical Cards'!J361</x:f>
        <x:v>24</x:v>
      </x:c>
      <x:c r="K69" s="91" t="n">
        <x:f>'All Physical Cards'!K361</x:f>
        <x:v>21.5</x:v>
      </x:c>
      <x:c r="L69" s="91" t="n">
        <x:f>'All Physical Cards'!S361</x:f>
        <x:v>21.5</x:v>
      </x:c>
      <x:c r="M69" s="50" t="str">
        <x:f>'All Physical Cards'!P361</x:f>
        <x:v>Clean/NM benchmark unless noted</x:v>
      </x:c>
      <x:c r="N69" s="50" t="str">
        <x:v>Moderate raw value; economics depend on a high grade; Holo surface quality matters heavily</x:v>
      </x:c>
      <x:c r="O69" s="50" t="str">
        <x:v>Submit only with a realistic PSA 9/10 outlook.</x:v>
      </x:c>
      <x:c r="P69" s="50" t="str">
        <x:v>Wait for cheap grading; submit only if pre-grade is strong.</x:v>
      </x:c>
      <x:c r="Q69" s="50" t="str">
        <x:v>Not inspected</x:v>
      </x:c>
      <x:c r="R69" s="50" t="str">
        <x:v>Undecided</x:v>
      </x:c>
      <x:c r="S69" s="50" t="str">
        <x:f>'All Physical Cards'!W361</x:f>
        <x:v>https://www.tcgplayer.com/search/pokemon/product?q=Growlithe+Legendary+Treasures+RC4</x:v>
      </x:c>
      <x:c r="T69" s="115"/>
      <x:c r="U69" s="115"/>
      <x:c r="V69" s="115"/>
      <x:c r="W69" s="115"/>
      <x:c r="X69" s="20"/>
      <x:c r="Y69" s="20"/>
      <x:c r="Z69" s="20"/>
      <x:c r="AA69" s="20"/>
      <x:c r="AB69" s="20"/>
      <x:c r="AC69" s="20" t="str">
        <x:v>PriceCharting baseline retained. Exact PSA sales data were not sufficiently useful/available in the verification pass; no unrelated printing or variant was substituted.</x:v>
      </x:c>
      <x:c r="AD69" s="20" t="str">
        <x:v>https://www.pricecharting.com/game/pokemon-legendary-treasures/growlithe-rc4</x:v>
      </x:c>
      <x:c r="AE69" s="131"/>
      <x:c r="AF69" s="131"/>
      <x:c r="AG69" s="131"/>
      <x:c r="AH69" s="131"/>
      <x:c r="AI69" s="131"/>
      <x:c r="AJ69" s="61"/>
      <x:c r="AK69" s="61" t="n">
        <x:v>40</x:v>
      </x:c>
      <x:c r="AL69" s="61" t="n">
        <x:v>41</x:v>
      </x:c>
      <x:c r="AM69" s="61" t="n">
        <x:v>51.19</x:v>
      </x:c>
      <x:c r="AN69" s="61" t="n">
        <x:v>2375</x:v>
      </x:c>
      <x:c r="AO69" s="61"/>
      <x:c r="AP69" s="61"/>
      <x:c r="AQ69" s="61"/>
      <x:c r="AR69" s="20" t="str">
        <x:v>PriceCharting baseline</x:v>
      </x:c>
      <x:c r="AS69" s="20" t="str">
        <x:v>PriceCharting grade value retained where an exact, sufficiently useful PSA sales cross-check was not found. No unrelated printing/variant was substituted.</x:v>
      </x:c>
      <x:c r="AT69" s="176"/>
      <x:c r="AU69" s="176"/>
      <x:c r="AV69" s="176"/>
      <x:c r="AW69" s="176"/>
      <x:c r="AX69" s="176"/>
      <x:c r="AY69" s="176"/>
      <x:c r="AZ69" s="20" t="str">
        <x:v>https://www.psacard.com/Pop</x:v>
      </x:c>
      <x:c r="BA69" s="20" t="str">
        <x:v>PSA-direct population for this exact printing/grade was not confidently resolved from PSA's accessible/indexed pages on 2026-08-17. Prior PriceCharting/Pikawiz population figures were removed rather than retained.</x:v>
      </x:c>
    </x:row>
    <x:row r="70" ht="26.399999618530273" hidden="0" customHeight="1">
      <x:c r="A70" s="89" t="str">
        <x:v>C — Conditional</x:v>
      </x:c>
      <x:c r="B70" s="86" t="n">
        <x:f>'All Physical Cards'!A362</x:f>
        <x:v>361</x:v>
      </x:c>
      <x:c r="C70" s="50" t="str">
        <x:f>'All Physical Cards'!C362</x:f>
        <x:v>Growlithe</x:v>
      </x:c>
      <x:c r="D70" s="50" t="str">
        <x:f>'All Physical Cards'!D362</x:f>
        <x:v>RC4/RC25</x:v>
      </x:c>
      <x:c r="E70" s="50" t="str">
        <x:f>'All Physical Cards'!E362</x:f>
        <x:v>Legendary Treasures: Radiant Collection</x:v>
      </x:c>
      <x:c r="F70" s="50" t="n">
        <x:f>'All Physical Cards'!F362</x:f>
        <x:v>2013</x:v>
      </x:c>
      <x:c r="G70" s="50" t="str">
        <x:f>'All Physical Cards'!G362</x:f>
        <x:v>Holofoil / Radiant Collection</x:v>
      </x:c>
      <x:c r="H70" s="50" t="str">
        <x:f>'All Physical Cards'!H362</x:f>
        <x:v>2 of 2</x:v>
      </x:c>
      <x:c r="I70" s="91" t="n">
        <x:f>'All Physical Cards'!I362</x:f>
        <x:v>19</x:v>
      </x:c>
      <x:c r="J70" s="91" t="n">
        <x:f>'All Physical Cards'!J362</x:f>
        <x:v>24</x:v>
      </x:c>
      <x:c r="K70" s="91" t="n">
        <x:f>'All Physical Cards'!K362</x:f>
        <x:v>21.5</x:v>
      </x:c>
      <x:c r="L70" s="91" t="n">
        <x:f>'All Physical Cards'!S362</x:f>
        <x:v>21.5</x:v>
      </x:c>
      <x:c r="M70" s="50" t="str">
        <x:f>'All Physical Cards'!P362</x:f>
        <x:v>Clean/NM benchmark unless noted</x:v>
      </x:c>
      <x:c r="N70" s="50" t="str">
        <x:v>Moderate raw value; economics depend on a high grade; Holo surface quality matters heavily</x:v>
      </x:c>
      <x:c r="O70" s="50" t="str">
        <x:v>Submit only with a realistic PSA 9/10 outlook.</x:v>
      </x:c>
      <x:c r="P70" s="50" t="str">
        <x:v>Wait for cheap grading; submit only if pre-grade is strong.</x:v>
      </x:c>
      <x:c r="Q70" s="50" t="str">
        <x:v>Not inspected</x:v>
      </x:c>
      <x:c r="R70" s="50" t="str">
        <x:v>Undecided</x:v>
      </x:c>
      <x:c r="S70" s="50" t="str">
        <x:f>'All Physical Cards'!W362</x:f>
        <x:v>https://www.tcgplayer.com/search/pokemon/product?q=Growlithe+Legendary+Treasures+RC4</x:v>
      </x:c>
      <x:c r="T70" s="115"/>
      <x:c r="U70" s="115"/>
      <x:c r="V70" s="115"/>
      <x:c r="W70" s="115"/>
      <x:c r="X70" s="20"/>
      <x:c r="Y70" s="20"/>
      <x:c r="Z70" s="20"/>
      <x:c r="AA70" s="20"/>
      <x:c r="AB70" s="20"/>
      <x:c r="AC70" s="20" t="str">
        <x:v>PriceCharting baseline retained. Exact PSA sales data were not sufficiently useful/available in the verification pass; no unrelated printing or variant was substituted.</x:v>
      </x:c>
      <x:c r="AD70" s="20" t="str">
        <x:v>https://www.pricecharting.com/game/pokemon-legendary-treasures/growlithe-rc4</x:v>
      </x:c>
      <x:c r="AE70" s="131"/>
      <x:c r="AF70" s="131"/>
      <x:c r="AG70" s="131"/>
      <x:c r="AH70" s="131"/>
      <x:c r="AI70" s="131"/>
      <x:c r="AJ70" s="61"/>
      <x:c r="AK70" s="61" t="n">
        <x:v>40</x:v>
      </x:c>
      <x:c r="AL70" s="61" t="n">
        <x:v>41</x:v>
      </x:c>
      <x:c r="AM70" s="61" t="n">
        <x:v>51.19</x:v>
      </x:c>
      <x:c r="AN70" s="61" t="n">
        <x:v>2375</x:v>
      </x:c>
      <x:c r="AO70" s="61"/>
      <x:c r="AP70" s="61"/>
      <x:c r="AQ70" s="61"/>
      <x:c r="AR70" s="20" t="str">
        <x:v>PriceCharting baseline</x:v>
      </x:c>
      <x:c r="AS70" s="20" t="str">
        <x:v>PriceCharting grade value retained where an exact, sufficiently useful PSA sales cross-check was not found. No unrelated printing/variant was substituted.</x:v>
      </x:c>
      <x:c r="AT70" s="176"/>
      <x:c r="AU70" s="176"/>
      <x:c r="AV70" s="176"/>
      <x:c r="AW70" s="176"/>
      <x:c r="AX70" s="176"/>
      <x:c r="AY70" s="176"/>
      <x:c r="AZ70" s="20" t="str">
        <x:v>https://www.psacard.com/Pop</x:v>
      </x:c>
      <x:c r="BA70" s="20" t="str">
        <x:v>PSA-direct population for this exact printing/grade was not confidently resolved from PSA's accessible/indexed pages on 2026-08-17. Prior PriceCharting/Pikawiz population figures were removed rather than retained.</x:v>
      </x:c>
    </x:row>
    <x:row r="71" ht="26.399999618530273" hidden="0" customHeight="1">
      <x:c r="A71" s="89" t="str">
        <x:v>C — Conditional</x:v>
      </x:c>
      <x:c r="B71" s="86" t="n">
        <x:f>'All Physical Cards'!A595</x:f>
        <x:v>594</x:v>
      </x:c>
      <x:c r="C71" s="50" t="str">
        <x:f>'All Physical Cards'!C595</x:f>
        <x:v>Rainbow Energy</x:v>
      </x:c>
      <x:c r="D71" s="50" t="str">
        <x:f>'All Physical Cards'!D595</x:f>
        <x:v>17/82</x:v>
      </x:c>
      <x:c r="E71" s="50" t="str">
        <x:f>'All Physical Cards'!E595</x:f>
        <x:v>Team Rocket</x:v>
      </x:c>
      <x:c r="F71" s="50" t="n">
        <x:f>'All Physical Cards'!F595</x:f>
        <x:v>2000</x:v>
      </x:c>
      <x:c r="G71" s="50" t="str">
        <x:f>'All Physical Cards'!G595</x:f>
        <x:v>Holo Rare (Unlimited assumed)</x:v>
      </x:c>
      <x:c r="H71" s="50" t="str">
        <x:f>'All Physical Cards'!H595</x:f>
        <x:v>1 of 1</x:v>
      </x:c>
      <x:c r="I71" s="91" t="n">
        <x:f>'All Physical Cards'!I595</x:f>
        <x:v>15</x:v>
      </x:c>
      <x:c r="J71" s="91" t="n">
        <x:f>'All Physical Cards'!J595</x:f>
        <x:v>28</x:v>
      </x:c>
      <x:c r="K71" s="91" t="n">
        <x:f>'All Physical Cards'!K595</x:f>
        <x:v>21.5</x:v>
      </x:c>
      <x:c r="L71" s="91" t="n">
        <x:f>'All Physical Cards'!S595</x:f>
        <x:v>21.5</x:v>
      </x:c>
      <x:c r="M71" s="50" t="str">
        <x:f>'All Physical Cards'!P595</x:f>
        <x:v>Clean/NM benchmark unless noted</x:v>
      </x:c>
      <x:c r="N71" s="50" t="str">
        <x:v>Moderate raw value; economics depend on a high grade; Holo surface quality matters heavily; Older card; high-grade supply is naturally thinner</x:v>
      </x:c>
      <x:c r="O71" s="50" t="str">
        <x:v>Submit only with a realistic PSA 9/10 outlook.</x:v>
      </x:c>
      <x:c r="P71" s="50" t="str">
        <x:v>Wait for cheap grading; submit only if pre-grade is strong.</x:v>
      </x:c>
      <x:c r="Q71" s="50" t="str">
        <x:v>Not inspected</x:v>
      </x:c>
      <x:c r="R71" s="50" t="str">
        <x:v>Undecided</x:v>
      </x:c>
      <x:c r="S71" s="50" t="str">
        <x:f>'All Physical Cards'!W595</x:f>
        <x:v>https://www.pricecharting.com/game/pokemon-team-rocket/rainbow-energy-17</x:v>
      </x:c>
      <x:c r="T71" s="115"/>
      <x:c r="U71" s="115"/>
      <x:c r="V71" s="115"/>
      <x:c r="W71" s="115"/>
      <x:c r="X71" s="20"/>
      <x:c r="Y71" s="20"/>
      <x:c r="Z71" s="20"/>
      <x:c r="AA71" s="20"/>
      <x:c r="AB71" s="20"/>
      <x:c r="AC71" s="20" t="str">
        <x:v>PriceCharting baseline retained. Exact PSA sales data were not sufficiently useful/available in the verification pass; no unrelated printing or variant was substituted.</x:v>
      </x:c>
      <x:c r="AD71" s="20" t="str">
        <x:v>https://www.pricecharting.com/game/pokemon-team-rocket/rainbow-energy-17</x:v>
      </x:c>
      <x:c r="AE71" s="131"/>
      <x:c r="AF71" s="131"/>
      <x:c r="AG71" s="131"/>
      <x:c r="AH71" s="131"/>
      <x:c r="AI71" s="131"/>
      <x:c r="AJ71" s="61"/>
      <x:c r="AK71" s="61" t="n">
        <x:v>31.52</x:v>
      </x:c>
      <x:c r="AL71" s="61" t="n">
        <x:v>44.73</x:v>
      </x:c>
      <x:c r="AM71" s="61" t="n">
        <x:v>58.95</x:v>
      </x:c>
      <x:c r="AN71" s="61" t="n">
        <x:v>960</x:v>
      </x:c>
      <x:c r="AO71" s="61"/>
      <x:c r="AP71" s="61"/>
      <x:c r="AQ71" s="61"/>
      <x:c r="AR71" s="20" t="str">
        <x:v>PriceCharting baseline</x:v>
      </x:c>
      <x:c r="AS71" s="20" t="str">
        <x:v>PriceCharting grade value retained where an exact, sufficiently useful PSA sales cross-check was not found. No unrelated printing/variant was substituted.</x:v>
      </x:c>
      <x:c r="AT71" s="176"/>
      <x:c r="AU71" s="176"/>
      <x:c r="AV71" s="176"/>
      <x:c r="AW71" s="176"/>
      <x:c r="AX71" s="176"/>
      <x:c r="AY71" s="176"/>
      <x:c r="AZ71" s="20" t="str">
        <x:v>https://www.psacard.com/Pop</x:v>
      </x:c>
      <x:c r="BA71" s="20" t="str">
        <x:v>PSA-direct population for this exact printing/grade was not confidently resolved from PSA's accessible/indexed pages on 2026-08-17. Prior PriceCharting/Pikawiz population figures were removed rather than retained.</x:v>
      </x:c>
    </x:row>
    <x:row r="72" ht="26.399999618530273" hidden="0" customHeight="1">
      <x:c r="A72" s="89" t="str">
        <x:v>C — Conditional</x:v>
      </x:c>
      <x:c r="B72" s="86" t="n">
        <x:f>'All Physical Cards'!A349</x:f>
        <x:v>348</x:v>
      </x:c>
      <x:c r="C72" s="50" t="str">
        <x:f>'All Physical Cards'!C349</x:f>
        <x:v>Light Ninetales</x:v>
      </x:c>
      <x:c r="D72" s="50" t="str">
        <x:f>'All Physical Cards'!D349</x:f>
        <x:v>50/105</x:v>
      </x:c>
      <x:c r="E72" s="50" t="str">
        <x:f>'All Physical Cards'!E349</x:f>
        <x:v>Neo Destiny</x:v>
      </x:c>
      <x:c r="F72" s="50" t="n">
        <x:f>'All Physical Cards'!F349</x:f>
        <x:v>2002</x:v>
      </x:c>
      <x:c r="G72" s="50" t="str">
        <x:f>'All Physical Cards'!G349</x:f>
        <x:v>Regular (Unlimited assumed)</x:v>
      </x:c>
      <x:c r="H72" s="50" t="str">
        <x:f>'All Physical Cards'!H349</x:f>
        <x:v>1 of 1</x:v>
      </x:c>
      <x:c r="I72" s="91" t="n">
        <x:f>'All Physical Cards'!I349</x:f>
        <x:v>16</x:v>
      </x:c>
      <x:c r="J72" s="91" t="n">
        <x:f>'All Physical Cards'!J349</x:f>
        <x:v>26</x:v>
      </x:c>
      <x:c r="K72" s="91" t="n">
        <x:f>'All Physical Cards'!K349</x:f>
        <x:v>21</x:v>
      </x:c>
      <x:c r="L72" s="91" t="n">
        <x:f>'All Physical Cards'!S349</x:f>
        <x:v>21</x:v>
      </x:c>
      <x:c r="M72" s="50" t="str">
        <x:f>'All Physical Cards'!P349</x:f>
        <x:v>Clean/NM benchmark unless noted</x:v>
      </x:c>
      <x:c r="N72" s="50" t="str">
        <x:v>Moderate raw value; economics depend on a high grade; Popular Pokémon demand; Older card; high-grade supply is naturally thinner</x:v>
      </x:c>
      <x:c r="O72" s="50" t="str">
        <x:v>Submit only with a realistic PSA 9/10 outlook.</x:v>
      </x:c>
      <x:c r="P72" s="50" t="str">
        <x:v>Wait for cheap grading; submit only if pre-grade is strong.</x:v>
      </x:c>
      <x:c r="Q72" s="50" t="str">
        <x:v>Not inspected</x:v>
      </x:c>
      <x:c r="R72" s="50" t="str">
        <x:v>Undecided</x:v>
      </x:c>
      <x:c r="S72" s="50" t="str">
        <x:f>'All Physical Cards'!W349</x:f>
        <x:v>https://www.pricecharting.com/game/pokemon-neo-destiny/light-ninetales-50</x:v>
      </x:c>
      <x:c r="T72" s="115"/>
      <x:c r="U72" s="115"/>
      <x:c r="V72" s="115"/>
      <x:c r="W72" s="115"/>
      <x:c r="X72" s="20"/>
      <x:c r="Y72" s="20"/>
      <x:c r="Z72" s="20"/>
      <x:c r="AA72" s="20"/>
      <x:c r="AB72" s="20"/>
      <x:c r="AC72" s="20" t="str">
        <x:v>PriceCharting baseline retained. Exact PSA sales data were not sufficiently useful/available in the verification pass; no unrelated printing or variant was substituted.</x:v>
      </x:c>
      <x:c r="AD72" s="20" t="str">
        <x:v>https://www.pricecharting.com/game/pokemon-neo-destiny/light-ninetales-50</x:v>
      </x:c>
      <x:c r="AE72" s="131"/>
      <x:c r="AF72" s="131"/>
      <x:c r="AG72" s="131"/>
      <x:c r="AH72" s="131"/>
      <x:c r="AI72" s="131"/>
      <x:c r="AJ72" s="61"/>
      <x:c r="AK72" s="61" t="n">
        <x:v>24</x:v>
      </x:c>
      <x:c r="AL72" s="61" t="n">
        <x:v>29.99</x:v>
      </x:c>
      <x:c r="AM72" s="61" t="n">
        <x:v>46.36</x:v>
      </x:c>
      <x:c r="AN72" s="61" t="n">
        <x:v>300.54</x:v>
      </x:c>
      <x:c r="AO72" s="61"/>
      <x:c r="AP72" s="61"/>
      <x:c r="AQ72" s="61"/>
      <x:c r="AR72" s="20" t="str">
        <x:v>PriceCharting baseline</x:v>
      </x:c>
      <x:c r="AS72" s="20" t="str">
        <x:v>PriceCharting grade value retained where an exact, sufficiently useful PSA sales cross-check was not found. No unrelated printing/variant was substituted.</x:v>
      </x:c>
      <x:c r="AT72" s="176"/>
      <x:c r="AU72" s="176"/>
      <x:c r="AV72" s="176"/>
      <x:c r="AW72" s="176"/>
      <x:c r="AX72" s="176"/>
      <x:c r="AY72" s="176"/>
      <x:c r="AZ72" s="20" t="str">
        <x:v>https://www.psacard.com/Pop</x:v>
      </x:c>
      <x:c r="BA72" s="20" t="str">
        <x:v>PSA-direct population for this exact printing/grade was not confidently resolved from PSA's accessible/indexed pages on 2026-08-17. Prior PriceCharting/Pikawiz population figures were removed rather than retained.</x:v>
      </x:c>
    </x:row>
    <x:row r="73" ht="39.599998474121094" hidden="0" customHeight="1">
      <x:c r="A73" s="89" t="str">
        <x:v>C — Conditional</x:v>
      </x:c>
      <x:c r="B73" s="86" t="n">
        <x:f>'All Physical Cards'!A254</x:f>
        <x:v>253</x:v>
      </x:c>
      <x:c r="C73" s="50" t="str">
        <x:f>'All Physical Cards'!C254</x:f>
        <x:v>Articuno</x:v>
      </x:c>
      <x:c r="D73" s="50" t="e">
        <x:f>'All Physical Cards'!D254</x:f>
        <x:v>#22</x:v>
      </x:c>
      <x:c r="E73" s="50" t="str">
        <x:f>'All Physical Cards'!E254</x:f>
        <x:v>Wizards Black Star Promo</x:v>
      </x:c>
      <x:c r="F73" s="50" t="n">
        <x:f>'All Physical Cards'!F254</x:f>
        <x:v>2000</x:v>
      </x:c>
      <x:c r="G73" s="50" t="str">
        <x:f>'All Physical Cards'!G254</x:f>
        <x:v>Promo</x:v>
      </x:c>
      <x:c r="H73" s="50" t="str">
        <x:f>'All Physical Cards'!H254</x:f>
        <x:v>1 of 1</x:v>
      </x:c>
      <x:c r="I73" s="91" t="n">
        <x:f>'All Physical Cards'!I254</x:f>
        <x:v>18</x:v>
      </x:c>
      <x:c r="J73" s="91" t="n">
        <x:f>'All Physical Cards'!J254</x:f>
        <x:v>20</x:v>
      </x:c>
      <x:c r="K73" s="91" t="n">
        <x:f>'All Physical Cards'!K254</x:f>
        <x:v>19</x:v>
      </x:c>
      <x:c r="L73" s="91" t="n">
        <x:f>'All Physical Cards'!S254</x:f>
        <x:v>11</x:v>
      </x:c>
      <x:c r="M73" s="50" t="str">
        <x:f>'All Physical Cards'!P254</x:f>
        <x:v>Not best condition / likely LP-MP</x:v>
      </x:c>
      <x:c r="N73" s="50" t="str">
        <x:v>Moderate raw value; economics depend on a high grade; Popular Pokémon demand; Older card; high-grade supply is naturally thinner</x:v>
      </x:c>
      <x:c r="O73" s="50" t="str">
        <x:v>Known wear already reported — inspect first; likely hold raw unless the actual card presents much better than the note.</x:v>
      </x:c>
      <x:c r="P73" s="50" t="str">
        <x:v>Wait for cheap grading; submit only if pre-grade is strong.</x:v>
      </x:c>
      <x:c r="Q73" s="50" t="str">
        <x:v>Not inspected</x:v>
      </x:c>
      <x:c r="R73" s="50" t="str">
        <x:v>Undecided</x:v>
      </x:c>
      <x:c r="S73" s="50" t="n">
        <x:f>'All Physical Cards'!W254</x:f>
        <x:v>0</x:v>
      </x:c>
      <x:c r="T73" s="115"/>
      <x:c r="U73" s="115"/>
      <x:c r="V73" s="115"/>
      <x:c r="W73" s="115"/>
      <x:c r="X73" s="20"/>
      <x:c r="Y73" s="20"/>
      <x:c r="Z73" s="20"/>
      <x:c r="AA73" s="20"/>
      <x:c r="AB73" s="20"/>
      <x:c r="AC73" s="20" t="str">
        <x:v>PriceCharting baseline retained. Exact PSA sales data were not sufficiently useful/available in the verification pass; no unrelated printing or variant was substituted.</x:v>
      </x:c>
      <x:c r="AD73" s="20" t="str">
        <x:v>https://www.pricecharting.com/game/pokemon-promo/articuno-22</x:v>
      </x:c>
      <x:c r="AE73" s="131"/>
      <x:c r="AF73" s="131"/>
      <x:c r="AG73" s="131"/>
      <x:c r="AH73" s="131"/>
      <x:c r="AI73" s="131"/>
      <x:c r="AJ73" s="61"/>
      <x:c r="AK73" s="61" t="n">
        <x:v>19.55</x:v>
      </x:c>
      <x:c r="AL73" s="61" t="n">
        <x:v>39.74</x:v>
      </x:c>
      <x:c r="AM73" s="61" t="n">
        <x:v>89</x:v>
      </x:c>
      <x:c r="AN73" s="61" t="n">
        <x:v>196.87</x:v>
      </x:c>
      <x:c r="AO73" s="61"/>
      <x:c r="AP73" s="61"/>
      <x:c r="AQ73" s="61"/>
      <x:c r="AR73" s="20" t="str">
        <x:v>PriceCharting baseline</x:v>
      </x:c>
      <x:c r="AS73" s="20" t="str">
        <x:v>PriceCharting grade value retained where an exact, sufficiently useful PSA sales cross-check was not found. No unrelated printing/variant was substituted.</x:v>
      </x:c>
      <x:c r="AT73" s="176"/>
      <x:c r="AU73" s="176"/>
      <x:c r="AV73" s="176"/>
      <x:c r="AW73" s="176"/>
      <x:c r="AX73" s="176"/>
      <x:c r="AY73" s="176"/>
      <x:c r="AZ73" s="20" t="str">
        <x:v>https://www.psacard.com/Pop</x:v>
      </x:c>
      <x:c r="BA73" s="20" t="str">
        <x:v>PSA-direct population for this exact printing/grade was not confidently resolved from PSA's accessible/indexed pages on 2026-08-17. Prior PriceCharting/Pikawiz population figures were removed rather than retained.</x:v>
      </x:c>
    </x:row>
    <x:row r="74" ht="26.399999618530273" hidden="0" customHeight="1">
      <x:c r="A74" s="89" t="str">
        <x:v>C — Conditional</x:v>
      </x:c>
      <x:c r="B74" s="86" t="n">
        <x:f>'All Physical Cards'!A353</x:f>
        <x:v>352</x:v>
      </x:c>
      <x:c r="C74" s="50" t="str">
        <x:f>'All Physical Cards'!C353</x:f>
        <x:v>Blaine's Charmeleon</x:v>
      </x:c>
      <x:c r="D74" s="50" t="str">
        <x:f>'All Physical Cards'!D353</x:f>
        <x:v>31/132</x:v>
      </x:c>
      <x:c r="E74" s="50" t="str">
        <x:f>'All Physical Cards'!E353</x:f>
        <x:v>Gym Challenge</x:v>
      </x:c>
      <x:c r="F74" s="50" t="n">
        <x:f>'All Physical Cards'!F353</x:f>
        <x:v>2000</x:v>
      </x:c>
      <x:c r="G74" s="50" t="str">
        <x:f>'All Physical Cards'!G353</x:f>
        <x:v>Regular (Unlimited assumed)</x:v>
      </x:c>
      <x:c r="H74" s="50" t="str">
        <x:f>'All Physical Cards'!H353</x:f>
        <x:v>1 of 1</x:v>
      </x:c>
      <x:c r="I74" s="91" t="n">
        <x:f>'All Physical Cards'!I353</x:f>
        <x:v>17</x:v>
      </x:c>
      <x:c r="J74" s="91" t="n">
        <x:f>'All Physical Cards'!J353</x:f>
        <x:v>21</x:v>
      </x:c>
      <x:c r="K74" s="91" t="n">
        <x:f>'All Physical Cards'!K353</x:f>
        <x:v>19</x:v>
      </x:c>
      <x:c r="L74" s="91" t="n">
        <x:f>'All Physical Cards'!S353</x:f>
        <x:v>19</x:v>
      </x:c>
      <x:c r="M74" s="50" t="str">
        <x:f>'All Physical Cards'!P353</x:f>
        <x:v>Clean/NM benchmark unless noted</x:v>
      </x:c>
      <x:c r="N74" s="50" t="str">
        <x:v>Moderate raw value; economics depend on a high grade; Popular Pokémon demand; Older card; high-grade supply is naturally thinner</x:v>
      </x:c>
      <x:c r="O74" s="50" t="str">
        <x:v>Submit only with a realistic PSA 9/10 outlook.</x:v>
      </x:c>
      <x:c r="P74" s="50" t="str">
        <x:v>Wait for cheap grading; submit only if pre-grade is strong.</x:v>
      </x:c>
      <x:c r="Q74" s="50" t="str">
        <x:v>Not inspected</x:v>
      </x:c>
      <x:c r="R74" s="50" t="str">
        <x:v>Undecided</x:v>
      </x:c>
      <x:c r="S74" s="50" t="str">
        <x:f>'All Physical Cards'!W353</x:f>
        <x:v>https://www.tcgplayer.com/search/pokemon/all?page=1&amp;productLineName=pokemon&amp;q=Blaine%27s+Charmeleon+Gym+Challenge&amp;setName=all&amp;view=grid</x:v>
      </x:c>
      <x:c r="T74" s="115"/>
      <x:c r="U74" s="115"/>
      <x:c r="V74" s="115"/>
      <x:c r="W74" s="115"/>
      <x:c r="X74" s="20"/>
      <x:c r="Y74" s="20"/>
      <x:c r="Z74" s="20"/>
      <x:c r="AA74" s="20"/>
      <x:c r="AB74" s="20"/>
      <x:c r="AC74" s="20" t="str">
        <x:v>PriceCharting baseline retained. Exact PSA sales data were not sufficiently useful/available in the verification pass; no unrelated printing or variant was substituted.</x:v>
      </x:c>
      <x:c r="AD74" s="20" t="str">
        <x:v>https://www.pricecharting.com/game/pokemon-gym-challenge/blaine%27s-charmeleon-31</x:v>
      </x:c>
      <x:c r="AE74" s="131"/>
      <x:c r="AF74" s="131"/>
      <x:c r="AG74" s="131"/>
      <x:c r="AH74" s="131"/>
      <x:c r="AI74" s="131"/>
      <x:c r="AJ74" s="61"/>
      <x:c r="AK74" s="61" t="n">
        <x:v>19.99</x:v>
      </x:c>
      <x:c r="AL74" s="61" t="n">
        <x:v>28</x:v>
      </x:c>
      <x:c r="AM74" s="61" t="n">
        <x:v>41.85</x:v>
      </x:c>
      <x:c r="AN74" s="61" t="n">
        <x:v>170</x:v>
      </x:c>
      <x:c r="AO74" s="61"/>
      <x:c r="AP74" s="61"/>
      <x:c r="AQ74" s="61"/>
      <x:c r="AR74" s="20" t="str">
        <x:v>PriceCharting baseline</x:v>
      </x:c>
      <x:c r="AS74" s="20" t="str">
        <x:v>PriceCharting grade value retained where an exact, sufficiently useful PSA sales cross-check was not found. No unrelated printing/variant was substituted.</x:v>
      </x:c>
      <x:c r="AT74" s="176"/>
      <x:c r="AU74" s="176"/>
      <x:c r="AV74" s="176"/>
      <x:c r="AW74" s="176"/>
      <x:c r="AX74" s="176"/>
      <x:c r="AY74" s="176"/>
      <x:c r="AZ74" s="20" t="str">
        <x:v>https://www.psacard.com/Pop</x:v>
      </x:c>
      <x:c r="BA74" s="20" t="str">
        <x:v>PSA-direct population for this exact printing/grade was not confidently resolved from PSA's accessible/indexed pages on 2026-08-17. Prior PriceCharting/Pikawiz population figures were removed rather than retained.</x:v>
      </x:c>
    </x:row>
    <x:row r="75" ht="26.399999618530273" hidden="0" customHeight="1">
      <x:c r="A75" s="89" t="str">
        <x:v>C — Conditional</x:v>
      </x:c>
      <x:c r="B75" s="86" t="n">
        <x:f>'All Physical Cards'!A277</x:f>
        <x:v>276</x:v>
      </x:c>
      <x:c r="C75" s="50" t="str">
        <x:f>'All Physical Cards'!C277</x:f>
        <x:v>Cacturne</x:v>
      </x:c>
      <x:c r="D75" s="50" t="str">
        <x:f>'All Physical Cards'!D277</x:f>
        <x:v>27/108</x:v>
      </x:c>
      <x:c r="E75" s="50" t="str">
        <x:f>'All Physical Cards'!E277</x:f>
        <x:v>EX Power Keepers</x:v>
      </x:c>
      <x:c r="F75" s="50" t="n">
        <x:f>'All Physical Cards'!F277</x:f>
        <x:v>2007</x:v>
      </x:c>
      <x:c r="G75" s="50" t="str">
        <x:f>'All Physical Cards'!G277</x:f>
        <x:v>Reverse Holo (Power Keepers stamped foil)</x:v>
      </x:c>
      <x:c r="H75" s="50" t="str">
        <x:f>'All Physical Cards'!H277</x:f>
        <x:v>1 of 1</x:v>
      </x:c>
      <x:c r="I75" s="91" t="n">
        <x:f>'All Physical Cards'!I277</x:f>
        <x:v>17.5</x:v>
      </x:c>
      <x:c r="J75" s="91" t="n">
        <x:f>'All Physical Cards'!J277</x:f>
        <x:v>20</x:v>
      </x:c>
      <x:c r="K75" s="91" t="n">
        <x:f>'All Physical Cards'!K277</x:f>
        <x:v>18.75</x:v>
      </x:c>
      <x:c r="L75" s="91" t="n">
        <x:f>'All Physical Cards'!S277</x:f>
        <x:v>18.75</x:v>
      </x:c>
      <x:c r="M75" s="50" t="str">
        <x:f>'All Physical Cards'!P277</x:f>
        <x:v>Clean/NM benchmark unless noted</x:v>
      </x:c>
      <x:c r="N75" s="50" t="str">
        <x:v>Moderate raw value; economics depend on a high grade; EX-era stamped foil; high grades are condition-sensitive; Older card; high-grade supply is naturally thinner</x:v>
      </x:c>
      <x:c r="O75" s="50" t="str">
        <x:v>Submit only with a realistic PSA 9/10 outlook.</x:v>
      </x:c>
      <x:c r="P75" s="50" t="str">
        <x:v>Wait for cheap grading; submit only if pre-grade is strong.</x:v>
      </x:c>
      <x:c r="Q75" s="50" t="str">
        <x:v>Not inspected</x:v>
      </x:c>
      <x:c r="R75" s="50" t="str">
        <x:v>Undecided</x:v>
      </x:c>
      <x:c r="S75" s="50" t="str">
        <x:f>'All Physical Cards'!W277</x:f>
        <x:v>https://www.tcgplayer.com/categories/trading-and-collectible-card-games/pokemon/price-guides/power-keepers</x:v>
      </x:c>
      <x:c r="T75" s="115"/>
      <x:c r="U75" s="115"/>
      <x:c r="V75" s="115"/>
      <x:c r="W75" s="115"/>
      <x:c r="X75" s="20"/>
      <x:c r="Y75" s="20"/>
      <x:c r="Z75" s="20"/>
      <x:c r="AA75" s="20"/>
      <x:c r="AB75" s="20"/>
      <x:c r="AC75" s="20" t="str">
        <x:v>PriceCharting baseline retained. Exact PSA sales data were not sufficiently useful/available in the verification pass; no unrelated printing or variant was substituted.</x:v>
      </x:c>
      <x:c r="AD75" s="20" t="str">
        <x:v>https://www.pricecharting.com/game/pokemon-power-keepers/cacturne-reverse-holo-27</x:v>
      </x:c>
      <x:c r="AE75" s="131"/>
      <x:c r="AF75" s="131"/>
      <x:c r="AG75" s="131"/>
      <x:c r="AH75" s="131"/>
      <x:c r="AI75" s="131"/>
      <x:c r="AJ75" s="61"/>
      <x:c r="AK75" s="61" t="n">
        <x:v>15.5</x:v>
      </x:c>
      <x:c r="AL75" s="61" t="n">
        <x:v>20</x:v>
      </x:c>
      <x:c r="AM75" s="61" t="n">
        <x:v>74.76</x:v>
      </x:c>
      <x:c r="AN75" s="61" t="n">
        <x:v>94.94</x:v>
      </x:c>
      <x:c r="AO75" s="61"/>
      <x:c r="AP75" s="61"/>
      <x:c r="AQ75" s="61"/>
      <x:c r="AR75" s="20" t="str">
        <x:v>PriceCharting baseline</x:v>
      </x:c>
      <x:c r="AS75" s="20" t="str">
        <x:v>PriceCharting grade value retained where an exact, sufficiently useful PSA sales cross-check was not found. No unrelated printing/variant was substituted.</x:v>
      </x:c>
      <x:c r="AT75" s="176"/>
      <x:c r="AU75" s="176"/>
      <x:c r="AV75" s="176"/>
      <x:c r="AW75" s="176"/>
      <x:c r="AX75" s="176"/>
      <x:c r="AY75" s="176"/>
      <x:c r="AZ75" s="20" t="str">
        <x:v>https://www.psacard.com/Pop</x:v>
      </x:c>
      <x:c r="BA75" s="20" t="str">
        <x:v>PSA-direct population for this exact printing/grade was not confidently resolved from PSA's accessible/indexed pages on 2026-08-17. Prior PriceCharting/Pikawiz population figures were removed rather than retained.</x:v>
      </x:c>
    </x:row>
    <x:row r="76" ht="26.399999618530273" hidden="0" customHeight="1">
      <x:c r="A76" s="89" t="str">
        <x:v>C — Conditional</x:v>
      </x:c>
      <x:c r="B76" s="86" t="n">
        <x:f>'All Physical Cards'!A477</x:f>
        <x:v>476</x:v>
      </x:c>
      <x:c r="C76" s="50" t="str">
        <x:f>'All Physical Cards'!C477</x:f>
        <x:v>Lucario</x:v>
      </x:c>
      <x:c r="D76" s="50" t="str">
        <x:f>'All Physical Cards'!D477</x:f>
        <x:v>80/113</x:v>
      </x:c>
      <x:c r="E76" s="50" t="str">
        <x:f>'All Physical Cards'!E477</x:f>
        <x:v>Legendary Treasures</x:v>
      </x:c>
      <x:c r="F76" s="50" t="n">
        <x:f>'All Physical Cards'!F477</x:f>
        <x:v>2013</x:v>
      </x:c>
      <x:c r="G76" s="50" t="str">
        <x:f>'All Physical Cards'!G477</x:f>
        <x:v>Holofoil Rare</x:v>
      </x:c>
      <x:c r="H76" s="50" t="str">
        <x:f>'All Physical Cards'!H477</x:f>
        <x:v>1 of 1</x:v>
      </x:c>
      <x:c r="I76" s="91" t="n">
        <x:f>'All Physical Cards'!I477</x:f>
        <x:v>15</x:v>
      </x:c>
      <x:c r="J76" s="91" t="n">
        <x:f>'All Physical Cards'!J477</x:f>
        <x:v>22</x:v>
      </x:c>
      <x:c r="K76" s="91" t="n">
        <x:f>'All Physical Cards'!K477</x:f>
        <x:v>18.5</x:v>
      </x:c>
      <x:c r="L76" s="91" t="n">
        <x:f>'All Physical Cards'!S477</x:f>
        <x:v>18.5</x:v>
      </x:c>
      <x:c r="M76" s="50" t="str">
        <x:f>'All Physical Cards'!P477</x:f>
        <x:v>Clean/NM benchmark unless noted</x:v>
      </x:c>
      <x:c r="N76" s="50" t="str">
        <x:v>Moderate raw value; economics depend on a high grade; Holo surface quality matters heavily; Popular Pokémon demand</x:v>
      </x:c>
      <x:c r="O76" s="50" t="str">
        <x:v>Submit only with a realistic PSA 9/10 outlook.</x:v>
      </x:c>
      <x:c r="P76" s="50" t="str">
        <x:v>Wait for cheap grading; submit only if pre-grade is strong.</x:v>
      </x:c>
      <x:c r="Q76" s="50" t="str">
        <x:v>Not inspected</x:v>
      </x:c>
      <x:c r="R76" s="50" t="str">
        <x:v>Undecided</x:v>
      </x:c>
      <x:c r="S76" s="50" t="str">
        <x:f>'All Physical Cards'!W477</x:f>
        <x:v>https://www.tcgplayer.com/search/pokemon/legendary-treasures?page=4&amp;productLineName=pokemon&amp;productTypeName=Cards&amp;setName=legendary-treasures&amp;view=grid</x:v>
      </x:c>
      <x:c r="T76" s="115"/>
      <x:c r="U76" s="115"/>
      <x:c r="V76" s="115"/>
      <x:c r="W76" s="115"/>
      <x:c r="X76" s="20"/>
      <x:c r="Y76" s="20"/>
      <x:c r="Z76" s="20"/>
      <x:c r="AA76" s="20"/>
      <x:c r="AB76" s="20"/>
      <x:c r="AC76" s="20" t="str">
        <x:v>PriceCharting baseline retained. Exact PSA sales data were not sufficiently useful/available in the verification pass; no unrelated printing or variant was substituted.</x:v>
      </x:c>
      <x:c r="AD76" s="20" t="str">
        <x:v>https://www.pricecharting.com/game/pokemon-legendary-treasures/lucario-80</x:v>
      </x:c>
      <x:c r="AE76" s="131"/>
      <x:c r="AF76" s="131"/>
      <x:c r="AG76" s="131"/>
      <x:c r="AH76" s="131"/>
      <x:c r="AI76" s="131"/>
      <x:c r="AJ76" s="61"/>
      <x:c r="AK76" s="61" t="n">
        <x:v>23.22</x:v>
      </x:c>
      <x:c r="AL76" s="61" t="n">
        <x:v>38.37</x:v>
      </x:c>
      <x:c r="AM76" s="61" t="n">
        <x:v>197.56</x:v>
      </x:c>
      <x:c r="AN76" s="61" t="n">
        <x:v>834.5</x:v>
      </x:c>
      <x:c r="AO76" s="61"/>
      <x:c r="AP76" s="61"/>
      <x:c r="AQ76" s="61"/>
      <x:c r="AR76" s="20" t="str">
        <x:v>PriceCharting baseline</x:v>
      </x:c>
      <x:c r="AS76" s="20" t="str">
        <x:v>PriceCharting grade value retained where an exact, sufficiently useful PSA sales cross-check was not found. No unrelated printing/variant was substituted.</x:v>
      </x:c>
      <x:c r="AT76" s="176"/>
      <x:c r="AU76" s="176"/>
      <x:c r="AV76" s="176"/>
      <x:c r="AW76" s="176"/>
      <x:c r="AX76" s="176"/>
      <x:c r="AY76" s="176"/>
      <x:c r="AZ76" s="20" t="str">
        <x:v>https://www.psacard.com/Pop</x:v>
      </x:c>
      <x:c r="BA76" s="20" t="str">
        <x:v>PSA-direct population for this exact printing/grade was not confidently resolved from PSA's accessible/indexed pages on 2026-08-17. Prior PriceCharting/Pikawiz population figures were removed rather than retained.</x:v>
      </x:c>
    </x:row>
    <x:row r="77" ht="26.399999618530273" hidden="0" customHeight="1">
      <x:c r="A77" s="89" t="str">
        <x:v>C — Conditional</x:v>
      </x:c>
      <x:c r="B77" s="86" t="n">
        <x:f>'All Physical Cards'!A347</x:f>
        <x:v>346</x:v>
      </x:c>
      <x:c r="C77" s="50" t="str">
        <x:f>'All Physical Cards'!C347</x:f>
        <x:v>Flareon</x:v>
      </x:c>
      <x:c r="D77" s="50" t="str">
        <x:f>'All Physical Cards'!D347</x:f>
        <x:v>12/108</x:v>
      </x:c>
      <x:c r="E77" s="50" t="str">
        <x:f>'All Physical Cards'!E347</x:f>
        <x:v>Dark Explorers</x:v>
      </x:c>
      <x:c r="F77" s="50" t="n">
        <x:f>'All Physical Cards'!F347</x:f>
        <x:v>2012</x:v>
      </x:c>
      <x:c r="G77" s="50" t="str">
        <x:f>'All Physical Cards'!G347</x:f>
        <x:v>Reverse Holo</x:v>
      </x:c>
      <x:c r="H77" s="50" t="str">
        <x:f>'All Physical Cards'!H347</x:f>
        <x:v>1 of 1</x:v>
      </x:c>
      <x:c r="I77" s="91" t="n">
        <x:f>'All Physical Cards'!I347</x:f>
        <x:v>14</x:v>
      </x:c>
      <x:c r="J77" s="91" t="n">
        <x:f>'All Physical Cards'!J347</x:f>
        <x:v>18</x:v>
      </x:c>
      <x:c r="K77" s="91" t="n">
        <x:f>'All Physical Cards'!K347</x:f>
        <x:v>16</x:v>
      </x:c>
      <x:c r="L77" s="91" t="n">
        <x:f>'All Physical Cards'!S347</x:f>
        <x:v>16</x:v>
      </x:c>
      <x:c r="M77" s="50" t="str">
        <x:f>'All Physical Cards'!P347</x:f>
        <x:v>Clean/NM benchmark unless noted</x:v>
      </x:c>
      <x:c r="N77" s="50" t="str">
        <x:v>Moderate raw value; economics depend on a high grade; Older reverse holo; clean copies are condition-sensitive; Popular Pokémon demand</x:v>
      </x:c>
      <x:c r="O77" s="50" t="str">
        <x:v>Submit only with a realistic PSA 9/10 outlook.</x:v>
      </x:c>
      <x:c r="P77" s="50" t="str">
        <x:v>Wait for cheap grading; submit only if pre-grade is strong.</x:v>
      </x:c>
      <x:c r="Q77" s="50" t="str">
        <x:v>Not inspected</x:v>
      </x:c>
      <x:c r="R77" s="50" t="str">
        <x:v>Undecided</x:v>
      </x:c>
      <x:c r="S77" s="50" t="str">
        <x:f>'All Physical Cards'!W347</x:f>
        <x:v>https://www.tcgplayer.com/categories/trading-and-collectible-card-games/pokemon/price-guides/dark-explorers</x:v>
      </x:c>
      <x:c r="T77" s="115"/>
      <x:c r="U77" s="115"/>
      <x:c r="V77" s="115"/>
      <x:c r="W77" s="115"/>
      <x:c r="X77" s="20"/>
      <x:c r="Y77" s="20"/>
      <x:c r="Z77" s="20"/>
      <x:c r="AA77" s="20"/>
      <x:c r="AB77" s="20"/>
      <x:c r="AC77" s="20" t="str">
        <x:v>PriceCharting baseline retained. Exact PSA sales data were not sufficiently useful/available in the verification pass; no unrelated printing or variant was substituted.</x:v>
      </x:c>
      <x:c r="AD77" s="20" t="str">
        <x:v>https://www.pricecharting.com/game/pokemon-dark-explorers/flareon-reverse-holo-12</x:v>
      </x:c>
      <x:c r="AE77" s="131"/>
      <x:c r="AF77" s="131"/>
      <x:c r="AG77" s="131"/>
      <x:c r="AH77" s="131"/>
      <x:c r="AI77" s="131"/>
      <x:c r="AJ77" s="61"/>
      <x:c r="AK77" s="61"/>
      <x:c r="AL77" s="61" t="n">
        <x:v>38.98</x:v>
      </x:c>
      <x:c r="AM77" s="61" t="n">
        <x:v>100</x:v>
      </x:c>
      <x:c r="AN77" s="61" t="n">
        <x:v>279.52</x:v>
      </x:c>
      <x:c r="AO77" s="61"/>
      <x:c r="AP77" s="61"/>
      <x:c r="AQ77" s="61"/>
      <x:c r="AR77" s="20" t="str">
        <x:v>PriceCharting baseline</x:v>
      </x:c>
      <x:c r="AS77" s="20" t="str">
        <x:v>PriceCharting grade value retained where an exact, sufficiently useful PSA sales cross-check was not found. No unrelated printing/variant was substituted.</x:v>
      </x:c>
      <x:c r="AT77" s="176"/>
      <x:c r="AU77" s="176"/>
      <x:c r="AV77" s="176"/>
      <x:c r="AW77" s="176"/>
      <x:c r="AX77" s="176"/>
      <x:c r="AY77" s="176"/>
      <x:c r="AZ77" s="20" t="str">
        <x:v>https://www.psacard.com/Pop</x:v>
      </x:c>
      <x:c r="BA77" s="20" t="str">
        <x:v>PSA-direct population for this exact printing/grade was not confidently resolved from PSA's accessible/indexed pages on 2026-08-17. Prior PriceCharting/Pikawiz population figures were removed rather than retained.</x:v>
      </x:c>
    </x:row>
    <x:row r="78" ht="26.399999618530273" hidden="0" customHeight="1">
      <x:c r="A78" s="89" t="str">
        <x:v>C — Conditional</x:v>
      </x:c>
      <x:c r="B78" s="86" t="n">
        <x:f>'All Physical Cards'!A447</x:f>
        <x:v>446</x:v>
      </x:c>
      <x:c r="C78" s="50" t="str">
        <x:f>'All Physical Cards'!C447</x:f>
        <x:v>Larvitar</x:v>
      </x:c>
      <x:c r="D78" s="50" t="str">
        <x:f>'All Physical Cards'!D447</x:f>
        <x:v>63/100</x:v>
      </x:c>
      <x:c r="E78" s="50" t="str">
        <x:f>'All Physical Cards'!E447</x:f>
        <x:v>Stormfront</x:v>
      </x:c>
      <x:c r="F78" s="50" t="n">
        <x:f>'All Physical Cards'!F447</x:f>
        <x:v>2008</x:v>
      </x:c>
      <x:c r="G78" s="50" t="str">
        <x:f>'All Physical Cards'!G447</x:f>
        <x:v>Reverse Holo (LV.19)</x:v>
      </x:c>
      <x:c r="H78" s="50" t="str">
        <x:f>'All Physical Cards'!H447</x:f>
        <x:v>1 of 1</x:v>
      </x:c>
      <x:c r="I78" s="91" t="n">
        <x:f>'All Physical Cards'!I447</x:f>
        <x:v>12</x:v>
      </x:c>
      <x:c r="J78" s="91" t="n">
        <x:f>'All Physical Cards'!J447</x:f>
        <x:v>20</x:v>
      </x:c>
      <x:c r="K78" s="91" t="n">
        <x:f>'All Physical Cards'!K447</x:f>
        <x:v>16</x:v>
      </x:c>
      <x:c r="L78" s="91" t="n">
        <x:f>'All Physical Cards'!S447</x:f>
        <x:v>16</x:v>
      </x:c>
      <x:c r="M78" s="50" t="str">
        <x:f>'All Physical Cards'!P447</x:f>
        <x:v>Clean/NM benchmark unless noted</x:v>
      </x:c>
      <x:c r="N78" s="50" t="str">
        <x:v>Moderate raw value; economics depend on a high grade; Older reverse holo; clean copies are condition-sensitive; Older card; high-grade supply is naturally thinner</x:v>
      </x:c>
      <x:c r="O78" s="50" t="str">
        <x:v>Submit only with a realistic PSA 9/10 outlook.</x:v>
      </x:c>
      <x:c r="P78" s="50" t="str">
        <x:v>Wait for cheap grading; submit only if pre-grade is strong.</x:v>
      </x:c>
      <x:c r="Q78" s="50" t="str">
        <x:v>Not inspected</x:v>
      </x:c>
      <x:c r="R78" s="50" t="str">
        <x:v>Undecided</x:v>
      </x:c>
      <x:c r="S78" s="50" t="str">
        <x:f>'All Physical Cards'!W447</x:f>
        <x:v>https://www.pricecharting.com/game/pokemon-stormfront/larvitar-reverse-holo-63</x:v>
      </x:c>
      <x:c r="T78" s="115"/>
      <x:c r="U78" s="115"/>
      <x:c r="V78" s="115"/>
      <x:c r="W78" s="115"/>
      <x:c r="X78" s="20"/>
      <x:c r="Y78" s="20"/>
      <x:c r="Z78" s="20"/>
      <x:c r="AA78" s="20"/>
      <x:c r="AB78" s="20"/>
      <x:c r="AC78" s="20" t="str">
        <x:v>PriceCharting baseline retained. Exact PSA sales data were not sufficiently useful/available in the verification pass; no unrelated printing or variant was substituted.</x:v>
      </x:c>
      <x:c r="AD78" s="20" t="str">
        <x:v>https://www.pricecharting.com/game/pokemon-stormfront/larvitar-reverse-holo-63</x:v>
      </x:c>
      <x:c r="AE78" s="131"/>
      <x:c r="AF78" s="131"/>
      <x:c r="AG78" s="131"/>
      <x:c r="AH78" s="131"/>
      <x:c r="AI78" s="131"/>
      <x:c r="AJ78" s="61"/>
      <x:c r="AK78" s="61"/>
      <x:c r="AL78" s="61"/>
      <x:c r="AM78" s="61" t="n">
        <x:v>22.82</x:v>
      </x:c>
      <x:c r="AN78" s="61" t="n">
        <x:v>282.35</x:v>
      </x:c>
      <x:c r="AO78" s="61"/>
      <x:c r="AP78" s="61"/>
      <x:c r="AQ78" s="61"/>
      <x:c r="AR78" s="20" t="str">
        <x:v>PriceCharting baseline</x:v>
      </x:c>
      <x:c r="AS78" s="20" t="str">
        <x:v>PriceCharting grade value retained where an exact, sufficiently useful PSA sales cross-check was not found. No unrelated printing/variant was substituted.</x:v>
      </x:c>
      <x:c r="AT78" s="176"/>
      <x:c r="AU78" s="176"/>
      <x:c r="AV78" s="176"/>
      <x:c r="AW78" s="176"/>
      <x:c r="AX78" s="176"/>
      <x:c r="AY78" s="176"/>
      <x:c r="AZ78" s="20" t="str">
        <x:v>https://www.psacard.com/Pop</x:v>
      </x:c>
      <x:c r="BA78" s="20" t="str">
        <x:v>PSA-direct population for this exact printing/grade was not confidently resolved from PSA's accessible/indexed pages on 2026-08-17. Prior PriceCharting/Pikawiz population figures were removed rather than retained.</x:v>
      </x:c>
    </x:row>
    <x:row r="79" ht="26.399999618530273" hidden="0" customHeight="1">
      <x:c r="A79" s="89" t="str">
        <x:v>C — Conditional</x:v>
      </x:c>
      <x:c r="B79" s="86" t="n">
        <x:f>'All Physical Cards'!A478</x:f>
        <x:v>477</x:v>
      </x:c>
      <x:c r="C79" s="50" t="str">
        <x:f>'All Physical Cards'!C478</x:f>
        <x:v>Kabutops</x:v>
      </x:c>
      <x:c r="D79" s="50" t="str">
        <x:f>'All Physical Cards'!D478</x:f>
        <x:v>6/100</x:v>
      </x:c>
      <x:c r="E79" s="50" t="str">
        <x:f>'All Physical Cards'!E478</x:f>
        <x:v>Majestic Dawn</x:v>
      </x:c>
      <x:c r="F79" s="50" t="n">
        <x:f>'All Physical Cards'!F478</x:f>
        <x:v>2008</x:v>
      </x:c>
      <x:c r="G79" s="50" t="str">
        <x:f>'All Physical Cards'!G478</x:f>
        <x:v>Reverse Holo</x:v>
      </x:c>
      <x:c r="H79" s="50" t="str">
        <x:f>'All Physical Cards'!H478</x:f>
        <x:v>1 of 1</x:v>
      </x:c>
      <x:c r="I79" s="91" t="n">
        <x:f>'All Physical Cards'!I478</x:f>
        <x:v>13</x:v>
      </x:c>
      <x:c r="J79" s="91" t="n">
        <x:f>'All Physical Cards'!J478</x:f>
        <x:v>19</x:v>
      </x:c>
      <x:c r="K79" s="91" t="n">
        <x:f>'All Physical Cards'!K478</x:f>
        <x:v>16</x:v>
      </x:c>
      <x:c r="L79" s="91" t="n">
        <x:f>'All Physical Cards'!S478</x:f>
        <x:v>16</x:v>
      </x:c>
      <x:c r="M79" s="50" t="str">
        <x:f>'All Physical Cards'!P478</x:f>
        <x:v>Clean/NM benchmark unless noted</x:v>
      </x:c>
      <x:c r="N79" s="50" t="str">
        <x:v>Moderate raw value; economics depend on a high grade; Older reverse holo; clean copies are condition-sensitive; Older card; high-grade supply is naturally thinner</x:v>
      </x:c>
      <x:c r="O79" s="50" t="str">
        <x:v>Submit only with a realistic PSA 9/10 outlook.</x:v>
      </x:c>
      <x:c r="P79" s="50" t="str">
        <x:v>Wait for cheap grading; submit only if pre-grade is strong.</x:v>
      </x:c>
      <x:c r="Q79" s="50" t="str">
        <x:v>Not inspected</x:v>
      </x:c>
      <x:c r="R79" s="50" t="str">
        <x:v>Undecided</x:v>
      </x:c>
      <x:c r="S79" s="50" t="str">
        <x:f>'All Physical Cards'!W478</x:f>
        <x:v>https://www.tcgplayer.com/categories/trading-and-collectible-card-games/pokemon/price-guides/majestic-dawn</x:v>
      </x:c>
      <x:c r="T79" s="115"/>
      <x:c r="U79" s="115"/>
      <x:c r="V79" s="115"/>
      <x:c r="W79" s="115"/>
      <x:c r="X79" s="20"/>
      <x:c r="Y79" s="20"/>
      <x:c r="Z79" s="20"/>
      <x:c r="AA79" s="20"/>
      <x:c r="AB79" s="20"/>
      <x:c r="AC79" s="20" t="str">
        <x:v>PriceCharting baseline retained. Exact PSA sales data were not sufficiently useful/available in the verification pass; no unrelated printing or variant was substituted.</x:v>
      </x:c>
      <x:c r="AD79" s="20" t="str">
        <x:v>https://www.pricecharting.com/game/pokemon-majestic-dawn/kabutops-reverse-holo-6</x:v>
      </x:c>
      <x:c r="AE79" s="131"/>
      <x:c r="AF79" s="131"/>
      <x:c r="AG79" s="131"/>
      <x:c r="AH79" s="131"/>
      <x:c r="AI79" s="131"/>
      <x:c r="AJ79" s="61"/>
      <x:c r="AK79" s="61" t="n">
        <x:v>9</x:v>
      </x:c>
      <x:c r="AL79" s="61" t="n">
        <x:v>19.99</x:v>
      </x:c>
      <x:c r="AM79" s="61" t="n">
        <x:v>27.5</x:v>
      </x:c>
      <x:c r="AN79" s="61" t="n">
        <x:v>170.61</x:v>
      </x:c>
      <x:c r="AO79" s="61"/>
      <x:c r="AP79" s="61"/>
      <x:c r="AQ79" s="61"/>
      <x:c r="AR79" s="20" t="str">
        <x:v>PriceCharting baseline</x:v>
      </x:c>
      <x:c r="AS79" s="20" t="str">
        <x:v>PriceCharting grade value retained where an exact, sufficiently useful PSA sales cross-check was not found. No unrelated printing/variant was substituted.</x:v>
      </x:c>
      <x:c r="AT79" s="176"/>
      <x:c r="AU79" s="176"/>
      <x:c r="AV79" s="176"/>
      <x:c r="AW79" s="176"/>
      <x:c r="AX79" s="176"/>
      <x:c r="AY79" s="176"/>
      <x:c r="AZ79" s="20" t="str">
        <x:v>https://www.psacard.com/Pop</x:v>
      </x:c>
      <x:c r="BA79" s="20" t="str">
        <x:v>PSA-direct population for this exact printing/grade was not confidently resolved from PSA's accessible/indexed pages on 2026-08-17. Prior PriceCharting/Pikawiz population figures were removed rather than retained.</x:v>
      </x:c>
    </x:row>
    <x:row r="80" ht="26.399999618530273" hidden="0" customHeight="1">
      <x:c r="A80" s="89" t="str">
        <x:v>C — Conditional</x:v>
      </x:c>
      <x:c r="B80" s="86" t="n">
        <x:f>'All Physical Cards'!A490</x:f>
        <x:v>489</x:v>
      </x:c>
      <x:c r="C80" s="50" t="str">
        <x:f>'All Physical Cards'!C490</x:f>
        <x:v>Gliscor</x:v>
      </x:c>
      <x:c r="D80" s="50" t="str">
        <x:f>'All Physical Cards'!D490</x:f>
        <x:v>5/146</x:v>
      </x:c>
      <x:c r="E80" s="50" t="str">
        <x:f>'All Physical Cards'!E490</x:f>
        <x:v>Legends Awakened</x:v>
      </x:c>
      <x:c r="F80" s="50" t="n">
        <x:f>'All Physical Cards'!F490</x:f>
        <x:v>2008</x:v>
      </x:c>
      <x:c r="G80" s="50" t="str">
        <x:f>'All Physical Cards'!G490</x:f>
        <x:v>Holofoil Rare (LV.42)</x:v>
      </x:c>
      <x:c r="H80" s="50" t="str">
        <x:f>'All Physical Cards'!H490</x:f>
        <x:v>1 of 1</x:v>
      </x:c>
      <x:c r="I80" s="91" t="n">
        <x:f>'All Physical Cards'!I490</x:f>
        <x:v>10</x:v>
      </x:c>
      <x:c r="J80" s="91" t="n">
        <x:f>'All Physical Cards'!J490</x:f>
        <x:v>22</x:v>
      </x:c>
      <x:c r="K80" s="91" t="n">
        <x:f>'All Physical Cards'!K490</x:f>
        <x:v>16</x:v>
      </x:c>
      <x:c r="L80" s="91" t="n">
        <x:f>'All Physical Cards'!S490</x:f>
        <x:v>16</x:v>
      </x:c>
      <x:c r="M80" s="50" t="str">
        <x:f>'All Physical Cards'!P490</x:f>
        <x:v>Clean/NM benchmark unless noted</x:v>
      </x:c>
      <x:c r="N80" s="50" t="str">
        <x:v>Moderate raw value; economics depend on a high grade; Holo surface quality matters heavily; Older card; high-grade supply is naturally thinner</x:v>
      </x:c>
      <x:c r="O80" s="50" t="str">
        <x:v>Submit only with a realistic PSA 9/10 outlook.</x:v>
      </x:c>
      <x:c r="P80" s="50" t="str">
        <x:v>Wait for cheap grading; submit only if pre-grade is strong.</x:v>
      </x:c>
      <x:c r="Q80" s="50" t="str">
        <x:v>Not inspected</x:v>
      </x:c>
      <x:c r="R80" s="50" t="str">
        <x:v>Undecided</x:v>
      </x:c>
      <x:c r="S80" s="50" t="str">
        <x:f>'All Physical Cards'!W490</x:f>
        <x:v>https://www.pricecharting.com/game/pokemon-legends-awakened/gliscor-holo-5</x:v>
      </x:c>
      <x:c r="T80" s="115"/>
      <x:c r="U80" s="115"/>
      <x:c r="V80" s="115"/>
      <x:c r="W80" s="115"/>
      <x:c r="X80" s="20"/>
      <x:c r="Y80" s="20"/>
      <x:c r="Z80" s="20"/>
      <x:c r="AA80" s="20"/>
      <x:c r="AB80" s="20"/>
      <x:c r="AC80" s="20" t="str">
        <x:v>PriceCharting baseline retained. Exact PSA sales data were not sufficiently useful/available in the verification pass; no unrelated printing or variant was substituted.</x:v>
      </x:c>
      <x:c r="AD80" s="20" t="str">
        <x:v>https://www.pricecharting.com/game/pokemon-legends-awakened/gliscor-holo-5</x:v>
      </x:c>
      <x:c r="AE80" s="131"/>
      <x:c r="AF80" s="131"/>
      <x:c r="AG80" s="131"/>
      <x:c r="AH80" s="131"/>
      <x:c r="AI80" s="131"/>
      <x:c r="AJ80" s="61"/>
      <x:c r="AK80" s="61" t="n">
        <x:v>13</x:v>
      </x:c>
      <x:c r="AL80" s="61" t="n">
        <x:v>16.63</x:v>
      </x:c>
      <x:c r="AM80" s="61" t="n">
        <x:v>76</x:v>
      </x:c>
      <x:c r="AN80" s="61" t="n">
        <x:v>174.81</x:v>
      </x:c>
      <x:c r="AO80" s="61"/>
      <x:c r="AP80" s="61"/>
      <x:c r="AQ80" s="61"/>
      <x:c r="AR80" s="20" t="str">
        <x:v>PriceCharting baseline</x:v>
      </x:c>
      <x:c r="AS80" s="20" t="str">
        <x:v>PriceCharting grade value retained where an exact, sufficiently useful PSA sales cross-check was not found. No unrelated printing/variant was substituted.</x:v>
      </x:c>
      <x:c r="AT80" s="176" t="n">
        <x:v>6</x:v>
      </x:c>
      <x:c r="AU80" s="176" t="n">
        <x:v>10</x:v>
      </x:c>
      <x:c r="AV80" s="176" t="n">
        <x:v>23</x:v>
      </x:c>
      <x:c r="AW80" s="176" t="n">
        <x:v>21</x:v>
      </x:c>
      <x:c r="AX80" s="176" t="n">
        <x:v>2</x:v>
      </x:c>
      <x:c r="AY80" s="176"/>
      <x:c r="AZ80" s="20" t="str">
        <x:v>https://www.psacard.com/auctionprices/tcg-cards/2008-pokemon-diamond-pearl-legends-awakened/gliscor-holo/880289</x:v>
      </x:c>
      <x:c r="BA80" s="20" t="str">
        <x:v>PSA official Auction Prices/Population table for the exact holo printing.</x:v>
      </x:c>
    </x:row>
    <x:row r="81" ht="26.399999618530273" hidden="0" customHeight="1">
      <x:c r="A81" s="89" t="str">
        <x:v>C — Conditional</x:v>
      </x:c>
      <x:c r="B81" s="86" t="n">
        <x:f>'All Physical Cards'!A648</x:f>
        <x:v>647</x:v>
      </x:c>
      <x:c r="C81" s="50" t="str">
        <x:f>'All Physical Cards'!C648</x:f>
        <x:v>Magnezone-EX</x:v>
      </x:c>
      <x:c r="D81" s="50" t="str">
        <x:f>'All Physical Cards'!D648</x:f>
        <x:v>101/106</x:v>
      </x:c>
      <x:c r="E81" s="50" t="str">
        <x:f>'All Physical Cards'!E648</x:f>
        <x:v>XY—Flashfire</x:v>
      </x:c>
      <x:c r="F81" s="50" t="n">
        <x:f>'All Physical Cards'!F648</x:f>
        <x:v>2014</x:v>
      </x:c>
      <x:c r="G81" s="50" t="str">
        <x:f>'All Physical Cards'!G648</x:f>
        <x:v>Full Art Holo Ultra Rare</x:v>
      </x:c>
      <x:c r="H81" s="50" t="str">
        <x:f>'All Physical Cards'!H648</x:f>
        <x:v>1 of 1</x:v>
      </x:c>
      <x:c r="I81" s="91" t="n">
        <x:f>'All Physical Cards'!I648</x:f>
        <x:v>13</x:v>
      </x:c>
      <x:c r="J81" s="91" t="n">
        <x:f>'All Physical Cards'!J648</x:f>
        <x:v>18</x:v>
      </x:c>
      <x:c r="K81" s="91" t="n">
        <x:f>'All Physical Cards'!K648</x:f>
        <x:v>15.5</x:v>
      </x:c>
      <x:c r="L81" s="91" t="n">
        <x:f>'All Physical Cards'!S648</x:f>
        <x:v>15.5</x:v>
      </x:c>
      <x:c r="M81" s="50" t="str">
        <x:f>'All Physical Cards'!P648</x:f>
        <x:v>Clean/NM benchmark unless noted</x:v>
      </x:c>
      <x:c r="N81" s="50" t="str">
        <x:v>Moderate raw value; economics depend on a high grade; Full Art collector demand</x:v>
      </x:c>
      <x:c r="O81" s="50" t="str">
        <x:v>Submit only with a realistic PSA 9/10 outlook.</x:v>
      </x:c>
      <x:c r="P81" s="50" t="str">
        <x:v>Wait for cheap grading; submit only if pre-grade is strong.</x:v>
      </x:c>
      <x:c r="Q81" s="50" t="str">
        <x:v>Not inspected</x:v>
      </x:c>
      <x:c r="R81" s="50" t="str">
        <x:v>Undecided</x:v>
      </x:c>
      <x:c r="S81" s="50" t="str">
        <x:f>'All Physical Cards'!W648</x:f>
        <x:v>https://www.pricecharting.com/game/pokemon-flashfire/magnezone-ex-101</x:v>
      </x:c>
      <x:c r="T81" s="115"/>
      <x:c r="U81" s="115"/>
      <x:c r="V81" s="115"/>
      <x:c r="W81" s="115"/>
      <x:c r="X81" s="20"/>
      <x:c r="Y81" s="20"/>
      <x:c r="Z81" s="20"/>
      <x:c r="AA81" s="20"/>
      <x:c r="AB81" s="20"/>
      <x:c r="AC81" s="20" t="str">
        <x:v>PriceCharting baseline retained. Exact PSA sales data were not sufficiently useful/available in the verification pass; no unrelated printing or variant was substituted.</x:v>
      </x:c>
      <x:c r="AD81" s="20" t="str">
        <x:v>https://www.pricecharting.com/game/pokemon-flashfire/magnezone-ex-101</x:v>
      </x:c>
      <x:c r="AE81" s="131"/>
      <x:c r="AF81" s="131"/>
      <x:c r="AG81" s="131"/>
      <x:c r="AH81" s="131"/>
      <x:c r="AI81" s="131"/>
      <x:c r="AJ81" s="61"/>
      <x:c r="AK81" s="61" t="n">
        <x:v>7.69</x:v>
      </x:c>
      <x:c r="AL81" s="61" t="n">
        <x:v>36</x:v>
      </x:c>
      <x:c r="AM81" s="61" t="n">
        <x:v>74.99</x:v>
      </x:c>
      <x:c r="AN81" s="61" t="n">
        <x:v>593.6</x:v>
      </x:c>
      <x:c r="AO81" s="61"/>
      <x:c r="AP81" s="61"/>
      <x:c r="AQ81" s="61"/>
      <x:c r="AR81" s="20" t="str">
        <x:v>PriceCharting baseline</x:v>
      </x:c>
      <x:c r="AS81" s="20" t="str">
        <x:v>PriceCharting grade value retained where an exact, sufficiently useful PSA sales cross-check was not found. No unrelated printing/variant was substituted.</x:v>
      </x:c>
      <x:c r="AT81" s="176"/>
      <x:c r="AU81" s="176"/>
      <x:c r="AV81" s="176"/>
      <x:c r="AW81" s="176"/>
      <x:c r="AX81" s="176"/>
      <x:c r="AY81" s="176"/>
      <x:c r="AZ81" s="20" t="str">
        <x:v>https://www.psacard.com/Pop</x:v>
      </x:c>
      <x:c r="BA81" s="20" t="str">
        <x:v>PSA-direct population for this exact printing/grade was not confidently resolved from PSA's accessible/indexed pages on 2026-08-17. Prior PriceCharting/Pikawiz population figures were removed rather than retained.</x:v>
      </x:c>
    </x:row>
    <x:row r="82" ht="26.399999618530273" hidden="0" customHeight="1">
      <x:c r="A82" s="89" t="str">
        <x:v>C — Conditional</x:v>
      </x:c>
      <x:c r="B82" s="86" t="n">
        <x:f>'All Physical Cards'!A345</x:f>
        <x:v>344</x:v>
      </x:c>
      <x:c r="C82" s="50" t="str">
        <x:f>'All Physical Cards'!C345</x:f>
        <x:v>Flareon</x:v>
      </x:c>
      <x:c r="D82" s="50" t="str">
        <x:f>'All Physical Cards'!D345</x:f>
        <x:v>44/95</x:v>
      </x:c>
      <x:c r="E82" s="50" t="str">
        <x:f>'All Physical Cards'!E345</x:f>
        <x:v>Call of Legends</x:v>
      </x:c>
      <x:c r="F82" s="50" t="n">
        <x:f>'All Physical Cards'!F345</x:f>
        <x:v>2011</x:v>
      </x:c>
      <x:c r="G82" s="50" t="str">
        <x:f>'All Physical Cards'!G345</x:f>
        <x:v>Reverse Holo</x:v>
      </x:c>
      <x:c r="H82" s="50" t="str">
        <x:f>'All Physical Cards'!H345</x:f>
        <x:v>1 of 1</x:v>
      </x:c>
      <x:c r="I82" s="91" t="n">
        <x:f>'All Physical Cards'!I345</x:f>
        <x:v>12</x:v>
      </x:c>
      <x:c r="J82" s="91" t="n">
        <x:f>'All Physical Cards'!J345</x:f>
        <x:v>18</x:v>
      </x:c>
      <x:c r="K82" s="91" t="n">
        <x:f>'All Physical Cards'!K345</x:f>
        <x:v>15</x:v>
      </x:c>
      <x:c r="L82" s="91" t="n">
        <x:f>'All Physical Cards'!S345</x:f>
        <x:v>15</x:v>
      </x:c>
      <x:c r="M82" s="50" t="str">
        <x:f>'All Physical Cards'!P345</x:f>
        <x:v>Clean/NM benchmark unless noted</x:v>
      </x:c>
      <x:c r="N82" s="50" t="str">
        <x:v>Moderate raw value; economics depend on a high grade; Older reverse holo; clean copies are condition-sensitive; Popular Pokémon demand</x:v>
      </x:c>
      <x:c r="O82" s="50" t="str">
        <x:v>Submit only with a realistic PSA 9/10 outlook.</x:v>
      </x:c>
      <x:c r="P82" s="50" t="str">
        <x:v>Wait for cheap grading; submit only if pre-grade is strong.</x:v>
      </x:c>
      <x:c r="Q82" s="50" t="str">
        <x:v>Not inspected</x:v>
      </x:c>
      <x:c r="R82" s="50" t="str">
        <x:v>Undecided</x:v>
      </x:c>
      <x:c r="S82" s="50" t="str">
        <x:f>'All Physical Cards'!W345</x:f>
        <x:v>https://www.pricecharting.com/game/pokemon-call-of-legends/flareon-reverse-holo-44</x:v>
      </x:c>
      <x:c r="T82" s="115"/>
      <x:c r="U82" s="115"/>
      <x:c r="V82" s="115"/>
      <x:c r="W82" s="115"/>
      <x:c r="X82" s="20"/>
      <x:c r="Y82" s="20"/>
      <x:c r="Z82" s="20"/>
      <x:c r="AA82" s="20"/>
      <x:c r="AB82" s="20"/>
      <x:c r="AC82" s="20" t="str">
        <x:v>PriceCharting baseline retained. Exact PSA sales data were not sufficiently useful/available in the verification pass; no unrelated printing or variant was substituted.</x:v>
      </x:c>
      <x:c r="AD82" s="20" t="str">
        <x:v>https://www.pricecharting.com/game/pokemon-call-of-legends/flareon-reverse-holo-44</x:v>
      </x:c>
      <x:c r="AE82" s="131"/>
      <x:c r="AF82" s="131"/>
      <x:c r="AG82" s="131"/>
      <x:c r="AH82" s="131"/>
      <x:c r="AI82" s="131"/>
      <x:c r="AJ82" s="61"/>
      <x:c r="AK82" s="61" t="n">
        <x:v>40</x:v>
      </x:c>
      <x:c r="AL82" s="61" t="n">
        <x:v>45</x:v>
      </x:c>
      <x:c r="AM82" s="61" t="n">
        <x:v>156.07</x:v>
      </x:c>
      <x:c r="AN82" s="61" t="n">
        <x:v>799.55</x:v>
      </x:c>
      <x:c r="AO82" s="61"/>
      <x:c r="AP82" s="61"/>
      <x:c r="AQ82" s="61"/>
      <x:c r="AR82" s="20" t="str">
        <x:v>PriceCharting baseline</x:v>
      </x:c>
      <x:c r="AS82" s="20" t="str">
        <x:v>PriceCharting grade value retained where an exact, sufficiently useful PSA sales cross-check was not found. No unrelated printing/variant was substituted.</x:v>
      </x:c>
      <x:c r="AT82" s="176"/>
      <x:c r="AU82" s="176"/>
      <x:c r="AV82" s="176"/>
      <x:c r="AW82" s="176"/>
      <x:c r="AX82" s="176"/>
      <x:c r="AY82" s="176"/>
      <x:c r="AZ82" s="20" t="str">
        <x:v>https://www.psacard.com/Pop</x:v>
      </x:c>
      <x:c r="BA82" s="20" t="str">
        <x:v>PSA-direct population for this exact printing/grade was not confidently resolved from PSA's accessible/indexed pages on 2026-08-17. Prior PriceCharting/Pikawiz population figures were removed rather than retained.</x:v>
      </x:c>
    </x:row>
    <x:row r="83" ht="26.399999618530273" hidden="0" customHeight="1">
      <x:c r="A83" s="89" t="str">
        <x:v>C — Conditional</x:v>
      </x:c>
      <x:c r="B83" s="86" t="n">
        <x:f>'All Physical Cards'!A425</x:f>
        <x:v>424</x:v>
      </x:c>
      <x:c r="C83" s="50" t="str">
        <x:f>'All Physical Cards'!C425</x:f>
        <x:v>Pupitar</x:v>
      </x:c>
      <x:c r="D83" s="50" t="str">
        <x:f>'All Physical Cards'!D425</x:f>
        <x:v>70/115</x:v>
      </x:c>
      <x:c r="E83" s="50" t="str">
        <x:f>'All Physical Cards'!E425</x:f>
        <x:v>EX Unseen Forces</x:v>
      </x:c>
      <x:c r="F83" s="50" t="n">
        <x:f>'All Physical Cards'!F425</x:f>
        <x:v>2005</x:v>
      </x:c>
      <x:c r="G83" s="50" t="str">
        <x:f>'All Physical Cards'!G425</x:f>
        <x:v>Stamped Reverse Holo</x:v>
      </x:c>
      <x:c r="H83" s="50" t="str">
        <x:f>'All Physical Cards'!H425</x:f>
        <x:v>1 of 1</x:v>
      </x:c>
      <x:c r="I83" s="91" t="n">
        <x:f>'All Physical Cards'!I425</x:f>
        <x:v>10</x:v>
      </x:c>
      <x:c r="J83" s="91" t="n">
        <x:f>'All Physical Cards'!J425</x:f>
        <x:v>15</x:v>
      </x:c>
      <x:c r="K83" s="91" t="n">
        <x:f>'All Physical Cards'!K425</x:f>
        <x:v>12.5</x:v>
      </x:c>
      <x:c r="L83" s="91" t="n">
        <x:f>'All Physical Cards'!S425</x:f>
        <x:v>12.5</x:v>
      </x:c>
      <x:c r="M83" s="50" t="str">
        <x:f>'All Physical Cards'!P425</x:f>
        <x:v>Clean/NM benchmark unless noted</x:v>
      </x:c>
      <x:c r="N83" s="50" t="str">
        <x:v>Mostly a PSA 10 / gem-mint grading play; EX-era stamped foil; high grades are condition-sensitive; Older card; high-grade supply is naturally thinner</x:v>
      </x:c>
      <x:c r="O83" s="50" t="str">
        <x:v>Submit only with a realistic PSA 9/10 outlook.</x:v>
      </x:c>
      <x:c r="P83" s="50" t="str">
        <x:v>Wait for cheap grading; submit only if pre-grade is strong.</x:v>
      </x:c>
      <x:c r="Q83" s="50" t="str">
        <x:v>Not inspected</x:v>
      </x:c>
      <x:c r="R83" s="50" t="str">
        <x:v>Undecided</x:v>
      </x:c>
      <x:c r="S83" s="50" t="str">
        <x:f>'All Physical Cards'!W425</x:f>
        <x:v>https://www.tcgplayer.com/categories/trading-and-collectible-card-games/pokemon/price-guides/ex-unseen-forces</x:v>
      </x:c>
      <x:c r="T83" s="115"/>
      <x:c r="U83" s="115"/>
      <x:c r="V83" s="115"/>
      <x:c r="W83" s="115"/>
      <x:c r="X83" s="20"/>
      <x:c r="Y83" s="20"/>
      <x:c r="Z83" s="20"/>
      <x:c r="AA83" s="20"/>
      <x:c r="AB83" s="20"/>
      <x:c r="AC83" s="20" t="str">
        <x:v>PriceCharting baseline retained. Exact PSA sales data were not sufficiently useful/available in the verification pass; no unrelated printing or variant was substituted.</x:v>
      </x:c>
      <x:c r="AD83" s="20" t="str">
        <x:v>https://www.pricecharting.com/game/pokemon-unseen-forces/pupitar-reverse-holo-70</x:v>
      </x:c>
      <x:c r="AE83" s="131"/>
      <x:c r="AF83" s="131"/>
      <x:c r="AG83" s="131"/>
      <x:c r="AH83" s="131"/>
      <x:c r="AI83" s="131"/>
      <x:c r="AJ83" s="61"/>
      <x:c r="AK83" s="61" t="n">
        <x:v>11</x:v>
      </x:c>
      <x:c r="AL83" s="61" t="n">
        <x:v>13.37</x:v>
      </x:c>
      <x:c r="AM83" s="61" t="n">
        <x:v>50</x:v>
      </x:c>
      <x:c r="AN83" s="61" t="n">
        <x:v>350</x:v>
      </x:c>
      <x:c r="AO83" s="61"/>
      <x:c r="AP83" s="61"/>
      <x:c r="AQ83" s="61"/>
      <x:c r="AR83" s="20" t="str">
        <x:v>PriceCharting baseline</x:v>
      </x:c>
      <x:c r="AS83" s="20" t="str">
        <x:v>PriceCharting grade value retained where an exact, sufficiently useful PSA sales cross-check was not found. No unrelated printing/variant was substituted.</x:v>
      </x:c>
      <x:c r="AT83" s="176"/>
      <x:c r="AU83" s="176"/>
      <x:c r="AV83" s="176"/>
      <x:c r="AW83" s="176"/>
      <x:c r="AX83" s="176"/>
      <x:c r="AY83" s="176"/>
      <x:c r="AZ83" s="20" t="str">
        <x:v>https://www.psacard.com/Pop</x:v>
      </x:c>
      <x:c r="BA83" s="20" t="str">
        <x:v>PSA-direct population for this exact printing/grade was not confidently resolved from PSA's accessible/indexed pages on 2026-08-17. Prior PriceCharting/Pikawiz population figures were removed rather than retained.</x:v>
      </x:c>
    </x:row>
    <x:row r="84" ht="26.399999618530273" hidden="0" customHeight="1">
      <x:c r="A84" s="90" t="str">
        <x:v>D — Gem-Mint Only</x:v>
      </x:c>
      <x:c r="B84" s="86" t="n">
        <x:f>'All Physical Cards'!A287</x:f>
        <x:v>286</x:v>
      </x:c>
      <x:c r="C84" s="50" t="str">
        <x:f>'All Physical Cards'!C287</x:f>
        <x:v>Umbreon</x:v>
      </x:c>
      <x:c r="D84" s="50" t="str">
        <x:f>'All Physical Cards'!D287</x:f>
        <x:v>60/108</x:v>
      </x:c>
      <x:c r="E84" s="50" t="str">
        <x:f>'All Physical Cards'!E287</x:f>
        <x:v>Dark Explorers</x:v>
      </x:c>
      <x:c r="F84" s="50" t="n">
        <x:f>'All Physical Cards'!F287</x:f>
        <x:v>2012</x:v>
      </x:c>
      <x:c r="G84" s="50" t="str">
        <x:f>'All Physical Cards'!G287</x:f>
        <x:v>Regular</x:v>
      </x:c>
      <x:c r="H84" s="50" t="str">
        <x:f>'All Physical Cards'!H287</x:f>
        <x:v>1 of 1</x:v>
      </x:c>
      <x:c r="I84" s="91" t="n">
        <x:f>'All Physical Cards'!I287</x:f>
        <x:v>20</x:v>
      </x:c>
      <x:c r="J84" s="91" t="n">
        <x:f>'All Physical Cards'!J287</x:f>
        <x:v>22</x:v>
      </x:c>
      <x:c r="K84" s="91" t="n">
        <x:f>'All Physical Cards'!K287</x:f>
        <x:v>21</x:v>
      </x:c>
      <x:c r="L84" s="91" t="n">
        <x:f>'All Physical Cards'!S287</x:f>
        <x:v>21</x:v>
      </x:c>
      <x:c r="M84" s="50" t="str">
        <x:f>'All Physical Cards'!P287</x:f>
        <x:v>Clean/NM benchmark unless noted</x:v>
      </x:c>
      <x:c r="N84" s="50" t="str">
        <x:v>Moderate raw value; economics depend on a high grade; Popular Pokémon demand</x:v>
      </x:c>
      <x:c r="O84" s="50" t="str">
        <x:v>Grade only if it looks essentially gem mint / PSA 10-caliber.</x:v>
      </x:c>
      <x:c r="P84" s="50" t="str">
        <x:v>Do not pay premium grading fees; keep only as a PSA 10 candidate.</x:v>
      </x:c>
      <x:c r="Q84" s="50" t="str">
        <x:v>Not inspected</x:v>
      </x:c>
      <x:c r="R84" s="50" t="str">
        <x:v>Undecided</x:v>
      </x:c>
      <x:c r="S84" s="50" t="str">
        <x:f>'All Physical Cards'!W287</x:f>
        <x:v>https://www.tcgplayer.com/search/pokemon/product?productLineName=pokemon&amp;q=Umbreon+Dark+Explorers+%2360</x:v>
      </x:c>
      <x:c r="T84" s="115"/>
      <x:c r="U84" s="115"/>
      <x:c r="V84" s="115"/>
      <x:c r="W84" s="115"/>
      <x:c r="X84" s="20"/>
      <x:c r="Y84" s="20"/>
      <x:c r="Z84" s="20"/>
      <x:c r="AA84" s="20"/>
      <x:c r="AB84" s="20"/>
      <x:c r="AC84" s="20" t="str">
        <x:v>PriceCharting baseline retained. Exact PSA sales data were not sufficiently useful/available in the verification pass; no unrelated printing or variant was substituted.</x:v>
      </x:c>
      <x:c r="AD84" s="20" t="str">
        <x:v>https://www.pricecharting.com/game/pokemon-dark-explorers/umbreon-60</x:v>
      </x:c>
      <x:c r="AE84" s="131"/>
      <x:c r="AF84" s="131"/>
      <x:c r="AG84" s="131"/>
      <x:c r="AH84" s="131"/>
      <x:c r="AI84" s="131"/>
      <x:c r="AJ84" s="61"/>
      <x:c r="AK84" s="61" t="n">
        <x:v>32</x:v>
      </x:c>
      <x:c r="AL84" s="61" t="n">
        <x:v>40</x:v>
      </x:c>
      <x:c r="AM84" s="61" t="n">
        <x:v>447.5</x:v>
      </x:c>
      <x:c r="AN84" s="61" t="n">
        <x:v>4650</x:v>
      </x:c>
      <x:c r="AO84" s="61"/>
      <x:c r="AP84" s="61"/>
      <x:c r="AQ84" s="61"/>
      <x:c r="AR84" s="20" t="str">
        <x:v>PriceCharting baseline</x:v>
      </x:c>
      <x:c r="AS84" s="20" t="str">
        <x:v>PriceCharting grade value retained where an exact, sufficiently useful PSA sales cross-check was not found. No unrelated printing/variant was substituted.</x:v>
      </x:c>
      <x:c r="AT84" s="176"/>
      <x:c r="AU84" s="176"/>
      <x:c r="AV84" s="176"/>
      <x:c r="AW84" s="176"/>
      <x:c r="AX84" s="176"/>
      <x:c r="AY84" s="176"/>
      <x:c r="AZ84" s="20" t="str">
        <x:v>https://www.psacard.com/Pop</x:v>
      </x:c>
      <x:c r="BA84" s="20" t="str">
        <x:v>PSA-direct population for this exact printing/grade was not confidently resolved from PSA's accessible/indexed pages on 2026-08-17. Prior PriceCharting/Pikawiz population figures were removed rather than retained.</x:v>
      </x:c>
    </x:row>
    <x:row r="85" ht="26.399999618530273" hidden="0" customHeight="1">
      <x:c r="A85" s="90" t="str">
        <x:v>D — Gem-Mint Only</x:v>
      </x:c>
      <x:c r="B85" s="86" t="n">
        <x:f>'All Physical Cards'!A199</x:f>
        <x:v>198</x:v>
      </x:c>
      <x:c r="C85" s="50" t="str">
        <x:f>'All Physical Cards'!C199</x:f>
        <x:v>Gabite</x:v>
      </x:c>
      <x:c r="D85" s="50" t="str">
        <x:f>'All Physical Cards'!D199</x:f>
        <x:v>89/124</x:v>
      </x:c>
      <x:c r="E85" s="50" t="str">
        <x:f>'All Physical Cards'!E199</x:f>
        <x:v>Dragons Exalted</x:v>
      </x:c>
      <x:c r="F85" s="50" t="n">
        <x:f>'All Physical Cards'!F199</x:f>
        <x:v>2012</x:v>
      </x:c>
      <x:c r="G85" s="50" t="str">
        <x:f>'All Physical Cards'!G199</x:f>
        <x:v>Reverse Holo</x:v>
      </x:c>
      <x:c r="H85" s="50" t="str">
        <x:f>'All Physical Cards'!H199</x:f>
        <x:v>1 of 1</x:v>
      </x:c>
      <x:c r="I85" s="91" t="n">
        <x:f>'All Physical Cards'!I199</x:f>
        <x:v>19.5</x:v>
      </x:c>
      <x:c r="J85" s="91" t="n">
        <x:f>'All Physical Cards'!J199</x:f>
        <x:v>20</x:v>
      </x:c>
      <x:c r="K85" s="91" t="n">
        <x:f>'All Physical Cards'!K199</x:f>
        <x:v>19.75</x:v>
      </x:c>
      <x:c r="L85" s="91" t="n">
        <x:f>'All Physical Cards'!S199</x:f>
        <x:v>19.75</x:v>
      </x:c>
      <x:c r="M85" s="50" t="str">
        <x:f>'All Physical Cards'!P199</x:f>
        <x:v>Clean/NM benchmark unless noted</x:v>
      </x:c>
      <x:c r="N85" s="50" t="str">
        <x:v>Moderate raw value; economics depend on a high grade; Older reverse holo; clean copies are condition-sensitive</x:v>
      </x:c>
      <x:c r="O85" s="50" t="str">
        <x:v>Grade only if it looks essentially gem mint / PSA 10-caliber.</x:v>
      </x:c>
      <x:c r="P85" s="50" t="str">
        <x:v>Do not pay premium grading fees; keep only as a PSA 10 candidate.</x:v>
      </x:c>
      <x:c r="Q85" s="50" t="str">
        <x:v>Not inspected</x:v>
      </x:c>
      <x:c r="R85" s="50" t="str">
        <x:v>Undecided</x:v>
      </x:c>
      <x:c r="S85" s="50" t="n">
        <x:f>'All Physical Cards'!W199</x:f>
        <x:v>0</x:v>
      </x:c>
      <x:c r="T85" s="115"/>
      <x:c r="U85" s="115"/>
      <x:c r="V85" s="115"/>
      <x:c r="W85" s="115"/>
      <x:c r="X85" s="20"/>
      <x:c r="Y85" s="20"/>
      <x:c r="Z85" s="20"/>
      <x:c r="AA85" s="20"/>
      <x:c r="AB85" s="20"/>
      <x:c r="AC85" s="20" t="str">
        <x:v>PriceCharting baseline retained. Exact PSA sales data were not sufficiently useful/available in the verification pass; no unrelated printing or variant was substituted.</x:v>
      </x:c>
      <x:c r="AD85" s="20" t="str">
        <x:v>https://www.pricecharting.com/game/pokemon-dragons-exalted/gabite-reverse-holo-89</x:v>
      </x:c>
      <x:c r="AE85" s="131"/>
      <x:c r="AF85" s="131"/>
      <x:c r="AG85" s="131"/>
      <x:c r="AH85" s="131"/>
      <x:c r="AI85" s="131"/>
      <x:c r="AJ85" s="61"/>
      <x:c r="AK85" s="61"/>
      <x:c r="AL85" s="61"/>
      <x:c r="AM85" s="61" t="n">
        <x:v>60</x:v>
      </x:c>
      <x:c r="AN85" s="61" t="n">
        <x:v>191.86</x:v>
      </x:c>
      <x:c r="AO85" s="61"/>
      <x:c r="AP85" s="61"/>
      <x:c r="AQ85" s="61"/>
      <x:c r="AR85" s="20" t="str">
        <x:v>PriceCharting baseline</x:v>
      </x:c>
      <x:c r="AS85" s="20" t="str">
        <x:v>PriceCharting grade value retained where an exact, sufficiently useful PSA sales cross-check was not found. No unrelated printing/variant was substituted.</x:v>
      </x:c>
      <x:c r="AT85" s="176"/>
      <x:c r="AU85" s="176"/>
      <x:c r="AV85" s="176"/>
      <x:c r="AW85" s="176"/>
      <x:c r="AX85" s="176"/>
      <x:c r="AY85" s="176"/>
      <x:c r="AZ85" s="20" t="str">
        <x:v>https://www.psacard.com/Pop</x:v>
      </x:c>
      <x:c r="BA85" s="20" t="str">
        <x:v>PSA-direct population for this exact printing/grade was not confidently resolved from PSA's accessible/indexed pages on 2026-08-17. Prior PriceCharting/Pikawiz population figures were removed rather than retained.</x:v>
      </x:c>
    </x:row>
    <x:row r="86" ht="26.399999618530273" hidden="0" customHeight="1">
      <x:c r="A86" s="90" t="str">
        <x:v>D — Gem-Mint Only</x:v>
      </x:c>
      <x:c r="B86" s="86" t="n">
        <x:f>'All Physical Cards'!A522</x:f>
        <x:v>521</x:v>
      </x:c>
      <x:c r="C86" s="50" t="str">
        <x:f>'All Physical Cards'!C522</x:f>
        <x:v>Pikachu</x:v>
      </x:c>
      <x:c r="D86" s="50" t="str">
        <x:f>'All Physical Cards'!D522</x:f>
        <x:v>94/123</x:v>
      </x:c>
      <x:c r="E86" s="50" t="str">
        <x:f>'All Physical Cards'!E522</x:f>
        <x:v>Mysterious Treasures</x:v>
      </x:c>
      <x:c r="F86" s="50" t="n">
        <x:f>'All Physical Cards'!F522</x:f>
        <x:v>2007</x:v>
      </x:c>
      <x:c r="G86" s="50" t="str">
        <x:f>'All Physical Cards'!G522</x:f>
        <x:v>Regular Common (LV.15)</x:v>
      </x:c>
      <x:c r="H86" s="50" t="str">
        <x:f>'All Physical Cards'!H522</x:f>
        <x:v>1 of 1</x:v>
      </x:c>
      <x:c r="I86" s="91" t="n">
        <x:f>'All Physical Cards'!I522</x:f>
        <x:v>13</x:v>
      </x:c>
      <x:c r="J86" s="91" t="n">
        <x:f>'All Physical Cards'!J522</x:f>
        <x:v>22</x:v>
      </x:c>
      <x:c r="K86" s="91" t="n">
        <x:f>'All Physical Cards'!K522</x:f>
        <x:v>17.5</x:v>
      </x:c>
      <x:c r="L86" s="91" t="n">
        <x:f>'All Physical Cards'!S522</x:f>
        <x:v>9</x:v>
      </x:c>
      <x:c r="M86" s="50" t="str">
        <x:f>'All Physical Cards'!P522</x:f>
        <x:v>Played / likely MP; notable back wear</x:v>
      </x:c>
      <x:c r="N86" s="50" t="str">
        <x:v>Moderate raw value; economics depend on a high grade; Popular Pokémon demand; Older card; high-grade supply is naturally thinner</x:v>
      </x:c>
      <x:c r="O86" s="50" t="str">
        <x:v>Known wear already reported — inspect first; likely hold raw unless the actual card presents much better than the note.</x:v>
      </x:c>
      <x:c r="P86" s="50" t="str">
        <x:v>Do not pay premium grading fees; keep only as a PSA 10 candidate.</x:v>
      </x:c>
      <x:c r="Q86" s="50" t="str">
        <x:v>Not inspected</x:v>
      </x:c>
      <x:c r="R86" s="50" t="str">
        <x:v>Undecided</x:v>
      </x:c>
      <x:c r="S86" s="50" t="str">
        <x:f>'All Physical Cards'!W522</x:f>
        <x:v>https://www.pricecharting.com/game/pokemon-mysterious-treasures/pikachu-94</x:v>
      </x:c>
      <x:c r="T86" s="115"/>
      <x:c r="U86" s="115"/>
      <x:c r="V86" s="115"/>
      <x:c r="W86" s="115"/>
      <x:c r="X86" s="20"/>
      <x:c r="Y86" s="20"/>
      <x:c r="Z86" s="20"/>
      <x:c r="AA86" s="20"/>
      <x:c r="AB86" s="20"/>
      <x:c r="AC86" s="20" t="str">
        <x:v>PriceCharting baseline retained. Exact PSA sales data were not sufficiently useful/available in the verification pass; no unrelated printing or variant was substituted.</x:v>
      </x:c>
      <x:c r="AD86" s="20" t="str">
        <x:v>https://www.pricecharting.com/game/pokemon-mysterious-treasures/pikachu-94</x:v>
      </x:c>
      <x:c r="AE86" s="131"/>
      <x:c r="AF86" s="131"/>
      <x:c r="AG86" s="131"/>
      <x:c r="AH86" s="131"/>
      <x:c r="AI86" s="131"/>
      <x:c r="AJ86" s="61"/>
      <x:c r="AK86" s="61" t="n">
        <x:v>27</x:v>
      </x:c>
      <x:c r="AL86" s="61" t="n">
        <x:v>33.85</x:v>
      </x:c>
      <x:c r="AM86" s="61" t="n">
        <x:v>43.95</x:v>
      </x:c>
      <x:c r="AN86" s="61" t="n">
        <x:v>541.77</x:v>
      </x:c>
      <x:c r="AO86" s="61"/>
      <x:c r="AP86" s="61"/>
      <x:c r="AQ86" s="61"/>
      <x:c r="AR86" s="20" t="str">
        <x:v>PriceCharting baseline</x:v>
      </x:c>
      <x:c r="AS86" s="20" t="str">
        <x:v>PriceCharting grade value retained where an exact, sufficiently useful PSA sales cross-check was not found. No unrelated printing/variant was substituted.</x:v>
      </x:c>
      <x:c r="AT86" s="176"/>
      <x:c r="AU86" s="176"/>
      <x:c r="AV86" s="176"/>
      <x:c r="AW86" s="176"/>
      <x:c r="AX86" s="176"/>
      <x:c r="AY86" s="176"/>
      <x:c r="AZ86" s="20" t="str">
        <x:v>https://www.psacard.com/Pop</x:v>
      </x:c>
      <x:c r="BA86" s="20" t="str">
        <x:v>PSA-direct population for this exact printing/grade was not confidently resolved from PSA's accessible/indexed pages on 2026-08-17. Prior PriceCharting/Pikawiz population figures were removed rather than retained.</x:v>
      </x:c>
    </x:row>
    <x:row r="87" ht="26.399999618530273" hidden="0" customHeight="1">
      <x:c r="A87" s="90" t="str">
        <x:v>D — Gem-Mint Only</x:v>
      </x:c>
      <x:c r="B87" s="86" t="n">
        <x:f>'All Physical Cards'!A280</x:f>
        <x:v>279</x:v>
      </x:c>
      <x:c r="C87" s="50" t="str">
        <x:f>'All Physical Cards'!C280</x:f>
        <x:v>Umbreon</x:v>
      </x:c>
      <x:c r="D87" s="50" t="str">
        <x:f>'All Physical Cards'!D280</x:f>
        <x:v>61/108</x:v>
      </x:c>
      <x:c r="E87" s="50" t="str">
        <x:f>'All Physical Cards'!E280</x:f>
        <x:v>Dark Explorers</x:v>
      </x:c>
      <x:c r="F87" s="50" t="n">
        <x:f>'All Physical Cards'!F280</x:f>
        <x:v>2012</x:v>
      </x:c>
      <x:c r="G87" s="50" t="str">
        <x:f>'All Physical Cards'!G280</x:f>
        <x:v>Regular</x:v>
      </x:c>
      <x:c r="H87" s="50" t="str">
        <x:f>'All Physical Cards'!H280</x:f>
        <x:v>1 of 7</x:v>
      </x:c>
      <x:c r="I87" s="91" t="n">
        <x:f>'All Physical Cards'!I280</x:f>
        <x:v>16.95</x:v>
      </x:c>
      <x:c r="J87" s="91" t="n">
        <x:f>'All Physical Cards'!J280</x:f>
        <x:v>17.1</x:v>
      </x:c>
      <x:c r="K87" s="91" t="n">
        <x:f>'All Physical Cards'!K280</x:f>
        <x:v>17.025</x:v>
      </x:c>
      <x:c r="L87" s="91" t="n">
        <x:f>'All Physical Cards'!S280</x:f>
        <x:v>17.025</x:v>
      </x:c>
      <x:c r="M87" s="50" t="str">
        <x:f>'All Physical Cards'!P280</x:f>
        <x:v>Clean/NM benchmark unless noted</x:v>
      </x:c>
      <x:c r="N87" s="50" t="str">
        <x:v>Moderate raw value; economics depend on a high grade; Popular Pokémon demand</x:v>
      </x:c>
      <x:c r="O87" s="50" t="str">
        <x:v>Grade only if it looks essentially gem mint / PSA 10-caliber.</x:v>
      </x:c>
      <x:c r="P87" s="50" t="str">
        <x:v>Do not pay premium grading fees; keep only as a PSA 10 candidate.</x:v>
      </x:c>
      <x:c r="Q87" s="50" t="str">
        <x:v>Not inspected</x:v>
      </x:c>
      <x:c r="R87" s="50" t="str">
        <x:v>Undecided</x:v>
      </x:c>
      <x:c r="S87" s="50" t="str">
        <x:f>'All Physical Cards'!W280</x:f>
        <x:v>https://www.tcgplayer.com/search/pokemon/product?page=1&amp;productLineName=pokemon&amp;q=Umbreon+Dark+Explorers+%2361&amp;view=grid</x:v>
      </x:c>
      <x:c r="T87" s="115"/>
      <x:c r="U87" s="115"/>
      <x:c r="V87" s="115"/>
      <x:c r="W87" s="115"/>
      <x:c r="X87" s="20"/>
      <x:c r="Y87" s="20"/>
      <x:c r="Z87" s="20"/>
      <x:c r="AA87" s="20"/>
      <x:c r="AB87" s="20"/>
      <x:c r="AC87" s="20" t="str">
        <x:v>PriceCharting baseline retained. Exact PSA sales data were not sufficiently useful/available in the verification pass; no unrelated printing or variant was substituted.</x:v>
      </x:c>
      <x:c r="AD87" s="20" t="str">
        <x:v>https://www.pricecharting.com/game/pokemon-dark-explorers/umbreon-61</x:v>
      </x:c>
      <x:c r="AE87" s="131"/>
      <x:c r="AF87" s="131"/>
      <x:c r="AG87" s="131"/>
      <x:c r="AH87" s="131"/>
      <x:c r="AI87" s="131"/>
      <x:c r="AJ87" s="61"/>
      <x:c r="AK87" s="61" t="n">
        <x:v>21</x:v>
      </x:c>
      <x:c r="AL87" s="61" t="n">
        <x:v>26.5</x:v>
      </x:c>
      <x:c r="AM87" s="61" t="n">
        <x:v>74.03</x:v>
      </x:c>
      <x:c r="AN87" s="61" t="n">
        <x:v>179.57</x:v>
      </x:c>
      <x:c r="AO87" s="61"/>
      <x:c r="AP87" s="61"/>
      <x:c r="AQ87" s="61"/>
      <x:c r="AR87" s="20" t="str">
        <x:v>PriceCharting baseline</x:v>
      </x:c>
      <x:c r="AS87" s="20" t="str">
        <x:v>PriceCharting grade value retained where an exact, sufficiently useful PSA sales cross-check was not found. No unrelated printing/variant was substituted.</x:v>
      </x:c>
      <x:c r="AT87" s="176"/>
      <x:c r="AU87" s="176"/>
      <x:c r="AV87" s="176"/>
      <x:c r="AW87" s="176"/>
      <x:c r="AX87" s="176"/>
      <x:c r="AY87" s="176"/>
      <x:c r="AZ87" s="20" t="str">
        <x:v>https://www.psacard.com/Pop</x:v>
      </x:c>
      <x:c r="BA87" s="20" t="str">
        <x:v>PSA-direct population for this exact printing/grade was not confidently resolved from PSA's accessible/indexed pages on 2026-08-17. Prior PriceCharting/Pikawiz population figures were removed rather than retained.</x:v>
      </x:c>
    </x:row>
    <x:row r="88" ht="26.399999618530273" hidden="0" customHeight="1">
      <x:c r="A88" s="90" t="str">
        <x:v>D — Gem-Mint Only</x:v>
      </x:c>
      <x:c r="B88" s="86" t="n">
        <x:f>'All Physical Cards'!A281</x:f>
        <x:v>280</x:v>
      </x:c>
      <x:c r="C88" s="50" t="str">
        <x:f>'All Physical Cards'!C281</x:f>
        <x:v>Umbreon</x:v>
      </x:c>
      <x:c r="D88" s="50" t="str">
        <x:f>'All Physical Cards'!D281</x:f>
        <x:v>61/108</x:v>
      </x:c>
      <x:c r="E88" s="50" t="str">
        <x:f>'All Physical Cards'!E281</x:f>
        <x:v>Dark Explorers</x:v>
      </x:c>
      <x:c r="F88" s="50" t="n">
        <x:f>'All Physical Cards'!F281</x:f>
        <x:v>2012</x:v>
      </x:c>
      <x:c r="G88" s="50" t="str">
        <x:f>'All Physical Cards'!G281</x:f>
        <x:v>Regular</x:v>
      </x:c>
      <x:c r="H88" s="50" t="str">
        <x:f>'All Physical Cards'!H281</x:f>
        <x:v>2 of 7</x:v>
      </x:c>
      <x:c r="I88" s="91" t="n">
        <x:f>'All Physical Cards'!I281</x:f>
        <x:v>16.95</x:v>
      </x:c>
      <x:c r="J88" s="91" t="n">
        <x:f>'All Physical Cards'!J281</x:f>
        <x:v>17.1</x:v>
      </x:c>
      <x:c r="K88" s="91" t="n">
        <x:f>'All Physical Cards'!K281</x:f>
        <x:v>17.025</x:v>
      </x:c>
      <x:c r="L88" s="91" t="n">
        <x:f>'All Physical Cards'!S281</x:f>
        <x:v>17.025</x:v>
      </x:c>
      <x:c r="M88" s="50" t="str">
        <x:f>'All Physical Cards'!P281</x:f>
        <x:v>Clean/NM benchmark unless noted</x:v>
      </x:c>
      <x:c r="N88" s="50" t="str">
        <x:v>Moderate raw value; economics depend on a high grade; Popular Pokémon demand</x:v>
      </x:c>
      <x:c r="O88" s="50" t="str">
        <x:v>Grade only if it looks essentially gem mint / PSA 10-caliber.</x:v>
      </x:c>
      <x:c r="P88" s="50" t="str">
        <x:v>Do not pay premium grading fees; keep only as a PSA 10 candidate.</x:v>
      </x:c>
      <x:c r="Q88" s="50" t="str">
        <x:v>Not inspected</x:v>
      </x:c>
      <x:c r="R88" s="50" t="str">
        <x:v>Undecided</x:v>
      </x:c>
      <x:c r="S88" s="50" t="str">
        <x:f>'All Physical Cards'!W281</x:f>
        <x:v>https://www.tcgplayer.com/search/pokemon/product?page=1&amp;productLineName=pokemon&amp;q=Umbreon+Dark+Explorers+%2361&amp;view=grid</x:v>
      </x:c>
      <x:c r="T88" s="115"/>
      <x:c r="U88" s="115"/>
      <x:c r="V88" s="115"/>
      <x:c r="W88" s="115"/>
      <x:c r="X88" s="20"/>
      <x:c r="Y88" s="20"/>
      <x:c r="Z88" s="20"/>
      <x:c r="AA88" s="20"/>
      <x:c r="AB88" s="20"/>
      <x:c r="AC88" s="20" t="str">
        <x:v>PriceCharting baseline retained. Exact PSA sales data were not sufficiently useful/available in the verification pass; no unrelated printing or variant was substituted.</x:v>
      </x:c>
      <x:c r="AD88" s="20" t="str">
        <x:v>https://www.pricecharting.com/game/pokemon-dark-explorers/umbreon-61</x:v>
      </x:c>
      <x:c r="AE88" s="131"/>
      <x:c r="AF88" s="131"/>
      <x:c r="AG88" s="131"/>
      <x:c r="AH88" s="131"/>
      <x:c r="AI88" s="131"/>
      <x:c r="AJ88" s="61"/>
      <x:c r="AK88" s="61" t="n">
        <x:v>21</x:v>
      </x:c>
      <x:c r="AL88" s="61" t="n">
        <x:v>26.5</x:v>
      </x:c>
      <x:c r="AM88" s="61" t="n">
        <x:v>74.03</x:v>
      </x:c>
      <x:c r="AN88" s="61" t="n">
        <x:v>179.57</x:v>
      </x:c>
      <x:c r="AO88" s="61"/>
      <x:c r="AP88" s="61"/>
      <x:c r="AQ88" s="61"/>
      <x:c r="AR88" s="20" t="str">
        <x:v>PriceCharting baseline</x:v>
      </x:c>
      <x:c r="AS88" s="20" t="str">
        <x:v>PriceCharting grade value retained where an exact, sufficiently useful PSA sales cross-check was not found. No unrelated printing/variant was substituted.</x:v>
      </x:c>
      <x:c r="AT88" s="176"/>
      <x:c r="AU88" s="176"/>
      <x:c r="AV88" s="176"/>
      <x:c r="AW88" s="176"/>
      <x:c r="AX88" s="176"/>
      <x:c r="AY88" s="176"/>
      <x:c r="AZ88" s="20" t="str">
        <x:v>https://www.psacard.com/Pop</x:v>
      </x:c>
      <x:c r="BA88" s="20" t="str">
        <x:v>PSA-direct population for this exact printing/grade was not confidently resolved from PSA's accessible/indexed pages on 2026-08-17. Prior PriceCharting/Pikawiz population figures were removed rather than retained.</x:v>
      </x:c>
    </x:row>
    <x:row r="89" ht="26.399999618530273" hidden="0" customHeight="1">
      <x:c r="A89" s="90" t="str">
        <x:v>D — Gem-Mint Only</x:v>
      </x:c>
      <x:c r="B89" s="86" t="n">
        <x:f>'All Physical Cards'!A282</x:f>
        <x:v>281</x:v>
      </x:c>
      <x:c r="C89" s="50" t="str">
        <x:f>'All Physical Cards'!C282</x:f>
        <x:v>Umbreon</x:v>
      </x:c>
      <x:c r="D89" s="50" t="str">
        <x:f>'All Physical Cards'!D282</x:f>
        <x:v>61/108</x:v>
      </x:c>
      <x:c r="E89" s="50" t="str">
        <x:f>'All Physical Cards'!E282</x:f>
        <x:v>Dark Explorers</x:v>
      </x:c>
      <x:c r="F89" s="50" t="n">
        <x:f>'All Physical Cards'!F282</x:f>
        <x:v>2012</x:v>
      </x:c>
      <x:c r="G89" s="50" t="str">
        <x:f>'All Physical Cards'!G282</x:f>
        <x:v>Regular</x:v>
      </x:c>
      <x:c r="H89" s="50" t="str">
        <x:f>'All Physical Cards'!H282</x:f>
        <x:v>3 of 7</x:v>
      </x:c>
      <x:c r="I89" s="91" t="n">
        <x:f>'All Physical Cards'!I282</x:f>
        <x:v>16.95</x:v>
      </x:c>
      <x:c r="J89" s="91" t="n">
        <x:f>'All Physical Cards'!J282</x:f>
        <x:v>17.1</x:v>
      </x:c>
      <x:c r="K89" s="91" t="n">
        <x:f>'All Physical Cards'!K282</x:f>
        <x:v>17.025</x:v>
      </x:c>
      <x:c r="L89" s="91" t="n">
        <x:f>'All Physical Cards'!S282</x:f>
        <x:v>17.025</x:v>
      </x:c>
      <x:c r="M89" s="50" t="str">
        <x:f>'All Physical Cards'!P282</x:f>
        <x:v>Clean/NM benchmark unless noted</x:v>
      </x:c>
      <x:c r="N89" s="50" t="str">
        <x:v>Moderate raw value; economics depend on a high grade; Popular Pokémon demand</x:v>
      </x:c>
      <x:c r="O89" s="50" t="str">
        <x:v>Grade only if it looks essentially gem mint / PSA 10-caliber.</x:v>
      </x:c>
      <x:c r="P89" s="50" t="str">
        <x:v>Do not pay premium grading fees; keep only as a PSA 10 candidate.</x:v>
      </x:c>
      <x:c r="Q89" s="50" t="str">
        <x:v>Not inspected</x:v>
      </x:c>
      <x:c r="R89" s="50" t="str">
        <x:v>Undecided</x:v>
      </x:c>
      <x:c r="S89" s="50" t="str">
        <x:f>'All Physical Cards'!W282</x:f>
        <x:v>https://www.tcgplayer.com/search/pokemon/product?page=1&amp;productLineName=pokemon&amp;q=Umbreon+Dark+Explorers+%2361&amp;view=grid</x:v>
      </x:c>
      <x:c r="T89" s="115"/>
      <x:c r="U89" s="115"/>
      <x:c r="V89" s="115"/>
      <x:c r="W89" s="115"/>
      <x:c r="X89" s="20"/>
      <x:c r="Y89" s="20"/>
      <x:c r="Z89" s="20"/>
      <x:c r="AA89" s="20"/>
      <x:c r="AB89" s="20"/>
      <x:c r="AC89" s="20" t="str">
        <x:v>PriceCharting baseline retained. Exact PSA sales data were not sufficiently useful/available in the verification pass; no unrelated printing or variant was substituted.</x:v>
      </x:c>
      <x:c r="AD89" s="20" t="str">
        <x:v>https://www.pricecharting.com/game/pokemon-dark-explorers/umbreon-61</x:v>
      </x:c>
      <x:c r="AE89" s="131"/>
      <x:c r="AF89" s="131"/>
      <x:c r="AG89" s="131"/>
      <x:c r="AH89" s="131"/>
      <x:c r="AI89" s="131"/>
      <x:c r="AJ89" s="61"/>
      <x:c r="AK89" s="61" t="n">
        <x:v>21</x:v>
      </x:c>
      <x:c r="AL89" s="61" t="n">
        <x:v>26.5</x:v>
      </x:c>
      <x:c r="AM89" s="61" t="n">
        <x:v>74.03</x:v>
      </x:c>
      <x:c r="AN89" s="61" t="n">
        <x:v>179.57</x:v>
      </x:c>
      <x:c r="AO89" s="61"/>
      <x:c r="AP89" s="61"/>
      <x:c r="AQ89" s="61"/>
      <x:c r="AR89" s="20" t="str">
        <x:v>PriceCharting baseline</x:v>
      </x:c>
      <x:c r="AS89" s="20" t="str">
        <x:v>PriceCharting grade value retained where an exact, sufficiently useful PSA sales cross-check was not found. No unrelated printing/variant was substituted.</x:v>
      </x:c>
      <x:c r="AT89" s="176"/>
      <x:c r="AU89" s="176"/>
      <x:c r="AV89" s="176"/>
      <x:c r="AW89" s="176"/>
      <x:c r="AX89" s="176"/>
      <x:c r="AY89" s="176"/>
      <x:c r="AZ89" s="20" t="str">
        <x:v>https://www.psacard.com/Pop</x:v>
      </x:c>
      <x:c r="BA89" s="20" t="str">
        <x:v>PSA-direct population for this exact printing/grade was not confidently resolved from PSA's accessible/indexed pages on 2026-08-17. Prior PriceCharting/Pikawiz population figures were removed rather than retained.</x:v>
      </x:c>
    </x:row>
    <x:row r="90" ht="26.399999618530273" hidden="0" customHeight="1">
      <x:c r="A90" s="90" t="str">
        <x:v>D — Gem-Mint Only</x:v>
      </x:c>
      <x:c r="B90" s="86" t="n">
        <x:f>'All Physical Cards'!A283</x:f>
        <x:v>282</x:v>
      </x:c>
      <x:c r="C90" s="50" t="str">
        <x:f>'All Physical Cards'!C283</x:f>
        <x:v>Umbreon</x:v>
      </x:c>
      <x:c r="D90" s="50" t="str">
        <x:f>'All Physical Cards'!D283</x:f>
        <x:v>61/108</x:v>
      </x:c>
      <x:c r="E90" s="50" t="str">
        <x:f>'All Physical Cards'!E283</x:f>
        <x:v>Dark Explorers</x:v>
      </x:c>
      <x:c r="F90" s="50" t="n">
        <x:f>'All Physical Cards'!F283</x:f>
        <x:v>2012</x:v>
      </x:c>
      <x:c r="G90" s="50" t="str">
        <x:f>'All Physical Cards'!G283</x:f>
        <x:v>Regular</x:v>
      </x:c>
      <x:c r="H90" s="50" t="str">
        <x:f>'All Physical Cards'!H283</x:f>
        <x:v>4 of 7</x:v>
      </x:c>
      <x:c r="I90" s="91" t="n">
        <x:f>'All Physical Cards'!I283</x:f>
        <x:v>16.95</x:v>
      </x:c>
      <x:c r="J90" s="91" t="n">
        <x:f>'All Physical Cards'!J283</x:f>
        <x:v>17.1</x:v>
      </x:c>
      <x:c r="K90" s="91" t="n">
        <x:f>'All Physical Cards'!K283</x:f>
        <x:v>17.025</x:v>
      </x:c>
      <x:c r="L90" s="91" t="n">
        <x:f>'All Physical Cards'!S283</x:f>
        <x:v>17.025</x:v>
      </x:c>
      <x:c r="M90" s="50" t="str">
        <x:f>'All Physical Cards'!P283</x:f>
        <x:v>Clean/NM benchmark unless noted</x:v>
      </x:c>
      <x:c r="N90" s="50" t="str">
        <x:v>Moderate raw value; economics depend on a high grade; Popular Pokémon demand</x:v>
      </x:c>
      <x:c r="O90" s="50" t="str">
        <x:v>Grade only if it looks essentially gem mint / PSA 10-caliber.</x:v>
      </x:c>
      <x:c r="P90" s="50" t="str">
        <x:v>Do not pay premium grading fees; keep only as a PSA 10 candidate.</x:v>
      </x:c>
      <x:c r="Q90" s="50" t="str">
        <x:v>Not inspected</x:v>
      </x:c>
      <x:c r="R90" s="50" t="str">
        <x:v>Undecided</x:v>
      </x:c>
      <x:c r="S90" s="50" t="str">
        <x:f>'All Physical Cards'!W283</x:f>
        <x:v>https://www.tcgplayer.com/search/pokemon/product?page=1&amp;productLineName=pokemon&amp;q=Umbreon+Dark+Explorers+%2361&amp;view=grid</x:v>
      </x:c>
      <x:c r="T90" s="115"/>
      <x:c r="U90" s="115"/>
      <x:c r="V90" s="115"/>
      <x:c r="W90" s="115"/>
      <x:c r="X90" s="20"/>
      <x:c r="Y90" s="20"/>
      <x:c r="Z90" s="20"/>
      <x:c r="AA90" s="20"/>
      <x:c r="AB90" s="20"/>
      <x:c r="AC90" s="20" t="str">
        <x:v>PriceCharting baseline retained. Exact PSA sales data were not sufficiently useful/available in the verification pass; no unrelated printing or variant was substituted.</x:v>
      </x:c>
      <x:c r="AD90" s="20" t="str">
        <x:v>https://www.pricecharting.com/game/pokemon-dark-explorers/umbreon-61</x:v>
      </x:c>
      <x:c r="AE90" s="131"/>
      <x:c r="AF90" s="131"/>
      <x:c r="AG90" s="131"/>
      <x:c r="AH90" s="131"/>
      <x:c r="AI90" s="131"/>
      <x:c r="AJ90" s="61"/>
      <x:c r="AK90" s="61" t="n">
        <x:v>21</x:v>
      </x:c>
      <x:c r="AL90" s="61" t="n">
        <x:v>26.5</x:v>
      </x:c>
      <x:c r="AM90" s="61" t="n">
        <x:v>74.03</x:v>
      </x:c>
      <x:c r="AN90" s="61" t="n">
        <x:v>179.57</x:v>
      </x:c>
      <x:c r="AO90" s="61"/>
      <x:c r="AP90" s="61"/>
      <x:c r="AQ90" s="61"/>
      <x:c r="AR90" s="20" t="str">
        <x:v>PriceCharting baseline</x:v>
      </x:c>
      <x:c r="AS90" s="20" t="str">
        <x:v>PriceCharting grade value retained where an exact, sufficiently useful PSA sales cross-check was not found. No unrelated printing/variant was substituted.</x:v>
      </x:c>
      <x:c r="AT90" s="176"/>
      <x:c r="AU90" s="176"/>
      <x:c r="AV90" s="176"/>
      <x:c r="AW90" s="176"/>
      <x:c r="AX90" s="176"/>
      <x:c r="AY90" s="176"/>
      <x:c r="AZ90" s="20" t="str">
        <x:v>https://www.psacard.com/Pop</x:v>
      </x:c>
      <x:c r="BA90" s="20" t="str">
        <x:v>PSA-direct population for this exact printing/grade was not confidently resolved from PSA's accessible/indexed pages on 2026-08-17. Prior PriceCharting/Pikawiz population figures were removed rather than retained.</x:v>
      </x:c>
    </x:row>
    <x:row r="91" ht="26.399999618530273" hidden="0" customHeight="1">
      <x:c r="A91" s="90" t="str">
        <x:v>D — Gem-Mint Only</x:v>
      </x:c>
      <x:c r="B91" s="86" t="n">
        <x:f>'All Physical Cards'!A284</x:f>
        <x:v>283</x:v>
      </x:c>
      <x:c r="C91" s="50" t="str">
        <x:f>'All Physical Cards'!C284</x:f>
        <x:v>Umbreon</x:v>
      </x:c>
      <x:c r="D91" s="50" t="str">
        <x:f>'All Physical Cards'!D284</x:f>
        <x:v>61/108</x:v>
      </x:c>
      <x:c r="E91" s="50" t="str">
        <x:f>'All Physical Cards'!E284</x:f>
        <x:v>Dark Explorers</x:v>
      </x:c>
      <x:c r="F91" s="50" t="n">
        <x:f>'All Physical Cards'!F284</x:f>
        <x:v>2012</x:v>
      </x:c>
      <x:c r="G91" s="50" t="str">
        <x:f>'All Physical Cards'!G284</x:f>
        <x:v>Regular</x:v>
      </x:c>
      <x:c r="H91" s="50" t="str">
        <x:f>'All Physical Cards'!H284</x:f>
        <x:v>5 of 7</x:v>
      </x:c>
      <x:c r="I91" s="91" t="n">
        <x:f>'All Physical Cards'!I284</x:f>
        <x:v>16.95</x:v>
      </x:c>
      <x:c r="J91" s="91" t="n">
        <x:f>'All Physical Cards'!J284</x:f>
        <x:v>17.1</x:v>
      </x:c>
      <x:c r="K91" s="91" t="n">
        <x:f>'All Physical Cards'!K284</x:f>
        <x:v>17.025</x:v>
      </x:c>
      <x:c r="L91" s="91" t="n">
        <x:f>'All Physical Cards'!S284</x:f>
        <x:v>17.025</x:v>
      </x:c>
      <x:c r="M91" s="50" t="str">
        <x:f>'All Physical Cards'!P284</x:f>
        <x:v>Clean/NM benchmark unless noted</x:v>
      </x:c>
      <x:c r="N91" s="50" t="str">
        <x:v>Moderate raw value; economics depend on a high grade; Popular Pokémon demand</x:v>
      </x:c>
      <x:c r="O91" s="50" t="str">
        <x:v>Grade only if it looks essentially gem mint / PSA 10-caliber.</x:v>
      </x:c>
      <x:c r="P91" s="50" t="str">
        <x:v>Do not pay premium grading fees; keep only as a PSA 10 candidate.</x:v>
      </x:c>
      <x:c r="Q91" s="50" t="str">
        <x:v>Not inspected</x:v>
      </x:c>
      <x:c r="R91" s="50" t="str">
        <x:v>Undecided</x:v>
      </x:c>
      <x:c r="S91" s="50" t="str">
        <x:f>'All Physical Cards'!W284</x:f>
        <x:v>https://www.tcgplayer.com/search/pokemon/product?page=1&amp;productLineName=pokemon&amp;q=Umbreon+Dark+Explorers+%2361&amp;view=grid</x:v>
      </x:c>
      <x:c r="T91" s="115"/>
      <x:c r="U91" s="115"/>
      <x:c r="V91" s="115"/>
      <x:c r="W91" s="115"/>
      <x:c r="X91" s="20"/>
      <x:c r="Y91" s="20"/>
      <x:c r="Z91" s="20"/>
      <x:c r="AA91" s="20"/>
      <x:c r="AB91" s="20"/>
      <x:c r="AC91" s="20" t="str">
        <x:v>PriceCharting baseline retained. Exact PSA sales data were not sufficiently useful/available in the verification pass; no unrelated printing or variant was substituted.</x:v>
      </x:c>
      <x:c r="AD91" s="20" t="str">
        <x:v>https://www.pricecharting.com/game/pokemon-dark-explorers/umbreon-61</x:v>
      </x:c>
      <x:c r="AE91" s="131"/>
      <x:c r="AF91" s="131"/>
      <x:c r="AG91" s="131"/>
      <x:c r="AH91" s="131"/>
      <x:c r="AI91" s="131"/>
      <x:c r="AJ91" s="61"/>
      <x:c r="AK91" s="61" t="n">
        <x:v>21</x:v>
      </x:c>
      <x:c r="AL91" s="61" t="n">
        <x:v>26.5</x:v>
      </x:c>
      <x:c r="AM91" s="61" t="n">
        <x:v>74.03</x:v>
      </x:c>
      <x:c r="AN91" s="61" t="n">
        <x:v>179.57</x:v>
      </x:c>
      <x:c r="AO91" s="61"/>
      <x:c r="AP91" s="61"/>
      <x:c r="AQ91" s="61"/>
      <x:c r="AR91" s="20" t="str">
        <x:v>PriceCharting baseline</x:v>
      </x:c>
      <x:c r="AS91" s="20" t="str">
        <x:v>PriceCharting grade value retained where an exact, sufficiently useful PSA sales cross-check was not found. No unrelated printing/variant was substituted.</x:v>
      </x:c>
      <x:c r="AT91" s="176"/>
      <x:c r="AU91" s="176"/>
      <x:c r="AV91" s="176"/>
      <x:c r="AW91" s="176"/>
      <x:c r="AX91" s="176"/>
      <x:c r="AY91" s="176"/>
      <x:c r="AZ91" s="20" t="str">
        <x:v>https://www.psacard.com/Pop</x:v>
      </x:c>
      <x:c r="BA91" s="20" t="str">
        <x:v>PSA-direct population for this exact printing/grade was not confidently resolved from PSA's accessible/indexed pages on 2026-08-17. Prior PriceCharting/Pikawiz population figures were removed rather than retained.</x:v>
      </x:c>
    </x:row>
    <x:row r="92" ht="26.399999618530273" hidden="0" customHeight="1">
      <x:c r="A92" s="90" t="str">
        <x:v>D — Gem-Mint Only</x:v>
      </x:c>
      <x:c r="B92" s="86" t="n">
        <x:f>'All Physical Cards'!A285</x:f>
        <x:v>284</x:v>
      </x:c>
      <x:c r="C92" s="50" t="str">
        <x:f>'All Physical Cards'!C285</x:f>
        <x:v>Umbreon</x:v>
      </x:c>
      <x:c r="D92" s="50" t="str">
        <x:f>'All Physical Cards'!D285</x:f>
        <x:v>61/108</x:v>
      </x:c>
      <x:c r="E92" s="50" t="str">
        <x:f>'All Physical Cards'!E285</x:f>
        <x:v>Dark Explorers</x:v>
      </x:c>
      <x:c r="F92" s="50" t="n">
        <x:f>'All Physical Cards'!F285</x:f>
        <x:v>2012</x:v>
      </x:c>
      <x:c r="G92" s="50" t="str">
        <x:f>'All Physical Cards'!G285</x:f>
        <x:v>Regular</x:v>
      </x:c>
      <x:c r="H92" s="50" t="str">
        <x:f>'All Physical Cards'!H285</x:f>
        <x:v>6 of 7</x:v>
      </x:c>
      <x:c r="I92" s="91" t="n">
        <x:f>'All Physical Cards'!I285</x:f>
        <x:v>16.95</x:v>
      </x:c>
      <x:c r="J92" s="91" t="n">
        <x:f>'All Physical Cards'!J285</x:f>
        <x:v>17.1</x:v>
      </x:c>
      <x:c r="K92" s="91" t="n">
        <x:f>'All Physical Cards'!K285</x:f>
        <x:v>17.025</x:v>
      </x:c>
      <x:c r="L92" s="91" t="n">
        <x:f>'All Physical Cards'!S285</x:f>
        <x:v>17.025</x:v>
      </x:c>
      <x:c r="M92" s="50" t="str">
        <x:f>'All Physical Cards'!P285</x:f>
        <x:v>Clean/NM benchmark unless noted</x:v>
      </x:c>
      <x:c r="N92" s="50" t="str">
        <x:v>Moderate raw value; economics depend on a high grade; Popular Pokémon demand</x:v>
      </x:c>
      <x:c r="O92" s="50" t="str">
        <x:v>Grade only if it looks essentially gem mint / PSA 10-caliber.</x:v>
      </x:c>
      <x:c r="P92" s="50" t="str">
        <x:v>Do not pay premium grading fees; keep only as a PSA 10 candidate.</x:v>
      </x:c>
      <x:c r="Q92" s="50" t="str">
        <x:v>Not inspected</x:v>
      </x:c>
      <x:c r="R92" s="50" t="str">
        <x:v>Undecided</x:v>
      </x:c>
      <x:c r="S92" s="50" t="str">
        <x:f>'All Physical Cards'!W285</x:f>
        <x:v>https://www.tcgplayer.com/search/pokemon/product?page=1&amp;productLineName=pokemon&amp;q=Umbreon+Dark+Explorers+%2361&amp;view=grid</x:v>
      </x:c>
      <x:c r="T92" s="115"/>
      <x:c r="U92" s="115"/>
      <x:c r="V92" s="115"/>
      <x:c r="W92" s="115"/>
      <x:c r="X92" s="20"/>
      <x:c r="Y92" s="20"/>
      <x:c r="Z92" s="20"/>
      <x:c r="AA92" s="20"/>
      <x:c r="AB92" s="20"/>
      <x:c r="AC92" s="20" t="str">
        <x:v>PriceCharting baseline retained. Exact PSA sales data were not sufficiently useful/available in the verification pass; no unrelated printing or variant was substituted.</x:v>
      </x:c>
      <x:c r="AD92" s="20" t="str">
        <x:v>https://www.pricecharting.com/game/pokemon-dark-explorers/umbreon-61</x:v>
      </x:c>
      <x:c r="AE92" s="131"/>
      <x:c r="AF92" s="131"/>
      <x:c r="AG92" s="131"/>
      <x:c r="AH92" s="131"/>
      <x:c r="AI92" s="131"/>
      <x:c r="AJ92" s="61"/>
      <x:c r="AK92" s="61" t="n">
        <x:v>21</x:v>
      </x:c>
      <x:c r="AL92" s="61" t="n">
        <x:v>26.5</x:v>
      </x:c>
      <x:c r="AM92" s="61" t="n">
        <x:v>74.03</x:v>
      </x:c>
      <x:c r="AN92" s="61" t="n">
        <x:v>179.57</x:v>
      </x:c>
      <x:c r="AO92" s="61"/>
      <x:c r="AP92" s="61"/>
      <x:c r="AQ92" s="61"/>
      <x:c r="AR92" s="20" t="str">
        <x:v>PriceCharting baseline</x:v>
      </x:c>
      <x:c r="AS92" s="20" t="str">
        <x:v>PriceCharting grade value retained where an exact, sufficiently useful PSA sales cross-check was not found. No unrelated printing/variant was substituted.</x:v>
      </x:c>
      <x:c r="AT92" s="176"/>
      <x:c r="AU92" s="176"/>
      <x:c r="AV92" s="176"/>
      <x:c r="AW92" s="176"/>
      <x:c r="AX92" s="176"/>
      <x:c r="AY92" s="176"/>
      <x:c r="AZ92" s="20" t="str">
        <x:v>https://www.psacard.com/Pop</x:v>
      </x:c>
      <x:c r="BA92" s="20" t="str">
        <x:v>PSA-direct population for this exact printing/grade was not confidently resolved from PSA's accessible/indexed pages on 2026-08-17. Prior PriceCharting/Pikawiz population figures were removed rather than retained.</x:v>
      </x:c>
    </x:row>
    <x:row r="93" ht="26.399999618530273" hidden="0" customHeight="1">
      <x:c r="A93" s="90" t="str">
        <x:v>D — Gem-Mint Only</x:v>
      </x:c>
      <x:c r="B93" s="86" t="n">
        <x:f>'All Physical Cards'!A286</x:f>
        <x:v>285</x:v>
      </x:c>
      <x:c r="C93" s="50" t="str">
        <x:f>'All Physical Cards'!C286</x:f>
        <x:v>Umbreon</x:v>
      </x:c>
      <x:c r="D93" s="50" t="str">
        <x:f>'All Physical Cards'!D286</x:f>
        <x:v>61/108</x:v>
      </x:c>
      <x:c r="E93" s="50" t="str">
        <x:f>'All Physical Cards'!E286</x:f>
        <x:v>Dark Explorers</x:v>
      </x:c>
      <x:c r="F93" s="50" t="n">
        <x:f>'All Physical Cards'!F286</x:f>
        <x:v>2012</x:v>
      </x:c>
      <x:c r="G93" s="50" t="str">
        <x:f>'All Physical Cards'!G286</x:f>
        <x:v>Regular</x:v>
      </x:c>
      <x:c r="H93" s="50" t="str">
        <x:f>'All Physical Cards'!H286</x:f>
        <x:v>7 of 7</x:v>
      </x:c>
      <x:c r="I93" s="91" t="n">
        <x:f>'All Physical Cards'!I286</x:f>
        <x:v>16.95</x:v>
      </x:c>
      <x:c r="J93" s="91" t="n">
        <x:f>'All Physical Cards'!J286</x:f>
        <x:v>17.1</x:v>
      </x:c>
      <x:c r="K93" s="91" t="n">
        <x:f>'All Physical Cards'!K286</x:f>
        <x:v>17.025</x:v>
      </x:c>
      <x:c r="L93" s="91" t="n">
        <x:f>'All Physical Cards'!S286</x:f>
        <x:v>17.025</x:v>
      </x:c>
      <x:c r="M93" s="50" t="str">
        <x:f>'All Physical Cards'!P286</x:f>
        <x:v>Clean/NM benchmark unless noted</x:v>
      </x:c>
      <x:c r="N93" s="50" t="str">
        <x:v>Moderate raw value; economics depend on a high grade; Popular Pokémon demand</x:v>
      </x:c>
      <x:c r="O93" s="50" t="str">
        <x:v>Grade only if it looks essentially gem mint / PSA 10-caliber.</x:v>
      </x:c>
      <x:c r="P93" s="50" t="str">
        <x:v>Do not pay premium grading fees; keep only as a PSA 10 candidate.</x:v>
      </x:c>
      <x:c r="Q93" s="50" t="str">
        <x:v>Not inspected</x:v>
      </x:c>
      <x:c r="R93" s="50" t="str">
        <x:v>Undecided</x:v>
      </x:c>
      <x:c r="S93" s="50" t="str">
        <x:f>'All Physical Cards'!W286</x:f>
        <x:v>https://www.tcgplayer.com/search/pokemon/product?page=1&amp;productLineName=pokemon&amp;q=Umbreon+Dark+Explorers+%2361&amp;view=grid</x:v>
      </x:c>
      <x:c r="T93" s="115"/>
      <x:c r="U93" s="115"/>
      <x:c r="V93" s="115"/>
      <x:c r="W93" s="115"/>
      <x:c r="X93" s="20"/>
      <x:c r="Y93" s="20"/>
      <x:c r="Z93" s="20"/>
      <x:c r="AA93" s="20"/>
      <x:c r="AB93" s="20"/>
      <x:c r="AC93" s="20" t="str">
        <x:v>PriceCharting baseline retained. Exact PSA sales data were not sufficiently useful/available in the verification pass; no unrelated printing or variant was substituted.</x:v>
      </x:c>
      <x:c r="AD93" s="20" t="str">
        <x:v>https://www.pricecharting.com/game/pokemon-dark-explorers/umbreon-61</x:v>
      </x:c>
      <x:c r="AE93" s="131"/>
      <x:c r="AF93" s="131"/>
      <x:c r="AG93" s="131"/>
      <x:c r="AH93" s="131"/>
      <x:c r="AI93" s="131"/>
      <x:c r="AJ93" s="61"/>
      <x:c r="AK93" s="61" t="n">
        <x:v>21</x:v>
      </x:c>
      <x:c r="AL93" s="61" t="n">
        <x:v>26.5</x:v>
      </x:c>
      <x:c r="AM93" s="61" t="n">
        <x:v>74.03</x:v>
      </x:c>
      <x:c r="AN93" s="61" t="n">
        <x:v>179.57</x:v>
      </x:c>
      <x:c r="AO93" s="61"/>
      <x:c r="AP93" s="61"/>
      <x:c r="AQ93" s="61"/>
      <x:c r="AR93" s="20" t="str">
        <x:v>PriceCharting baseline</x:v>
      </x:c>
      <x:c r="AS93" s="20" t="str">
        <x:v>PriceCharting grade value retained where an exact, sufficiently useful PSA sales cross-check was not found. No unrelated printing/variant was substituted.</x:v>
      </x:c>
      <x:c r="AT93" s="176"/>
      <x:c r="AU93" s="176"/>
      <x:c r="AV93" s="176"/>
      <x:c r="AW93" s="176"/>
      <x:c r="AX93" s="176"/>
      <x:c r="AY93" s="176"/>
      <x:c r="AZ93" s="20" t="str">
        <x:v>https://www.psacard.com/Pop</x:v>
      </x:c>
      <x:c r="BA93" s="20" t="str">
        <x:v>PSA-direct population for this exact printing/grade was not confidently resolved from PSA's accessible/indexed pages on 2026-08-17. Prior PriceCharting/Pikawiz population figures were removed rather than retained.</x:v>
      </x:c>
    </x:row>
    <x:row r="94" ht="26.399999618530273" hidden="0" customHeight="1">
      <x:c r="A94" s="90" t="str">
        <x:v>D — Gem-Mint Only</x:v>
      </x:c>
      <x:c r="B94" s="86" t="n">
        <x:f>'All Physical Cards'!A178</x:f>
        <x:v>177</x:v>
      </x:c>
      <x:c r="C94" s="50" t="str">
        <x:f>'All Physical Cards'!C178</x:f>
        <x:v>Latias</x:v>
      </x:c>
      <x:c r="D94" s="50" t="str">
        <x:f>'All Physical Cards'!D178</x:f>
        <x:v>9/20</x:v>
      </x:c>
      <x:c r="E94" s="50" t="str">
        <x:f>'All Physical Cards'!E178</x:f>
        <x:v>Dragon Vault</x:v>
      </x:c>
      <x:c r="F94" s="50" t="n">
        <x:f>'All Physical Cards'!F178</x:f>
        <x:v>2012</x:v>
      </x:c>
      <x:c r="G94" s="50" t="str">
        <x:f>'All Physical Cards'!G178</x:f>
        <x:v>Holo</x:v>
      </x:c>
      <x:c r="H94" s="50" t="str">
        <x:f>'All Physical Cards'!H178</x:f>
        <x:v>1 of 3</x:v>
      </x:c>
      <x:c r="I94" s="91" t="n">
        <x:f>'All Physical Cards'!I178</x:f>
        <x:v>13</x:v>
      </x:c>
      <x:c r="J94" s="91" t="n">
        <x:f>'All Physical Cards'!J178</x:f>
        <x:v>19</x:v>
      </x:c>
      <x:c r="K94" s="91" t="n">
        <x:f>'All Physical Cards'!K178</x:f>
        <x:v>16</x:v>
      </x:c>
      <x:c r="L94" s="91" t="n">
        <x:f>'All Physical Cards'!S178</x:f>
        <x:v>16</x:v>
      </x:c>
      <x:c r="M94" s="50" t="str">
        <x:f>'All Physical Cards'!P178</x:f>
        <x:v>Clean/NM benchmark unless noted</x:v>
      </x:c>
      <x:c r="N94" s="50" t="str">
        <x:v>Moderate raw value; economics depend on a high grade; Holo surface quality matters heavily; Popular Pokémon demand</x:v>
      </x:c>
      <x:c r="O94" s="50" t="str">
        <x:v>Grade only if it looks essentially gem mint / PSA 10-caliber.</x:v>
      </x:c>
      <x:c r="P94" s="50" t="str">
        <x:v>Do not pay premium grading fees; keep only as a PSA 10 candidate.</x:v>
      </x:c>
      <x:c r="Q94" s="50" t="str">
        <x:v>Not inspected</x:v>
      </x:c>
      <x:c r="R94" s="50" t="str">
        <x:v>Undecided</x:v>
      </x:c>
      <x:c r="S94" s="50" t="n">
        <x:f>'All Physical Cards'!W178</x:f>
        <x:v>0</x:v>
      </x:c>
      <x:c r="T94" s="115"/>
      <x:c r="U94" s="115"/>
      <x:c r="V94" s="115"/>
      <x:c r="W94" s="115"/>
      <x:c r="X94" s="20"/>
      <x:c r="Y94" s="20"/>
      <x:c r="Z94" s="20"/>
      <x:c r="AA94" s="20"/>
      <x:c r="AB94" s="20"/>
      <x:c r="AC94" s="20" t="str">
        <x:v>PriceCharting baseline retained. Exact PSA sales data were not sufficiently useful/available in the verification pass; no unrelated printing or variant was substituted.</x:v>
      </x:c>
      <x:c r="AD94" s="20" t="str">
        <x:v>https://www.pricecharting.com/game/pokemon-dragon-vault/latias-9</x:v>
      </x:c>
      <x:c r="AE94" s="131"/>
      <x:c r="AF94" s="131"/>
      <x:c r="AG94" s="131"/>
      <x:c r="AH94" s="131"/>
      <x:c r="AI94" s="131"/>
      <x:c r="AJ94" s="61"/>
      <x:c r="AK94" s="61" t="n">
        <x:v>9.29</x:v>
      </x:c>
      <x:c r="AL94" s="61" t="n">
        <x:v>40</x:v>
      </x:c>
      <x:c r="AM94" s="61" t="n">
        <x:v>70.84</x:v>
      </x:c>
      <x:c r="AN94" s="61" t="n">
        <x:v>1925</x:v>
      </x:c>
      <x:c r="AO94" s="61"/>
      <x:c r="AP94" s="61"/>
      <x:c r="AQ94" s="61"/>
      <x:c r="AR94" s="20" t="str">
        <x:v>PriceCharting baseline</x:v>
      </x:c>
      <x:c r="AS94" s="20" t="str">
        <x:v>PriceCharting grade value retained where an exact, sufficiently useful PSA sales cross-check was not found. No unrelated printing/variant was substituted.</x:v>
      </x:c>
      <x:c r="AT94" s="176"/>
      <x:c r="AU94" s="176"/>
      <x:c r="AV94" s="176"/>
      <x:c r="AW94" s="176"/>
      <x:c r="AX94" s="176"/>
      <x:c r="AY94" s="176"/>
      <x:c r="AZ94" s="20" t="str">
        <x:v>https://www.psacard.com/Pop</x:v>
      </x:c>
      <x:c r="BA94" s="20" t="str">
        <x:v>PSA-direct population for this exact printing/grade was not confidently resolved from PSA's accessible/indexed pages on 2026-08-17. Prior PriceCharting/Pikawiz population figures were removed rather than retained.</x:v>
      </x:c>
    </x:row>
    <x:row r="95" ht="26.399999618530273" hidden="0" customHeight="1">
      <x:c r="A95" s="90" t="str">
        <x:v>D — Gem-Mint Only</x:v>
      </x:c>
      <x:c r="B95" s="86" t="n">
        <x:f>'All Physical Cards'!A179</x:f>
        <x:v>178</x:v>
      </x:c>
      <x:c r="C95" s="50" t="str">
        <x:f>'All Physical Cards'!C179</x:f>
        <x:v>Latias</x:v>
      </x:c>
      <x:c r="D95" s="50" t="str">
        <x:f>'All Physical Cards'!D179</x:f>
        <x:v>9/20</x:v>
      </x:c>
      <x:c r="E95" s="50" t="str">
        <x:f>'All Physical Cards'!E179</x:f>
        <x:v>Dragon Vault</x:v>
      </x:c>
      <x:c r="F95" s="50" t="n">
        <x:f>'All Physical Cards'!F179</x:f>
        <x:v>2012</x:v>
      </x:c>
      <x:c r="G95" s="50" t="str">
        <x:f>'All Physical Cards'!G179</x:f>
        <x:v>Holo</x:v>
      </x:c>
      <x:c r="H95" s="50" t="str">
        <x:f>'All Physical Cards'!H179</x:f>
        <x:v>2 of 3</x:v>
      </x:c>
      <x:c r="I95" s="91" t="n">
        <x:f>'All Physical Cards'!I179</x:f>
        <x:v>13</x:v>
      </x:c>
      <x:c r="J95" s="91" t="n">
        <x:f>'All Physical Cards'!J179</x:f>
        <x:v>19</x:v>
      </x:c>
      <x:c r="K95" s="91" t="n">
        <x:f>'All Physical Cards'!K179</x:f>
        <x:v>16</x:v>
      </x:c>
      <x:c r="L95" s="91" t="n">
        <x:f>'All Physical Cards'!S179</x:f>
        <x:v>16</x:v>
      </x:c>
      <x:c r="M95" s="50" t="str">
        <x:f>'All Physical Cards'!P179</x:f>
        <x:v>Clean/NM benchmark unless noted</x:v>
      </x:c>
      <x:c r="N95" s="50" t="str">
        <x:v>Moderate raw value; economics depend on a high grade; Holo surface quality matters heavily; Popular Pokémon demand</x:v>
      </x:c>
      <x:c r="O95" s="50" t="str">
        <x:v>Grade only if it looks essentially gem mint / PSA 10-caliber.</x:v>
      </x:c>
      <x:c r="P95" s="50" t="str">
        <x:v>Do not pay premium grading fees; keep only as a PSA 10 candidate.</x:v>
      </x:c>
      <x:c r="Q95" s="50" t="str">
        <x:v>Not inspected</x:v>
      </x:c>
      <x:c r="R95" s="50" t="str">
        <x:v>Undecided</x:v>
      </x:c>
      <x:c r="S95" s="50" t="n">
        <x:f>'All Physical Cards'!W179</x:f>
        <x:v>0</x:v>
      </x:c>
      <x:c r="T95" s="115"/>
      <x:c r="U95" s="115"/>
      <x:c r="V95" s="115"/>
      <x:c r="W95" s="115"/>
      <x:c r="X95" s="20"/>
      <x:c r="Y95" s="20"/>
      <x:c r="Z95" s="20"/>
      <x:c r="AA95" s="20"/>
      <x:c r="AB95" s="20"/>
      <x:c r="AC95" s="20" t="str">
        <x:v>PriceCharting baseline retained. Exact PSA sales data were not sufficiently useful/available in the verification pass; no unrelated printing or variant was substituted.</x:v>
      </x:c>
      <x:c r="AD95" s="20" t="str">
        <x:v>https://www.pricecharting.com/game/pokemon-dragon-vault/latias-9</x:v>
      </x:c>
      <x:c r="AE95" s="131"/>
      <x:c r="AF95" s="131"/>
      <x:c r="AG95" s="131"/>
      <x:c r="AH95" s="131"/>
      <x:c r="AI95" s="131"/>
      <x:c r="AJ95" s="61"/>
      <x:c r="AK95" s="61" t="n">
        <x:v>9.29</x:v>
      </x:c>
      <x:c r="AL95" s="61" t="n">
        <x:v>40</x:v>
      </x:c>
      <x:c r="AM95" s="61" t="n">
        <x:v>70.84</x:v>
      </x:c>
      <x:c r="AN95" s="61" t="n">
        <x:v>1925</x:v>
      </x:c>
      <x:c r="AO95" s="61"/>
      <x:c r="AP95" s="61"/>
      <x:c r="AQ95" s="61"/>
      <x:c r="AR95" s="20" t="str">
        <x:v>PriceCharting baseline</x:v>
      </x:c>
      <x:c r="AS95" s="20" t="str">
        <x:v>PriceCharting grade value retained where an exact, sufficiently useful PSA sales cross-check was not found. No unrelated printing/variant was substituted.</x:v>
      </x:c>
      <x:c r="AT95" s="176"/>
      <x:c r="AU95" s="176"/>
      <x:c r="AV95" s="176"/>
      <x:c r="AW95" s="176"/>
      <x:c r="AX95" s="176"/>
      <x:c r="AY95" s="176"/>
      <x:c r="AZ95" s="20" t="str">
        <x:v>https://www.psacard.com/Pop</x:v>
      </x:c>
      <x:c r="BA95" s="20" t="str">
        <x:v>PSA-direct population for this exact printing/grade was not confidently resolved from PSA's accessible/indexed pages on 2026-08-17. Prior PriceCharting/Pikawiz population figures were removed rather than retained.</x:v>
      </x:c>
    </x:row>
    <x:row r="96" ht="26.399999618530273" hidden="0" customHeight="1">
      <x:c r="A96" s="90" t="str">
        <x:v>D — Gem-Mint Only</x:v>
      </x:c>
      <x:c r="B96" s="86" t="n">
        <x:f>'All Physical Cards'!A13</x:f>
        <x:v>12</x:v>
      </x:c>
      <x:c r="C96" s="50" t="str">
        <x:f>'All Physical Cards'!C13</x:f>
        <x:v>Computer Search</x:v>
      </x:c>
      <x:c r="D96" s="50" t="str">
        <x:f>'All Physical Cards'!D13</x:f>
        <x:v>137/149</x:v>
      </x:c>
      <x:c r="E96" s="50" t="str">
        <x:f>'All Physical Cards'!E13</x:f>
        <x:v>Boundaries Crossed</x:v>
      </x:c>
      <x:c r="F96" s="50" t="n">
        <x:f>'All Physical Cards'!F13</x:f>
        <x:v>2012</x:v>
      </x:c>
      <x:c r="G96" s="50" t="str">
        <x:f>'All Physical Cards'!G13</x:f>
        <x:v>ACE SPEC Holo</x:v>
      </x:c>
      <x:c r="H96" s="50" t="str">
        <x:f>'All Physical Cards'!H13</x:f>
        <x:v>1 of 1</x:v>
      </x:c>
      <x:c r="I96" s="91" t="n">
        <x:f>'All Physical Cards'!I13</x:f>
        <x:v>13</x:v>
      </x:c>
      <x:c r="J96" s="91" t="n">
        <x:f>'All Physical Cards'!J13</x:f>
        <x:v>18</x:v>
      </x:c>
      <x:c r="K96" s="91" t="n">
        <x:f>'All Physical Cards'!K13</x:f>
        <x:v>15.5</x:v>
      </x:c>
      <x:c r="L96" s="91" t="n">
        <x:f>'All Physical Cards'!S13</x:f>
        <x:v>15.5</x:v>
      </x:c>
      <x:c r="M96" s="50" t="str">
        <x:f>'All Physical Cards'!P13</x:f>
        <x:v>Clean/NM benchmark unless noted</x:v>
      </x:c>
      <x:c r="N96" s="50" t="str">
        <x:v>Moderate raw value; economics depend on a high grade; Holo surface quality matters heavily</x:v>
      </x:c>
      <x:c r="O96" s="50" t="str">
        <x:v>Grade only if it looks essentially gem mint / PSA 10-caliber.</x:v>
      </x:c>
      <x:c r="P96" s="50" t="str">
        <x:v>Do not pay premium grading fees; keep only as a PSA 10 candidate.</x:v>
      </x:c>
      <x:c r="Q96" s="50" t="str">
        <x:v>Not inspected</x:v>
      </x:c>
      <x:c r="R96" s="50" t="str">
        <x:v>Undecided</x:v>
      </x:c>
      <x:c r="S96" s="50" t="n">
        <x:f>'All Physical Cards'!W13</x:f>
        <x:v>0</x:v>
      </x:c>
      <x:c r="T96" s="115"/>
      <x:c r="U96" s="115"/>
      <x:c r="V96" s="115"/>
      <x:c r="W96" s="115"/>
      <x:c r="X96" s="20"/>
      <x:c r="Y96" s="20"/>
      <x:c r="Z96" s="20"/>
      <x:c r="AA96" s="20"/>
      <x:c r="AB96" s="20"/>
      <x:c r="AC96" s="20" t="str">
        <x:v>PriceCharting baseline retained. Exact PSA sales data were not sufficiently useful/available in the verification pass; no unrelated printing or variant was substituted.</x:v>
      </x:c>
      <x:c r="AD96" s="20" t="str">
        <x:v>https://www.pricecharting.com/game/pokemon-boundaries-crossed/computer-search-137</x:v>
      </x:c>
      <x:c r="AE96" s="131"/>
      <x:c r="AF96" s="131"/>
      <x:c r="AG96" s="131"/>
      <x:c r="AH96" s="131"/>
      <x:c r="AI96" s="131"/>
      <x:c r="AJ96" s="61"/>
      <x:c r="AK96" s="61" t="n">
        <x:v>9</x:v>
      </x:c>
      <x:c r="AL96" s="61" t="n">
        <x:v>10.95</x:v>
      </x:c>
      <x:c r="AM96" s="61" t="n">
        <x:v>19.5</x:v>
      </x:c>
      <x:c r="AN96" s="61" t="n">
        <x:v>135.2</x:v>
      </x:c>
      <x:c r="AO96" s="61"/>
      <x:c r="AP96" s="61"/>
      <x:c r="AQ96" s="61"/>
      <x:c r="AR96" s="20" t="str">
        <x:v>PriceCharting baseline</x:v>
      </x:c>
      <x:c r="AS96" s="20" t="str">
        <x:v>PriceCharting grade value retained where an exact, sufficiently useful PSA sales cross-check was not found. No unrelated printing/variant was substituted.</x:v>
      </x:c>
      <x:c r="AT96" s="176"/>
      <x:c r="AU96" s="176"/>
      <x:c r="AV96" s="176"/>
      <x:c r="AW96" s="176"/>
      <x:c r="AX96" s="176"/>
      <x:c r="AY96" s="176"/>
      <x:c r="AZ96" s="20" t="str">
        <x:v>https://www.psacard.com/Pop</x:v>
      </x:c>
      <x:c r="BA96" s="20" t="str">
        <x:v>PSA-direct population for this exact printing/grade was not confidently resolved from PSA's accessible/indexed pages on 2026-08-17. Prior PriceCharting/Pikawiz population figures were removed rather than retained.</x:v>
      </x:c>
    </x:row>
    <x:row r="97" ht="26.399999618530273" hidden="0" customHeight="1">
      <x:c r="A97" s="90" t="str">
        <x:v>D — Gem-Mint Only</x:v>
      </x:c>
      <x:c r="B97" s="86" t="n">
        <x:f>'All Physical Cards'!A337</x:f>
        <x:v>336</x:v>
      </x:c>
      <x:c r="C97" s="50" t="str">
        <x:f>'All Physical Cards'!C337</x:f>
        <x:v>Vulpix</x:v>
      </x:c>
      <x:c r="D97" s="50" t="str">
        <x:f>'All Physical Cards'!D337</x:f>
        <x:v>18/124</x:v>
      </x:c>
      <x:c r="E97" s="50" t="str">
        <x:f>'All Physical Cards'!E337</x:f>
        <x:v>Dragons Exalted</x:v>
      </x:c>
      <x:c r="F97" s="50" t="n">
        <x:f>'All Physical Cards'!F337</x:f>
        <x:v>2012</x:v>
      </x:c>
      <x:c r="G97" s="50" t="str">
        <x:f>'All Physical Cards'!G337</x:f>
        <x:v>Reverse Holo</x:v>
      </x:c>
      <x:c r="H97" s="50" t="str">
        <x:f>'All Physical Cards'!H337</x:f>
        <x:v>1 of 1</x:v>
      </x:c>
      <x:c r="I97" s="91" t="n">
        <x:f>'All Physical Cards'!I337</x:f>
        <x:v>14</x:v>
      </x:c>
      <x:c r="J97" s="91" t="n">
        <x:f>'All Physical Cards'!J337</x:f>
        <x:v>17</x:v>
      </x:c>
      <x:c r="K97" s="91" t="n">
        <x:f>'All Physical Cards'!K337</x:f>
        <x:v>15.5</x:v>
      </x:c>
      <x:c r="L97" s="91" t="n">
        <x:f>'All Physical Cards'!S337</x:f>
        <x:v>15.5</x:v>
      </x:c>
      <x:c r="M97" s="50" t="str">
        <x:f>'All Physical Cards'!P337</x:f>
        <x:v>Clean/NM benchmark unless noted</x:v>
      </x:c>
      <x:c r="N97" s="50" t="str">
        <x:v>Moderate raw value; economics depend on a high grade; Older reverse holo; clean copies are condition-sensitive</x:v>
      </x:c>
      <x:c r="O97" s="50" t="str">
        <x:v>Grade only if it looks essentially gem mint / PSA 10-caliber.</x:v>
      </x:c>
      <x:c r="P97" s="50" t="str">
        <x:v>Do not pay premium grading fees; keep only as a PSA 10 candidate.</x:v>
      </x:c>
      <x:c r="Q97" s="50" t="str">
        <x:v>Not inspected</x:v>
      </x:c>
      <x:c r="R97" s="50" t="str">
        <x:v>Undecided</x:v>
      </x:c>
      <x:c r="S97" s="50" t="str">
        <x:f>'All Physical Cards'!W337</x:f>
        <x:v>https://www.tcgplayer.com/categories/trading-collectible-card-games/pokemon/price-guides/dragons-exalted</x:v>
      </x:c>
      <x:c r="T97" s="115"/>
      <x:c r="U97" s="115"/>
      <x:c r="V97" s="115"/>
      <x:c r="W97" s="115"/>
      <x:c r="X97" s="20"/>
      <x:c r="Y97" s="20"/>
      <x:c r="Z97" s="20"/>
      <x:c r="AA97" s="20"/>
      <x:c r="AB97" s="20"/>
      <x:c r="AC97" s="20" t="str">
        <x:v>PriceCharting baseline retained. Exact PSA sales data were not sufficiently useful/available in the verification pass; no unrelated printing or variant was substituted.</x:v>
      </x:c>
      <x:c r="AD97" s="20" t="str">
        <x:v>https://www.pricecharting.com/game/pokemon-dragons-exalted/vulpix-reverse-holo-18</x:v>
      </x:c>
      <x:c r="AE97" s="131"/>
      <x:c r="AF97" s="131"/>
      <x:c r="AG97" s="131"/>
      <x:c r="AH97" s="131"/>
      <x:c r="AI97" s="131"/>
      <x:c r="AJ97" s="61"/>
      <x:c r="AK97" s="61"/>
      <x:c r="AL97" s="61" t="n">
        <x:v>23.99</x:v>
      </x:c>
      <x:c r="AM97" s="61" t="n">
        <x:v>70.47</x:v>
      </x:c>
      <x:c r="AN97" s="61" t="n">
        <x:v>165.28</x:v>
      </x:c>
      <x:c r="AO97" s="61"/>
      <x:c r="AP97" s="61"/>
      <x:c r="AQ97" s="61"/>
      <x:c r="AR97" s="20" t="str">
        <x:v>PriceCharting baseline</x:v>
      </x:c>
      <x:c r="AS97" s="20" t="str">
        <x:v>PriceCharting grade value retained where an exact, sufficiently useful PSA sales cross-check was not found. No unrelated printing/variant was substituted.</x:v>
      </x:c>
      <x:c r="AT97" s="176"/>
      <x:c r="AU97" s="176"/>
      <x:c r="AV97" s="176"/>
      <x:c r="AW97" s="176"/>
      <x:c r="AX97" s="176"/>
      <x:c r="AY97" s="176"/>
      <x:c r="AZ97" s="20" t="str">
        <x:v>https://www.psacard.com/Pop</x:v>
      </x:c>
      <x:c r="BA97" s="20" t="str">
        <x:v>PSA-direct population for this exact printing/grade was not confidently resolved from PSA's accessible/indexed pages on 2026-08-17. Prior PriceCharting/Pikawiz population figures were removed rather than retained.</x:v>
      </x:c>
    </x:row>
    <x:row r="98" ht="26.399999618530273" hidden="0" customHeight="1">
      <x:c r="A98" s="90" t="str">
        <x:v>D — Gem-Mint Only</x:v>
      </x:c>
      <x:c r="B98" s="86" t="n">
        <x:f>'All Physical Cards'!A496</x:f>
        <x:v>495</x:v>
      </x:c>
      <x:c r="C98" s="50" t="str">
        <x:f>'All Physical Cards'!C496</x:f>
        <x:v>Raichu</x:v>
      </x:c>
      <x:c r="D98" s="50" t="str">
        <x:f>'All Physical Cards'!D496</x:f>
        <x:v>77/147</x:v>
      </x:c>
      <x:c r="E98" s="50" t="str">
        <x:f>'All Physical Cards'!E496</x:f>
        <x:v>Supreme Victors</x:v>
      </x:c>
      <x:c r="F98" s="50" t="n">
        <x:f>'All Physical Cards'!F496</x:f>
        <x:v>2009</x:v>
      </x:c>
      <x:c r="G98" s="50" t="str">
        <x:f>'All Physical Cards'!G496</x:f>
        <x:v>Reverse Holo (LV.35)</x:v>
      </x:c>
      <x:c r="H98" s="50" t="str">
        <x:f>'All Physical Cards'!H496</x:f>
        <x:v>1 of 1</x:v>
      </x:c>
      <x:c r="I98" s="91" t="n">
        <x:f>'All Physical Cards'!I496</x:f>
        <x:v>10</x:v>
      </x:c>
      <x:c r="J98" s="91" t="n">
        <x:f>'All Physical Cards'!J496</x:f>
        <x:v>18</x:v>
      </x:c>
      <x:c r="K98" s="91" t="n">
        <x:f>'All Physical Cards'!K496</x:f>
        <x:v>14</x:v>
      </x:c>
      <x:c r="L98" s="91" t="n">
        <x:f>'All Physical Cards'!S496</x:f>
        <x:v>2.5</x:v>
      </x:c>
      <x:c r="M98" s="50" t="str">
        <x:f>'All Physical Cards'!P496</x:f>
        <x:v>Damaged / altered — marker on card</x:v>
      </x:c>
      <x:c r="N98" s="50" t="str">
        <x:v>Mostly a PSA 10 / gem-mint grading play; Older reverse holo; clean copies are condition-sensitive; Older card; high-grade supply is naturally thinner</x:v>
      </x:c>
      <x:c r="O98" s="50" t="str">
        <x:v>Known wear already reported — inspect first; likely hold raw unless the actual card presents much better than the note.</x:v>
      </x:c>
      <x:c r="P98" s="50" t="str">
        <x:v>Do not pay premium grading fees; keep only as a PSA 10 candidate.</x:v>
      </x:c>
      <x:c r="Q98" s="50" t="str">
        <x:v>Not inspected</x:v>
      </x:c>
      <x:c r="R98" s="50" t="str">
        <x:v>Undecided</x:v>
      </x:c>
      <x:c r="S98" s="50" t="str">
        <x:f>'All Physical Cards'!W496</x:f>
        <x:v>https://www.pricecharting.com/game/pokemon-supreme-victors/raichu-reverse-holo-77</x:v>
      </x:c>
      <x:c r="T98" s="115"/>
      <x:c r="U98" s="115"/>
      <x:c r="V98" s="115"/>
      <x:c r="W98" s="115"/>
      <x:c r="X98" s="20"/>
      <x:c r="Y98" s="20"/>
      <x:c r="Z98" s="20"/>
      <x:c r="AA98" s="20"/>
      <x:c r="AB98" s="20"/>
      <x:c r="AC98" s="20" t="str">
        <x:v>PriceCharting baseline retained. Exact PSA sales data were not sufficiently useful/available in the verification pass; no unrelated printing or variant was substituted.</x:v>
      </x:c>
      <x:c r="AD98" s="20" t="str">
        <x:v>https://www.pricecharting.com/game/pokemon-supreme-victors/raichu-reverse-holo-77</x:v>
      </x:c>
      <x:c r="AE98" s="131"/>
      <x:c r="AF98" s="131"/>
      <x:c r="AG98" s="131"/>
      <x:c r="AH98" s="131"/>
      <x:c r="AI98" s="131"/>
      <x:c r="AJ98" s="61"/>
      <x:c r="AK98" s="61" t="n">
        <x:v>28.31</x:v>
      </x:c>
      <x:c r="AL98" s="61" t="n">
        <x:v>60</x:v>
      </x:c>
      <x:c r="AM98" s="61" t="n">
        <x:v>106.18</x:v>
      </x:c>
      <x:c r="AN98" s="61" t="n">
        <x:v>738.19</x:v>
      </x:c>
      <x:c r="AO98" s="61"/>
      <x:c r="AP98" s="61"/>
      <x:c r="AQ98" s="61"/>
      <x:c r="AR98" s="20" t="str">
        <x:v>PriceCharting baseline</x:v>
      </x:c>
      <x:c r="AS98" s="20" t="str">
        <x:v>PriceCharting grade value retained where an exact, sufficiently useful PSA sales cross-check was not found. No unrelated printing/variant was substituted.</x:v>
      </x:c>
      <x:c r="AT98" s="176"/>
      <x:c r="AU98" s="176"/>
      <x:c r="AV98" s="176"/>
      <x:c r="AW98" s="176"/>
      <x:c r="AX98" s="176"/>
      <x:c r="AY98" s="176"/>
      <x:c r="AZ98" s="20" t="str">
        <x:v>https://www.psacard.com/Pop</x:v>
      </x:c>
      <x:c r="BA98" s="20" t="str">
        <x:v>PSA-direct population for this exact printing/grade was not confidently resolved from PSA's accessible/indexed pages on 2026-08-17. Prior PriceCharting/Pikawiz population figures were removed rather than retained.</x:v>
      </x:c>
    </x:row>
    <x:row r="99" ht="26.399999618530273" hidden="0" customHeight="1">
      <x:c r="A99" s="90" t="str">
        <x:v>D — Gem-Mint Only</x:v>
      </x:c>
      <x:c r="B99" s="86" t="n">
        <x:f>'All Physical Cards'!A409</x:f>
        <x:v>408</x:v>
      </x:c>
      <x:c r="C99" s="50" t="str">
        <x:f>'All Physical Cards'!C409</x:f>
        <x:v>Ninetales</x:v>
      </x:c>
      <x:c r="D99" s="50" t="str">
        <x:f>'All Physical Cards'!D409</x:f>
        <x:v>20/95</x:v>
      </x:c>
      <x:c r="E99" s="50" t="str">
        <x:f>'All Physical Cards'!E409</x:f>
        <x:v>Unleashed</x:v>
      </x:c>
      <x:c r="F99" s="50" t="n">
        <x:f>'All Physical Cards'!F409</x:f>
        <x:v>2010</x:v>
      </x:c>
      <x:c r="G99" s="50" t="str">
        <x:f>'All Physical Cards'!G409</x:f>
        <x:v>Regular Rare</x:v>
      </x:c>
      <x:c r="H99" s="50" t="str">
        <x:f>'All Physical Cards'!H409</x:f>
        <x:v>1 of 1</x:v>
      </x:c>
      <x:c r="I99" s="91" t="n">
        <x:f>'All Physical Cards'!I409</x:f>
        <x:v>9.5</x:v>
      </x:c>
      <x:c r="J99" s="91" t="n">
        <x:f>'All Physical Cards'!J409</x:f>
        <x:v>13.5</x:v>
      </x:c>
      <x:c r="K99" s="91" t="n">
        <x:f>'All Physical Cards'!K409</x:f>
        <x:v>11.5</x:v>
      </x:c>
      <x:c r="L99" s="91" t="n">
        <x:f>'All Physical Cards'!S409</x:f>
        <x:v>11.5</x:v>
      </x:c>
      <x:c r="M99" s="50" t="str">
        <x:f>'All Physical Cards'!P409</x:f>
        <x:v>Clean/NM benchmark unless noted</x:v>
      </x:c>
      <x:c r="N99" s="50" t="str">
        <x:v>Mostly a PSA 10 / gem-mint grading play; Popular Pokémon demand; Older card; high-grade supply is naturally thinner</x:v>
      </x:c>
      <x:c r="O99" s="50" t="str">
        <x:v>Grade only if it looks essentially gem mint / PSA 10-caliber.</x:v>
      </x:c>
      <x:c r="P99" s="50" t="str">
        <x:v>Do not pay premium grading fees; keep only as a PSA 10 candidate.</x:v>
      </x:c>
      <x:c r="Q99" s="50" t="str">
        <x:v>Not inspected</x:v>
      </x:c>
      <x:c r="R99" s="50" t="str">
        <x:v>Undecided</x:v>
      </x:c>
      <x:c r="S99" s="50" t="str">
        <x:f>'All Physical Cards'!W409</x:f>
        <x:v>https://www.tcgplayer.com/search/pokemon/product?page=1&amp;productLineName=pokemon&amp;productName=Ninetales&amp;view=grid</x:v>
      </x:c>
      <x:c r="T99" s="115"/>
      <x:c r="U99" s="115"/>
      <x:c r="V99" s="115"/>
      <x:c r="W99" s="115"/>
      <x:c r="X99" s="20"/>
      <x:c r="Y99" s="20"/>
      <x:c r="Z99" s="20"/>
      <x:c r="AA99" s="20"/>
      <x:c r="AB99" s="20"/>
      <x:c r="AC99" s="20" t="str">
        <x:v>PriceCharting baseline retained. Exact PSA sales data were not sufficiently useful/available in the verification pass; no unrelated printing or variant was substituted.</x:v>
      </x:c>
      <x:c r="AD99" s="20" t="str">
        <x:v>https://www.pricecharting.com/game/pokemon-unleashed/ninetales-20</x:v>
      </x:c>
      <x:c r="AE99" s="131"/>
      <x:c r="AF99" s="131"/>
      <x:c r="AG99" s="131"/>
      <x:c r="AH99" s="131"/>
      <x:c r="AI99" s="131"/>
      <x:c r="AJ99" s="61"/>
      <x:c r="AK99" s="61" t="n">
        <x:v>12</x:v>
      </x:c>
      <x:c r="AL99" s="61" t="n">
        <x:v>15</x:v>
      </x:c>
      <x:c r="AM99" s="61" t="n">
        <x:v>37.32</x:v>
      </x:c>
      <x:c r="AN99" s="61" t="n">
        <x:v>74.75</x:v>
      </x:c>
      <x:c r="AO99" s="61"/>
      <x:c r="AP99" s="61"/>
      <x:c r="AQ99" s="61"/>
      <x:c r="AR99" s="20" t="str">
        <x:v>PriceCharting baseline</x:v>
      </x:c>
      <x:c r="AS99" s="20" t="str">
        <x:v>PriceCharting grade value retained where an exact, sufficiently useful PSA sales cross-check was not found. No unrelated printing/variant was substituted.</x:v>
      </x:c>
      <x:c r="AT99" s="176"/>
      <x:c r="AU99" s="176"/>
      <x:c r="AV99" s="176"/>
      <x:c r="AW99" s="176"/>
      <x:c r="AX99" s="176"/>
      <x:c r="AY99" s="176"/>
      <x:c r="AZ99" s="20" t="str">
        <x:v>https://www.psacard.com/Pop</x:v>
      </x:c>
      <x:c r="BA99" s="20" t="str">
        <x:v>PSA-direct population for this exact printing/grade was not confidently resolved from PSA's accessible/indexed pages on 2026-08-17. Prior PriceCharting/Pikawiz population figures were removed rather than retained.</x:v>
      </x:c>
    </x:row>
    <x:row r="100" ht="26.399999618530273" hidden="0" customHeight="1">
      <x:c r="A100" s="90" t="str">
        <x:v>D — Gem-Mint Only</x:v>
      </x:c>
      <x:c r="B100" s="86" t="n">
        <x:f>'All Physical Cards'!A613</x:f>
        <x:v>612</x:v>
      </x:c>
      <x:c r="C100" s="50" t="str">
        <x:f>'All Physical Cards'!C613</x:f>
        <x:v>Espeon E4</x:v>
      </x:c>
      <x:c r="D100" s="50" t="str">
        <x:f>'All Physical Cards'!D613</x:f>
        <x:v>18/111</x:v>
      </x:c>
      <x:c r="E100" s="50" t="str">
        <x:f>'All Physical Cards'!E613</x:f>
        <x:v>Rising Rivals</x:v>
      </x:c>
      <x:c r="F100" s="50" t="n">
        <x:f>'All Physical Cards'!F613</x:f>
        <x:v>2009</x:v>
      </x:c>
      <x:c r="G100" s="50" t="str">
        <x:f>'All Physical Cards'!G613</x:f>
        <x:v>Regular Rare (LV.55)</x:v>
      </x:c>
      <x:c r="H100" s="50" t="str">
        <x:f>'All Physical Cards'!H613</x:f>
        <x:v>1 of 1</x:v>
      </x:c>
      <x:c r="I100" s="91" t="n">
        <x:f>'All Physical Cards'!I613</x:f>
        <x:v>8</x:v>
      </x:c>
      <x:c r="J100" s="91" t="n">
        <x:f>'All Physical Cards'!J613</x:f>
        <x:v>15</x:v>
      </x:c>
      <x:c r="K100" s="91" t="n">
        <x:f>'All Physical Cards'!K613</x:f>
        <x:v>11.5</x:v>
      </x:c>
      <x:c r="L100" s="91" t="n">
        <x:f>'All Physical Cards'!S613</x:f>
        <x:v>11.5</x:v>
      </x:c>
      <x:c r="M100" s="50" t="str">
        <x:f>'All Physical Cards'!P613</x:f>
        <x:v>Clean/NM benchmark unless noted</x:v>
      </x:c>
      <x:c r="N100" s="50" t="str">
        <x:v>Mostly a PSA 10 / gem-mint grading play; Popular Pokémon demand; Older card; high-grade supply is naturally thinner</x:v>
      </x:c>
      <x:c r="O100" s="50" t="str">
        <x:v>Grade only if it looks essentially gem mint / PSA 10-caliber.</x:v>
      </x:c>
      <x:c r="P100" s="50" t="str">
        <x:v>Do not pay premium grading fees; keep only as a PSA 10 candidate.</x:v>
      </x:c>
      <x:c r="Q100" s="50" t="str">
        <x:v>Not inspected</x:v>
      </x:c>
      <x:c r="R100" s="50" t="str">
        <x:v>Undecided</x:v>
      </x:c>
      <x:c r="S100" s="50" t="str">
        <x:f>'All Physical Cards'!W613</x:f>
        <x:v>https://www.pricecharting.com/game/pokemon-rising-rivals/espeon-18</x:v>
      </x:c>
      <x:c r="T100" s="115"/>
      <x:c r="U100" s="115"/>
      <x:c r="V100" s="115"/>
      <x:c r="W100" s="115"/>
      <x:c r="X100" s="20"/>
      <x:c r="Y100" s="20"/>
      <x:c r="Z100" s="20"/>
      <x:c r="AA100" s="20"/>
      <x:c r="AB100" s="20"/>
      <x:c r="AC100" s="20" t="str">
        <x:v>PriceCharting baseline retained. Exact PSA sales data were not sufficiently useful/available in the verification pass; no unrelated printing or variant was substituted.</x:v>
      </x:c>
      <x:c r="AD100" s="20" t="str">
        <x:v>https://www.pricecharting.com/game/pokemon-rising-rivals/espeon-18</x:v>
      </x:c>
      <x:c r="AE100" s="131"/>
      <x:c r="AF100" s="131"/>
      <x:c r="AG100" s="131"/>
      <x:c r="AH100" s="131"/>
      <x:c r="AI100" s="131"/>
      <x:c r="AJ100" s="61"/>
      <x:c r="AK100" s="61" t="n">
        <x:v>30</x:v>
      </x:c>
      <x:c r="AL100" s="61" t="n">
        <x:v>31.95</x:v>
      </x:c>
      <x:c r="AM100" s="61" t="n">
        <x:v>80</x:v>
      </x:c>
      <x:c r="AN100" s="61" t="n">
        <x:v>104.51</x:v>
      </x:c>
      <x:c r="AO100" s="61"/>
      <x:c r="AP100" s="61"/>
      <x:c r="AQ100" s="61"/>
      <x:c r="AR100" s="20" t="str">
        <x:v>PriceCharting baseline</x:v>
      </x:c>
      <x:c r="AS100" s="20" t="str">
        <x:v>PriceCharting grade value retained where an exact, sufficiently useful PSA sales cross-check was not found. No unrelated printing/variant was substituted.</x:v>
      </x:c>
      <x:c r="AT100" s="176"/>
      <x:c r="AU100" s="176"/>
      <x:c r="AV100" s="176"/>
      <x:c r="AW100" s="176"/>
      <x:c r="AX100" s="176"/>
      <x:c r="AY100" s="176"/>
      <x:c r="AZ100" s="20" t="str">
        <x:v>https://www.psacard.com/Pop</x:v>
      </x:c>
      <x:c r="BA100" s="20" t="str">
        <x:v>PSA-direct population for this exact printing/grade was not confidently resolved from PSA's accessible/indexed pages on 2026-08-17. Prior PriceCharting/Pikawiz population figures were removed rather than retained.</x:v>
      </x:c>
    </x:row>
    <x:row r="101" ht="26.399999618530273" hidden="0" customHeight="1">
      <x:c r="A101" s="90" t="str">
        <x:v>D — Gem-Mint Only</x:v>
      </x:c>
      <x:c r="B101" s="86" t="n">
        <x:f>'All Physical Cards'!A82</x:f>
        <x:v>81</x:v>
      </x:c>
      <x:c r="C101" s="50" t="str">
        <x:f>'All Physical Cards'!C82</x:f>
        <x:v>Strange Cave</x:v>
      </x:c>
      <x:c r="D101" s="50" t="str">
        <x:f>'All Physical Cards'!D82</x:f>
        <x:v>77/92</x:v>
      </x:c>
      <x:c r="E101" s="50" t="str">
        <x:f>'All Physical Cards'!E82</x:f>
        <x:v>EX Legend Maker</x:v>
      </x:c>
      <x:c r="F101" s="50" t="n">
        <x:f>'All Physical Cards'!F82</x:f>
        <x:v>2006</x:v>
      </x:c>
      <x:c r="G101" s="50" t="str">
        <x:f>'All Physical Cards'!G82</x:f>
        <x:v>Reverse Holo / stamped</x:v>
      </x:c>
      <x:c r="H101" s="50" t="str">
        <x:f>'All Physical Cards'!H82</x:f>
        <x:v>1 of 1</x:v>
      </x:c>
      <x:c r="I101" s="91" t="n">
        <x:f>'All Physical Cards'!I82</x:f>
        <x:v>10</x:v>
      </x:c>
      <x:c r="J101" s="91" t="n">
        <x:f>'All Physical Cards'!J82</x:f>
        <x:v>11</x:v>
      </x:c>
      <x:c r="K101" s="91" t="n">
        <x:f>'All Physical Cards'!K82</x:f>
        <x:v>10.5</x:v>
      </x:c>
      <x:c r="L101" s="91" t="n">
        <x:f>'All Physical Cards'!S82</x:f>
        <x:v>10.5</x:v>
      </x:c>
      <x:c r="M101" s="50" t="str">
        <x:f>'All Physical Cards'!P82</x:f>
        <x:v>Clean/NM benchmark unless noted</x:v>
      </x:c>
      <x:c r="N101" s="50" t="str">
        <x:v>Mostly a PSA 10 / gem-mint grading play; Older reverse holo; clean copies are condition-sensitive; Older card; high-grade supply is naturally thinner</x:v>
      </x:c>
      <x:c r="O101" s="50" t="str">
        <x:v>Grade only if it looks essentially gem mint / PSA 10-caliber.</x:v>
      </x:c>
      <x:c r="P101" s="50" t="str">
        <x:v>Do not pay premium grading fees; keep only as a PSA 10 candidate.</x:v>
      </x:c>
      <x:c r="Q101" s="50" t="str">
        <x:v>Not inspected</x:v>
      </x:c>
      <x:c r="R101" s="50" t="str">
        <x:v>Undecided</x:v>
      </x:c>
      <x:c r="S101" s="50" t="n">
        <x:f>'All Physical Cards'!W82</x:f>
        <x:v>0</x:v>
      </x:c>
      <x:c r="T101" s="115"/>
      <x:c r="U101" s="115"/>
      <x:c r="V101" s="115"/>
      <x:c r="W101" s="115"/>
      <x:c r="X101" s="20"/>
      <x:c r="Y101" s="20"/>
      <x:c r="Z101" s="20"/>
      <x:c r="AA101" s="20"/>
      <x:c r="AB101" s="20"/>
      <x:c r="AC101" s="20" t="str">
        <x:v>PriceCharting baseline retained. Exact PSA sales data were not sufficiently useful/available in the verification pass; no unrelated printing or variant was substituted.</x:v>
      </x:c>
      <x:c r="AD101" s="20" t="str">
        <x:v>https://www.pricecharting.com/game/pokemon-legend-maker/strange-cave-reverse-holo-77</x:v>
      </x:c>
      <x:c r="AE101" s="131"/>
      <x:c r="AF101" s="131"/>
      <x:c r="AG101" s="131"/>
      <x:c r="AH101" s="131"/>
      <x:c r="AI101" s="131"/>
      <x:c r="AJ101" s="61"/>
      <x:c r="AK101" s="61"/>
      <x:c r="AL101" s="61" t="n">
        <x:v>15.25</x:v>
      </x:c>
      <x:c r="AM101" s="61" t="n">
        <x:v>24.5</x:v>
      </x:c>
      <x:c r="AN101" s="61" t="n">
        <x:v>184.96</x:v>
      </x:c>
      <x:c r="AO101" s="61"/>
      <x:c r="AP101" s="61"/>
      <x:c r="AQ101" s="61"/>
      <x:c r="AR101" s="20" t="str">
        <x:v>PriceCharting baseline</x:v>
      </x:c>
      <x:c r="AS101" s="20" t="str">
        <x:v>PriceCharting grade value retained where an exact, sufficiently useful PSA sales cross-check was not found. No unrelated printing/variant was substituted.</x:v>
      </x:c>
      <x:c r="AT101" s="176"/>
      <x:c r="AU101" s="176"/>
      <x:c r="AV101" s="176"/>
      <x:c r="AW101" s="176"/>
      <x:c r="AX101" s="176"/>
      <x:c r="AY101" s="176"/>
      <x:c r="AZ101" s="20" t="str">
        <x:v>https://www.psacard.com/Pop</x:v>
      </x:c>
      <x:c r="BA101" s="20" t="str">
        <x:v>PSA-direct population for this exact printing/grade was not confidently resolved from PSA's accessible/indexed pages on 2026-08-17. Prior PriceCharting/Pikawiz population figures were removed rather than retained.</x:v>
      </x:c>
    </x:row>
    <x:row r="102" ht="26.399999618530273" hidden="0" customHeight="1">
      <x:c r="A102" s="90" t="str">
        <x:v>D — Gem-Mint Only</x:v>
      </x:c>
      <x:c r="B102" s="86" t="n">
        <x:f>'All Physical Cards'!A389</x:f>
        <x:v>388</x:v>
      </x:c>
      <x:c r="C102" s="50" t="str">
        <x:f>'All Physical Cards'!C389</x:f>
        <x:v>Ninetales</x:v>
      </x:c>
      <x:c r="D102" s="50" t="str">
        <x:f>'All Physical Cards'!D389</x:f>
        <x:v>19/124</x:v>
      </x:c>
      <x:c r="E102" s="50" t="str">
        <x:f>'All Physical Cards'!E389</x:f>
        <x:v>Dragons Exalted</x:v>
      </x:c>
      <x:c r="F102" s="50" t="n">
        <x:f>'All Physical Cards'!F389</x:f>
        <x:v>2012</x:v>
      </x:c>
      <x:c r="G102" s="50" t="str">
        <x:f>'All Physical Cards'!G389</x:f>
        <x:v>Reverse Holo</x:v>
      </x:c>
      <x:c r="H102" s="50" t="str">
        <x:f>'All Physical Cards'!H389</x:f>
        <x:v>1 of 2</x:v>
      </x:c>
      <x:c r="I102" s="91" t="n">
        <x:f>'All Physical Cards'!I389</x:f>
        <x:v>8.5</x:v>
      </x:c>
      <x:c r="J102" s="91" t="n">
        <x:f>'All Physical Cards'!J389</x:f>
        <x:v>12.5</x:v>
      </x:c>
      <x:c r="K102" s="91" t="n">
        <x:f>'All Physical Cards'!K389</x:f>
        <x:v>10.5</x:v>
      </x:c>
      <x:c r="L102" s="91" t="n">
        <x:f>'All Physical Cards'!S389</x:f>
        <x:v>10.5</x:v>
      </x:c>
      <x:c r="M102" s="50" t="str">
        <x:f>'All Physical Cards'!P389</x:f>
        <x:v>Clean/NM benchmark unless noted</x:v>
      </x:c>
      <x:c r="N102" s="50" t="str">
        <x:v>Mostly a PSA 10 / gem-mint grading play; Older reverse holo; clean copies are condition-sensitive; Popular Pokémon demand</x:v>
      </x:c>
      <x:c r="O102" s="50" t="str">
        <x:v>Grade only if it looks essentially gem mint / PSA 10-caliber.</x:v>
      </x:c>
      <x:c r="P102" s="50" t="str">
        <x:v>Do not pay premium grading fees; keep only as a PSA 10 candidate.</x:v>
      </x:c>
      <x:c r="Q102" s="50" t="str">
        <x:v>Not inspected</x:v>
      </x:c>
      <x:c r="R102" s="50" t="str">
        <x:v>Undecided</x:v>
      </x:c>
      <x:c r="S102" s="50" t="str">
        <x:f>'All Physical Cards'!W389</x:f>
        <x:v>https://www.tcgplayer.com/categories/trading-collectible-card-games/pokemon/price-guides/dragons-exalted</x:v>
      </x:c>
      <x:c r="T102" s="115"/>
      <x:c r="U102" s="115"/>
      <x:c r="V102" s="115"/>
      <x:c r="W102" s="115"/>
      <x:c r="X102" s="20"/>
      <x:c r="Y102" s="20"/>
      <x:c r="Z102" s="20"/>
      <x:c r="AA102" s="20"/>
      <x:c r="AB102" s="20"/>
      <x:c r="AC102" s="20" t="str">
        <x:v>PriceCharting baseline retained. Exact PSA sales data were not sufficiently useful/available in the verification pass; no unrelated printing or variant was substituted.</x:v>
      </x:c>
      <x:c r="AD102" s="20" t="str">
        <x:v>https://www.pricecharting.com/game/pokemon-dragons-exalted/ninetales-reverse-holo-19</x:v>
      </x:c>
      <x:c r="AE102" s="131"/>
      <x:c r="AF102" s="131"/>
      <x:c r="AG102" s="131"/>
      <x:c r="AH102" s="131"/>
      <x:c r="AI102" s="131"/>
      <x:c r="AJ102" s="61"/>
      <x:c r="AK102" s="61"/>
      <x:c r="AL102" s="61" t="n">
        <x:v>20</x:v>
      </x:c>
      <x:c r="AM102" s="61" t="n">
        <x:v>28.72</x:v>
      </x:c>
      <x:c r="AN102" s="61" t="n">
        <x:v>142.04</x:v>
      </x:c>
      <x:c r="AO102" s="61"/>
      <x:c r="AP102" s="61"/>
      <x:c r="AQ102" s="61"/>
      <x:c r="AR102" s="20" t="str">
        <x:v>PriceCharting baseline</x:v>
      </x:c>
      <x:c r="AS102" s="20" t="str">
        <x:v>PriceCharting grade value retained where an exact, sufficiently useful PSA sales cross-check was not found. No unrelated printing/variant was substituted.</x:v>
      </x:c>
      <x:c r="AT102" s="176"/>
      <x:c r="AU102" s="176"/>
      <x:c r="AV102" s="176"/>
      <x:c r="AW102" s="176"/>
      <x:c r="AX102" s="176"/>
      <x:c r="AY102" s="176"/>
      <x:c r="AZ102" s="20" t="str">
        <x:v>https://www.psacard.com/Pop</x:v>
      </x:c>
      <x:c r="BA102" s="20" t="str">
        <x:v>PSA-direct population for this exact printing/grade was not confidently resolved from PSA's accessible/indexed pages on 2026-08-17. Prior PriceCharting/Pikawiz population figures were removed rather than retained.</x:v>
      </x:c>
    </x:row>
    <x:row r="103" ht="26.399999618530273" hidden="0" customHeight="1">
      <x:c r="A103" s="90" t="str">
        <x:v>D — Gem-Mint Only</x:v>
      </x:c>
      <x:c r="B103" s="86" t="n">
        <x:f>'All Physical Cards'!A390</x:f>
        <x:v>389</x:v>
      </x:c>
      <x:c r="C103" s="50" t="str">
        <x:f>'All Physical Cards'!C390</x:f>
        <x:v>Ninetales</x:v>
      </x:c>
      <x:c r="D103" s="50" t="str">
        <x:f>'All Physical Cards'!D390</x:f>
        <x:v>19/124</x:v>
      </x:c>
      <x:c r="E103" s="50" t="str">
        <x:f>'All Physical Cards'!E390</x:f>
        <x:v>Dragons Exalted</x:v>
      </x:c>
      <x:c r="F103" s="50" t="n">
        <x:f>'All Physical Cards'!F390</x:f>
        <x:v>2012</x:v>
      </x:c>
      <x:c r="G103" s="50" t="str">
        <x:f>'All Physical Cards'!G390</x:f>
        <x:v>Reverse Holo</x:v>
      </x:c>
      <x:c r="H103" s="50" t="str">
        <x:f>'All Physical Cards'!H390</x:f>
        <x:v>2 of 2</x:v>
      </x:c>
      <x:c r="I103" s="91" t="n">
        <x:f>'All Physical Cards'!I390</x:f>
        <x:v>8.5</x:v>
      </x:c>
      <x:c r="J103" s="91" t="n">
        <x:f>'All Physical Cards'!J390</x:f>
        <x:v>12.5</x:v>
      </x:c>
      <x:c r="K103" s="91" t="n">
        <x:f>'All Physical Cards'!K390</x:f>
        <x:v>10.5</x:v>
      </x:c>
      <x:c r="L103" s="91" t="n">
        <x:f>'All Physical Cards'!S390</x:f>
        <x:v>10.5</x:v>
      </x:c>
      <x:c r="M103" s="50" t="str">
        <x:f>'All Physical Cards'!P390</x:f>
        <x:v>Clean/NM benchmark unless noted</x:v>
      </x:c>
      <x:c r="N103" s="50" t="str">
        <x:v>Mostly a PSA 10 / gem-mint grading play; Older reverse holo; clean copies are condition-sensitive; Popular Pokémon demand</x:v>
      </x:c>
      <x:c r="O103" s="50" t="str">
        <x:v>Grade only if it looks essentially gem mint / PSA 10-caliber.</x:v>
      </x:c>
      <x:c r="P103" s="50" t="str">
        <x:v>Do not pay premium grading fees; keep only as a PSA 10 candidate.</x:v>
      </x:c>
      <x:c r="Q103" s="50" t="str">
        <x:v>Not inspected</x:v>
      </x:c>
      <x:c r="R103" s="50" t="str">
        <x:v>Undecided</x:v>
      </x:c>
      <x:c r="S103" s="50" t="str">
        <x:f>'All Physical Cards'!W390</x:f>
        <x:v>https://www.tcgplayer.com/categories/trading-collectible-card-games/pokemon/price-guides/dragons-exalted</x:v>
      </x:c>
      <x:c r="T103" s="115"/>
      <x:c r="U103" s="115"/>
      <x:c r="V103" s="115"/>
      <x:c r="W103" s="115"/>
      <x:c r="X103" s="20"/>
      <x:c r="Y103" s="20"/>
      <x:c r="Z103" s="20"/>
      <x:c r="AA103" s="20"/>
      <x:c r="AB103" s="20"/>
      <x:c r="AC103" s="20" t="str">
        <x:v>PriceCharting baseline retained. Exact PSA sales data were not sufficiently useful/available in the verification pass; no unrelated printing or variant was substituted.</x:v>
      </x:c>
      <x:c r="AD103" s="20" t="str">
        <x:v>https://www.pricecharting.com/game/pokemon-dragons-exalted/ninetales-reverse-holo-19</x:v>
      </x:c>
      <x:c r="AE103" s="131"/>
      <x:c r="AF103" s="131"/>
      <x:c r="AG103" s="131"/>
      <x:c r="AH103" s="131"/>
      <x:c r="AI103" s="131"/>
      <x:c r="AJ103" s="61"/>
      <x:c r="AK103" s="61"/>
      <x:c r="AL103" s="61" t="n">
        <x:v>20</x:v>
      </x:c>
      <x:c r="AM103" s="61" t="n">
        <x:v>28.72</x:v>
      </x:c>
      <x:c r="AN103" s="61" t="n">
        <x:v>142.04</x:v>
      </x:c>
      <x:c r="AO103" s="61"/>
      <x:c r="AP103" s="61"/>
      <x:c r="AQ103" s="61"/>
      <x:c r="AR103" s="20" t="str">
        <x:v>PriceCharting baseline</x:v>
      </x:c>
      <x:c r="AS103" s="20" t="str">
        <x:v>PriceCharting grade value retained where an exact, sufficiently useful PSA sales cross-check was not found. No unrelated printing/variant was substituted.</x:v>
      </x:c>
      <x:c r="AT103" s="176"/>
      <x:c r="AU103" s="176"/>
      <x:c r="AV103" s="176"/>
      <x:c r="AW103" s="176"/>
      <x:c r="AX103" s="176"/>
      <x:c r="AY103" s="176"/>
      <x:c r="AZ103" s="20" t="str">
        <x:v>https://www.psacard.com/Pop</x:v>
      </x:c>
      <x:c r="BA103" s="20" t="str">
        <x:v>PSA-direct population for this exact printing/grade was not confidently resolved from PSA's accessible/indexed pages on 2026-08-17. Prior PriceCharting/Pikawiz population figures were removed rather than retained.</x:v>
      </x:c>
    </x:row>
    <x:row r="104" ht="26.399999618530273" hidden="0" customHeight="1">
      <x:c r="A104" s="90" t="str">
        <x:v>D — Gem-Mint Only</x:v>
      </x:c>
      <x:c r="B104" s="86" t="n">
        <x:f>'All Physical Cards'!A583</x:f>
        <x:v>582</x:v>
      </x:c>
      <x:c r="C104" s="50" t="str">
        <x:f>'All Physical Cards'!C583</x:f>
        <x:v>Metagross</x:v>
      </x:c>
      <x:c r="D104" s="50" t="str">
        <x:f>'All Physical Cards'!D583</x:f>
        <x:v>7/147</x:v>
      </x:c>
      <x:c r="E104" s="50" t="str">
        <x:f>'All Physical Cards'!E583</x:f>
        <x:v>Supreme Victors</x:v>
      </x:c>
      <x:c r="F104" s="50" t="n">
        <x:f>'All Physical Cards'!F583</x:f>
        <x:v>2009</x:v>
      </x:c>
      <x:c r="G104" s="50" t="str">
        <x:f>'All Physical Cards'!G583</x:f>
        <x:v>Holo Rare (LV.68)</x:v>
      </x:c>
      <x:c r="H104" s="50" t="str">
        <x:f>'All Physical Cards'!H583</x:f>
        <x:v>1 of 1</x:v>
      </x:c>
      <x:c r="I104" s="91" t="n">
        <x:f>'All Physical Cards'!I583</x:f>
        <x:v>8</x:v>
      </x:c>
      <x:c r="J104" s="91" t="n">
        <x:f>'All Physical Cards'!J583</x:f>
        <x:v>13</x:v>
      </x:c>
      <x:c r="K104" s="91" t="n">
        <x:f>'All Physical Cards'!K583</x:f>
        <x:v>10.5</x:v>
      </x:c>
      <x:c r="L104" s="91" t="n">
        <x:f>'All Physical Cards'!S583</x:f>
        <x:v>10.5</x:v>
      </x:c>
      <x:c r="M104" s="50" t="str">
        <x:f>'All Physical Cards'!P583</x:f>
        <x:v>Clean/NM benchmark unless noted</x:v>
      </x:c>
      <x:c r="N104" s="50" t="str">
        <x:v>Mostly a PSA 10 / gem-mint grading play; Holo surface quality matters heavily; Older card; high-grade supply is naturally thinner</x:v>
      </x:c>
      <x:c r="O104" s="50" t="str">
        <x:v>Grade only if it looks essentially gem mint / PSA 10-caliber.</x:v>
      </x:c>
      <x:c r="P104" s="50" t="str">
        <x:v>Do not pay premium grading fees; keep only as a PSA 10 candidate.</x:v>
      </x:c>
      <x:c r="Q104" s="50" t="str">
        <x:v>Not inspected</x:v>
      </x:c>
      <x:c r="R104" s="50" t="str">
        <x:v>Undecided</x:v>
      </x:c>
      <x:c r="S104" s="50" t="str">
        <x:f>'All Physical Cards'!W583</x:f>
        <x:v>https://www.tcgplayer.com/search/pokemon/product?Printing=Holofoil&amp;productLineName=pokemon&amp;productName=Metagross</x:v>
      </x:c>
      <x:c r="T104" s="115"/>
      <x:c r="U104" s="115"/>
      <x:c r="V104" s="115"/>
      <x:c r="W104" s="115"/>
      <x:c r="X104" s="20"/>
      <x:c r="Y104" s="20"/>
      <x:c r="Z104" s="20"/>
      <x:c r="AA104" s="20"/>
      <x:c r="AB104" s="20"/>
      <x:c r="AC104" s="20" t="str">
        <x:v>PriceCharting baseline retained. Exact PSA sales data were not sufficiently useful/available in the verification pass; no unrelated printing or variant was substituted.</x:v>
      </x:c>
      <x:c r="AD104" s="20" t="str">
        <x:v>https://www.pricecharting.com/game/pokemon-supreme-victors/metagross-7</x:v>
      </x:c>
      <x:c r="AE104" s="131"/>
      <x:c r="AF104" s="131"/>
      <x:c r="AG104" s="131"/>
      <x:c r="AH104" s="131"/>
      <x:c r="AI104" s="131"/>
      <x:c r="AJ104" s="61"/>
      <x:c r="AK104" s="61" t="n">
        <x:v>15</x:v>
      </x:c>
      <x:c r="AL104" s="61" t="n">
        <x:v>45.99</x:v>
      </x:c>
      <x:c r="AM104" s="61" t="n">
        <x:v>59.99</x:v>
      </x:c>
      <x:c r="AN104" s="61" t="n">
        <x:v>1568.26</x:v>
      </x:c>
      <x:c r="AO104" s="61"/>
      <x:c r="AP104" s="61"/>
      <x:c r="AQ104" s="61"/>
      <x:c r="AR104" s="20" t="str">
        <x:v>PriceCharting baseline</x:v>
      </x:c>
      <x:c r="AS104" s="20" t="str">
        <x:v>PriceCharting grade value retained where an exact, sufficiently useful PSA sales cross-check was not found. No unrelated printing/variant was substituted.</x:v>
      </x:c>
      <x:c r="AT104" s="176"/>
      <x:c r="AU104" s="176"/>
      <x:c r="AV104" s="176"/>
      <x:c r="AW104" s="176"/>
      <x:c r="AX104" s="176"/>
      <x:c r="AY104" s="176"/>
      <x:c r="AZ104" s="20" t="str">
        <x:v>https://www.psacard.com/Pop</x:v>
      </x:c>
      <x:c r="BA104" s="20" t="str">
        <x:v>PSA-direct population for this exact printing/grade was not confidently resolved from PSA's accessible/indexed pages on 2026-08-17. Prior PriceCharting/Pikawiz population figures were removed rather than retained.</x:v>
      </x:c>
    </x:row>
    <x:row r="105" ht="26.399999618530273" hidden="0" customHeight="1">
      <x:c r="A105" s="90" t="str">
        <x:v>D — Gem-Mint Only</x:v>
      </x:c>
      <x:c r="B105" s="86" t="n">
        <x:f>'All Physical Cards'!A436</x:f>
        <x:v>435</x:v>
      </x:c>
      <x:c r="C105" s="50" t="str">
        <x:f>'All Physical Cards'!C436</x:f>
        <x:v>Barboach</x:v>
      </x:c>
      <x:c r="D105" s="50" t="str">
        <x:f>'All Physical Cards'!D436</x:f>
        <x:v>60/110</x:v>
      </x:c>
      <x:c r="E105" s="50" t="str">
        <x:f>'All Physical Cards'!E436</x:f>
        <x:v>EX Holon Phantoms</x:v>
      </x:c>
      <x:c r="F105" s="50" t="n">
        <x:f>'All Physical Cards'!F436</x:f>
        <x:v>2006</x:v>
      </x:c>
      <x:c r="G105" s="50" t="str">
        <x:f>'All Physical Cards'!G436</x:f>
        <x:v>Stamped Reverse Holo</x:v>
      </x:c>
      <x:c r="H105" s="50" t="str">
        <x:f>'All Physical Cards'!H436</x:f>
        <x:v>1 of 1</x:v>
      </x:c>
      <x:c r="I105" s="91" t="n">
        <x:f>'All Physical Cards'!I436</x:f>
        <x:v>7</x:v>
      </x:c>
      <x:c r="J105" s="91" t="n">
        <x:f>'All Physical Cards'!J436</x:f>
        <x:v>9.5</x:v>
      </x:c>
      <x:c r="K105" s="91" t="n">
        <x:f>'All Physical Cards'!K436</x:f>
        <x:v>8.25</x:v>
      </x:c>
      <x:c r="L105" s="91" t="n">
        <x:f>'All Physical Cards'!S436</x:f>
        <x:v>8.25</x:v>
      </x:c>
      <x:c r="M105" s="50" t="str">
        <x:f>'All Physical Cards'!P436</x:f>
        <x:v>Clean/NM benchmark unless noted</x:v>
      </x:c>
      <x:c r="N105" s="50" t="str">
        <x:v>Mostly a PSA 10 / gem-mint grading play; EX-era stamped foil; high grades are condition-sensitive; Older card; high-grade supply is naturally thinner</x:v>
      </x:c>
      <x:c r="O105" s="50" t="str">
        <x:v>Grade only if it looks essentially gem mint / PSA 10-caliber.</x:v>
      </x:c>
      <x:c r="P105" s="50" t="str">
        <x:v>Do not pay premium grading fees; keep only as a PSA 10 candidate.</x:v>
      </x:c>
      <x:c r="Q105" s="50" t="str">
        <x:v>Not inspected</x:v>
      </x:c>
      <x:c r="R105" s="50" t="str">
        <x:v>Undecided</x:v>
      </x:c>
      <x:c r="S105" s="50" t="str">
        <x:f>'All Physical Cards'!W436</x:f>
        <x:v>https://www.tcgplayer.com/categories/trading-collectible-card-games/pokemon/price-guides/holon-phantoms</x:v>
      </x:c>
      <x:c r="T105" s="115"/>
      <x:c r="U105" s="115"/>
      <x:c r="V105" s="115"/>
      <x:c r="W105" s="115"/>
      <x:c r="X105" s="20"/>
      <x:c r="Y105" s="20"/>
      <x:c r="Z105" s="20"/>
      <x:c r="AA105" s="20"/>
      <x:c r="AB105" s="20"/>
      <x:c r="AC105" s="20" t="str">
        <x:v>PriceCharting baseline retained. Exact PSA sales data were not sufficiently useful/available in the verification pass; no unrelated printing or variant was substituted.</x:v>
      </x:c>
      <x:c r="AD105" s="20" t="str">
        <x:v>https://www.pricecharting.com/game/pokemon-holon-phantoms/barboach-reverse-holo-60</x:v>
      </x:c>
      <x:c r="AE105" s="131"/>
      <x:c r="AF105" s="131"/>
      <x:c r="AG105" s="131"/>
      <x:c r="AH105" s="131"/>
      <x:c r="AI105" s="131"/>
      <x:c r="AJ105" s="61"/>
      <x:c r="AK105" s="61" t="n">
        <x:v>37.72</x:v>
      </x:c>
      <x:c r="AL105" s="61" t="n">
        <x:v>42.5</x:v>
      </x:c>
      <x:c r="AM105" s="61" t="n">
        <x:v>65.76</x:v>
      </x:c>
      <x:c r="AN105" s="61" t="n">
        <x:v>79</x:v>
      </x:c>
      <x:c r="AO105" s="61"/>
      <x:c r="AP105" s="61"/>
      <x:c r="AQ105" s="61"/>
      <x:c r="AR105" s="20" t="str">
        <x:v>PriceCharting baseline</x:v>
      </x:c>
      <x:c r="AS105" s="20" t="str">
        <x:v>PriceCharting grade value retained where an exact, sufficiently useful PSA sales cross-check was not found. No unrelated printing/variant was substituted.</x:v>
      </x:c>
      <x:c r="AT105" s="176"/>
      <x:c r="AU105" s="176"/>
      <x:c r="AV105" s="176"/>
      <x:c r="AW105" s="176"/>
      <x:c r="AX105" s="176"/>
      <x:c r="AY105" s="176"/>
      <x:c r="AZ105" s="20" t="str">
        <x:v>https://www.psacard.com/Pop</x:v>
      </x:c>
      <x:c r="BA105" s="20" t="str">
        <x:v>PSA-direct population for this exact printing/grade was not confidently resolved from PSA's accessible/indexed pages on 2026-08-17. Prior PriceCharting/Pikawiz population figures were removed rather than retained.</x:v>
      </x:c>
    </x:row>
    <x:row r="106" ht="26.399999618530273" hidden="0" customHeight="1">
      <x:c r="A106" s="90" t="str">
        <x:v>D — Gem-Mint Only</x:v>
      </x:c>
      <x:c r="B106" s="86" t="n">
        <x:f>'All Physical Cards'!A351</x:f>
        <x:v>350</x:v>
      </x:c>
      <x:c r="C106" s="50" t="str">
        <x:f>'All Physical Cards'!C351</x:f>
        <x:v>Charmeleon</x:v>
      </x:c>
      <x:c r="D106" s="50" t="str">
        <x:f>'All Physical Cards'!D351</x:f>
        <x:v>18/113</x:v>
      </x:c>
      <x:c r="E106" s="50" t="str">
        <x:f>'All Physical Cards'!E351</x:f>
        <x:v>Legendary Treasures</x:v>
      </x:c>
      <x:c r="F106" s="50" t="n">
        <x:f>'All Physical Cards'!F351</x:f>
        <x:v>2013</x:v>
      </x:c>
      <x:c r="G106" s="50" t="str">
        <x:f>'All Physical Cards'!G351</x:f>
        <x:v>Regular</x:v>
      </x:c>
      <x:c r="H106" s="50" t="str">
        <x:f>'All Physical Cards'!H351</x:f>
        <x:v>1 of 1</x:v>
      </x:c>
      <x:c r="I106" s="91" t="n">
        <x:f>'All Physical Cards'!I351</x:f>
        <x:v>7</x:v>
      </x:c>
      <x:c r="J106" s="91" t="n">
        <x:f>'All Physical Cards'!J351</x:f>
        <x:v>9</x:v>
      </x:c>
      <x:c r="K106" s="91" t="n">
        <x:f>'All Physical Cards'!K351</x:f>
        <x:v>8</x:v>
      </x:c>
      <x:c r="L106" s="91" t="n">
        <x:f>'All Physical Cards'!S351</x:f>
        <x:v>8</x:v>
      </x:c>
      <x:c r="M106" s="50" t="str">
        <x:f>'All Physical Cards'!P351</x:f>
        <x:v>Clean/NM benchmark unless noted</x:v>
      </x:c>
      <x:c r="N106" s="50" t="str">
        <x:v>Mostly a PSA 10 / gem-mint grading play; Popular Pokémon demand</x:v>
      </x:c>
      <x:c r="O106" s="50" t="str">
        <x:v>Grade only if it looks essentially gem mint / PSA 10-caliber.</x:v>
      </x:c>
      <x:c r="P106" s="50" t="str">
        <x:v>Do not pay premium grading fees; keep only as a PSA 10 candidate.</x:v>
      </x:c>
      <x:c r="Q106" s="50" t="str">
        <x:v>Not inspected</x:v>
      </x:c>
      <x:c r="R106" s="50" t="str">
        <x:v>Undecided</x:v>
      </x:c>
      <x:c r="S106" s="50" t="str">
        <x:f>'All Physical Cards'!W351</x:f>
        <x:v>https://www.tcgplayer.com/search/pokemon/legendary-treasures?productLineName=pokemon&amp;setName=legendary-treasures</x:v>
      </x:c>
      <x:c r="T106" s="115"/>
      <x:c r="U106" s="115"/>
      <x:c r="V106" s="115"/>
      <x:c r="W106" s="115"/>
      <x:c r="X106" s="20"/>
      <x:c r="Y106" s="20"/>
      <x:c r="Z106" s="20"/>
      <x:c r="AA106" s="20"/>
      <x:c r="AB106" s="20"/>
      <x:c r="AC106" s="20" t="str">
        <x:v>PriceCharting baseline retained. Exact PSA sales data were not sufficiently useful/available in the verification pass; no unrelated printing or variant was substituted.</x:v>
      </x:c>
      <x:c r="AD106" s="20" t="str">
        <x:v>https://www.pricecharting.com/game/pokemon-legendary-treasures/charmeleon-18</x:v>
      </x:c>
      <x:c r="AE106" s="131"/>
      <x:c r="AF106" s="131"/>
      <x:c r="AG106" s="131"/>
      <x:c r="AH106" s="131"/>
      <x:c r="AI106" s="131"/>
      <x:c r="AJ106" s="61"/>
      <x:c r="AK106" s="61" t="n">
        <x:v>7.5</x:v>
      </x:c>
      <x:c r="AL106" s="61" t="n">
        <x:v>19.33</x:v>
      </x:c>
      <x:c r="AM106" s="61" t="n">
        <x:v>21.2</x:v>
      </x:c>
      <x:c r="AN106" s="61" t="n">
        <x:v>86.85</x:v>
      </x:c>
      <x:c r="AO106" s="61"/>
      <x:c r="AP106" s="61"/>
      <x:c r="AQ106" s="61"/>
      <x:c r="AR106" s="20" t="str">
        <x:v>PriceCharting baseline</x:v>
      </x:c>
      <x:c r="AS106" s="20" t="str">
        <x:v>PriceCharting grade value retained where an exact, sufficiently useful PSA sales cross-check was not found. No unrelated printing/variant was substituted.</x:v>
      </x:c>
      <x:c r="AT106" s="176"/>
      <x:c r="AU106" s="176"/>
      <x:c r="AV106" s="176"/>
      <x:c r="AW106" s="176"/>
      <x:c r="AX106" s="176"/>
      <x:c r="AY106" s="176"/>
      <x:c r="AZ106" s="20" t="str">
        <x:v>https://www.psacard.com/Pop</x:v>
      </x:c>
      <x:c r="BA106" s="20" t="str">
        <x:v>PSA-direct population for this exact printing/grade was not confidently resolved from PSA's accessible/indexed pages on 2026-08-17. Prior PriceCharting/Pikawiz population figures were removed rather than retained.</x:v>
      </x:c>
    </x:row>
    <x:row r="107" ht="26.399999618530273" hidden="0" customHeight="1">
      <x:c r="A107" t="str">
        <x:v>A — Priority</x:v>
      </x:c>
      <x:c r="B107" t="n">
        <x:f>'All Physical Cards'!A656</x:f>
        <x:v>655</x:v>
      </x:c>
      <x:c r="C107" t="str">
        <x:f>'All Physical Cards'!C656</x:f>
        <x:v>Pikachu δ</x:v>
      </x:c>
      <x:c r="D107" t="str">
        <x:f>'All Physical Cards'!D656</x:f>
        <x:v>93/92</x:v>
      </x:c>
      <x:c r="E107" t="str">
        <x:f>'All Physical Cards'!E656</x:f>
        <x:v>EX Legend Maker</x:v>
      </x:c>
      <x:c r="F107" t="n">
        <x:f>'All Physical Cards'!F656</x:f>
        <x:v>2006</x:v>
      </x:c>
      <x:c r="G107" t="str">
        <x:f>'All Physical Cards'!G656</x:f>
        <x:v>Holo Secret Rare (Delta Species — Metal type)</x:v>
      </x:c>
      <x:c r="H107" t="str">
        <x:f>'All Physical Cards'!H656</x:f>
        <x:v>1 of 1</x:v>
      </x:c>
      <x:c r="I107" t="n">
        <x:f>'All Physical Cards'!I656</x:f>
        <x:v>180</x:v>
      </x:c>
      <x:c r="J107" t="n">
        <x:f>'All Physical Cards'!J656</x:f>
        <x:v>325</x:v>
      </x:c>
      <x:c r="K107" t="n">
        <x:f>'All Physical Cards'!K656</x:f>
        <x:v>252.5</x:v>
      </x:c>
      <x:c r="L107" t="n">
        <x:f>'All Physical Cards'!S656</x:f>
        <x:v>92.5</x:v>
      </x:c>
      <x:c r="M107" t="str">
        <x:f>'All Physical Cards'!P656</x:f>
        <x:v>Damaged / absolutely mangled per user</x:v>
      </x:c>
      <x:c r="N107" t="str">
        <x:v>High raw value; iconic Pikachu secret rare; older EX-era holo with major collector demand.</x:v>
      </x:c>
      <x:c r="O107" t="str">
        <x:v>Known severe condition issue — likely hold raw. Only reconsider grading if photos show the 'mangled' description is materially overstated.</x:v>
      </x:c>
      <x:c r="P107" t="str">
        <x:v>Do not prioritize for grading. Inspect only for authentication/low-grade economics after the cleaner candidates are done.</x:v>
      </x:c>
      <x:c r="Q107" t="str">
        <x:v>Not inspected</x:v>
      </x:c>
      <x:c r="R107" t="str">
        <x:v>Hold raw</x:v>
      </x:c>
      <x:c r="S107" t="str">
        <x:f>'All Physical Cards'!W656</x:f>
        <x:v>https://www.pricecharting.com/game/pokemon-legend-maker/pikachu-93</x:v>
      </x:c>
      <x:c r="T107"/>
      <x:c r="U107"/>
      <x:c r="V107"/>
      <x:c r="W107"/>
      <x:c r="X107"/>
      <x:c r="Y107" t="str">
        <x:v>Known damaged; exact grade not estimated without photos</x:v>
      </x:c>
      <x:c r="Z107"/>
      <x:c r="AA107" t="str">
        <x:v>User describes the card as absolutely mangled. No numeric grade assigned without photos; condition alone makes this a poor grading target despite the card's high clean value.</x:v>
      </x:c>
      <x:c r="AB107"/>
      <x:c r="AC107" t="str">
        <x:v>Reconciled grade value: PriceCharting baseline + exact PSA cert/sales-history cross-check where sufficiently useful. Recent PSA sale medians override PriceCharting when multiple exact sales were available; thin PSA data are flagged rather than extrapolated.</x:v>
      </x:c>
      <x:c r="AD107" t="str">
        <x:v>https://www.pricecharting.com/game/pokemon-legend-maker/pikachu-93</x:v>
      </x:c>
      <x:c r="AE107"/>
      <x:c r="AF107"/>
      <x:c r="AG107"/>
      <x:c r="AH107"/>
      <x:c r="AI107"/>
      <x:c r="AJ107"/>
      <x:c r="AK107" s="61" t="n">
        <x:v>155.5</x:v>
      </x:c>
      <x:c r="AL107" s="61" t="n">
        <x:v>609</x:v>
      </x:c>
      <x:c r="AM107" s="61" t="n">
        <x:v>1101.79</x:v>
      </x:c>
      <x:c r="AN107" s="61" t="n">
        <x:v>14100</x:v>
      </x:c>
      <x:c r="AO107" s="61"/>
      <x:c r="AP107" s="61"/>
      <x:c r="AQ107" s="61"/>
      <x:c r="AR107" s="20" t="str">
        <x:v>PSA sales verified — PSA 8/9</x:v>
      </x:c>
      <x:c r="AS107" s="20" t="str">
        <x:v>Exact EX Legend Maker #93. Recent PSA 8 median ~$609; PSA 9 median ~$1,101.79. PSA 7/10 retain PriceCharting due insufficient exact current PSA evidence. Sources: https://www.psacard.com/cert/68195344 and https://www.psacard.com/cert/51468342</x:v>
      </x:c>
      <x:c r="AT107" s="176"/>
      <x:c r="AU107" s="176"/>
      <x:c r="AV107" s="176"/>
      <x:c r="AW107" s="176"/>
      <x:c r="AX107" s="176"/>
      <x:c r="AY107" s="176"/>
      <x:c r="AZ107" s="20" t="str">
        <x:v>https://www.psacard.com/Pop</x:v>
      </x:c>
      <x:c r="BA107" s="20" t="str">
        <x:v>PSA-direct population for this exact printing/grade was not confidently resolved from PSA's accessible/indexed pages on 2026-08-17. Prior PriceCharting/Pikawiz population figures were removed rather than retained.</x:v>
      </x:c>
    </x:row>
    <x:row r="108" ht="26.399999618530273" hidden="0" customHeight="1">
      <x:c r="A108" t="str">
        <x:v>B — Strong</x:v>
      </x:c>
      <x:c r="B108" t="n">
        <x:f>'All Physical Cards'!A733</x:f>
        <x:v>732</x:v>
      </x:c>
      <x:c r="C108" t="str">
        <x:f>'All Physical Cards'!C733</x:f>
        <x:v>Unown (X)</x:v>
      </x:c>
      <x:c r="D108" t="str">
        <x:f>'All Physical Cards'!D733</x:f>
        <x:v>X/28</x:v>
      </x:c>
      <x:c r="E108" t="str">
        <x:f>'All Physical Cards'!E733</x:f>
        <x:v>EX Unseen Forces</x:v>
      </x:c>
      <x:c r="F108" t="n">
        <x:f>'All Physical Cards'!F733</x:f>
        <x:v>2005</x:v>
      </x:c>
      <x:c r="G108" t="str">
        <x:f>'All Physical Cards'!G733</x:f>
        <x:v>Holo Rare</x:v>
      </x:c>
      <x:c r="H108" t="str">
        <x:f>'All Physical Cards'!H733</x:f>
        <x:v>1 of 1</x:v>
      </x:c>
      <x:c r="I108" t="n">
        <x:f>'All Physical Cards'!I733</x:f>
        <x:v>35</x:v>
      </x:c>
      <x:c r="J108" t="n">
        <x:f>'All Physical Cards'!J733</x:f>
        <x:v>50</x:v>
      </x:c>
      <x:c r="K108" t="n">
        <x:f>'All Physical Cards'!K733</x:f>
        <x:v>42.5</x:v>
      </x:c>
      <x:c r="L108" t="n">
        <x:f>'All Physical Cards'!S733</x:f>
        <x:v>42.5</x:v>
      </x:c>
      <x:c r="M108" t="str">
        <x:f>'All Physical Cards'!P733</x:f>
        <x:v>Clean/NM benchmark unless noted</x:v>
      </x:c>
      <x:c r="N108" t="str">
        <x:v>Meaningful raw value; 2005 EX-era holo; scarce Unown subset printing with strong condition sensitivity.</x:v>
      </x:c>
      <x:c r="O108" t="str">
        <x:v>Submit if clearly NM/Mint with clean holo surface, sharp corners and minimal whitening.</x:v>
      </x:c>
      <x:c r="P108" t="str">
        <x:v>Good future Value-tier candidate after photo inspection.</x:v>
      </x:c>
      <x:c r="Q108" t="str">
        <x:v>Not inspected</x:v>
      </x:c>
      <x:c r="R108" t="str">
        <x:v>Undecided</x:v>
      </x:c>
      <x:c r="S108" t="str">
        <x:f>'All Physical Cards'!W733</x:f>
        <x:v>https://www.tcgplayer.com/search/all/product?q=Unown+X</x:v>
      </x:c>
      <x:c r="T108"/>
      <x:c r="U108"/>
      <x:c r="V108"/>
      <x:c r="W108"/>
      <x:c r="X108"/>
      <x:c r="Y108"/>
      <x:c r="Z108"/>
      <x:c r="AA108"/>
      <x:c r="AB108"/>
      <x:c r="AC108" t="str">
        <x:v>PriceCharting baseline retained. Exact PSA sales data were not sufficiently useful/available in the verification pass; no unrelated printing or variant was substituted.</x:v>
      </x:c>
      <x:c r="AD108" t="str">
        <x:v>https://www.pricecharting.com/game/pokemon-unseen-forces/unown-x</x:v>
      </x:c>
      <x:c r="AE108"/>
      <x:c r="AF108"/>
      <x:c r="AG108"/>
      <x:c r="AH108"/>
      <x:c r="AI108"/>
      <x:c r="AJ108"/>
      <x:c r="AK108" s="61"/>
      <x:c r="AL108" s="61"/>
      <x:c r="AM108" s="61" t="n">
        <x:v>35.83</x:v>
      </x:c>
      <x:c r="AN108" s="61" t="n">
        <x:v>170.07</x:v>
      </x:c>
      <x:c r="AO108" s="61"/>
      <x:c r="AP108" s="61"/>
      <x:c r="AQ108" s="61"/>
      <x:c r="AR108" s="20" t="str">
        <x:v>PriceCharting baseline</x:v>
      </x:c>
      <x:c r="AS108" s="20" t="str">
        <x:v>PriceCharting grade value retained where an exact, sufficiently useful PSA sales cross-check was not found. No unrelated printing/variant was substituted.</x:v>
      </x:c>
      <x:c r="AT108" s="176"/>
      <x:c r="AU108" s="176"/>
      <x:c r="AV108" s="176"/>
      <x:c r="AW108" s="176"/>
      <x:c r="AX108" s="176"/>
      <x:c r="AY108" s="176"/>
      <x:c r="AZ108" s="20" t="str">
        <x:v>https://www.psacard.com/Pop</x:v>
      </x:c>
      <x:c r="BA108" s="20" t="str">
        <x:v>PSA-direct population for this exact printing/grade was not confidently resolved from PSA's accessible/indexed pages on 2026-08-17. Prior PriceCharting/Pikawiz population figures were removed rather than retained.</x:v>
      </x:c>
    </x:row>
    <x:row r="109" ht="26.399999618530273" hidden="0" customHeight="1">
      <x:c r="A109" s="160" t="str">
        <x:v>D — Gem-Mint Only</x:v>
      </x:c>
      <x:c r="B109" s="160" t="n">
        <x:f>'All Physical Cards'!A734</x:f>
        <x:v>733</x:v>
      </x:c>
      <x:c r="C109" s="160" t="str">
        <x:f>'All Physical Cards'!C734</x:f>
        <x:v>Latios</x:v>
      </x:c>
      <x:c r="D109" s="160" t="str">
        <x:f>'All Physical Cards'!D734</x:f>
        <x:v>10/20</x:v>
      </x:c>
      <x:c r="E109" s="160" t="str">
        <x:f>'All Physical Cards'!E734</x:f>
        <x:v>Dragon Vault</x:v>
      </x:c>
      <x:c r="F109" s="160" t="n">
        <x:f>'All Physical Cards'!F734</x:f>
        <x:v>2012</x:v>
      </x:c>
      <x:c r="G109" s="160" t="str">
        <x:f>'All Physical Cards'!G734</x:f>
        <x:v>Holo — Dragon Vault D.V. Stamp</x:v>
      </x:c>
      <x:c r="H109" s="160" t="str">
        <x:f>'All Physical Cards'!H734</x:f>
        <x:v>1 of 1</x:v>
      </x:c>
      <x:c r="I109" t="n">
        <x:f>'All Physical Cards'!I734</x:f>
        <x:v>6.15</x:v>
      </x:c>
      <x:c r="J109" t="n">
        <x:f>'All Physical Cards'!J734</x:f>
        <x:v>16.25</x:v>
      </x:c>
      <x:c r="K109" t="n">
        <x:f>'All Physical Cards'!K734</x:f>
        <x:v>11.2</x:v>
      </x:c>
      <x:c r="L109" t="n">
        <x:f>'All Physical Cards'!S734</x:f>
        <x:v>11.2</x:v>
      </x:c>
      <x:c r="M109" t="str">
        <x:f>'All Physical Cards'!P734</x:f>
        <x:v>Manual pre-grade: PSA 9 most likely</x:v>
      </x:c>
      <x:c r="N109" t="str">
        <x:v>Scarce Dragon Vault D.V. Stamp Latios; exact PSA 9 population is low and there are currently no PSA 10s higher on PSA. Strong grading candidate even without gem-mint certainty.</x:v>
      </x:c>
      <x:c r="O109" t="str">
        <x:v>Submit if PSA 8/9 economics work; no longer a gem-mint-only play.</x:v>
      </x:c>
      <x:c r="P109" t="str">
        <x:v>Grade candidate; standard/cheap PSA tier is appropriate.</x:v>
      </x:c>
      <x:c r="Q109" t="str">
        <x:v>PSA 9 most likely</x:v>
      </x:c>
      <x:c r="R109" t="str">
        <x:v>Grade — strong stamped candidate; value/submit as PSA 9 with PSA 8 fallback</x:v>
      </x:c>
      <x:c r="S109" t="str">
        <x:v>https://www.pricecharting.com/game/pokemon-dragon-vault/latios-stamped-10</x:v>
      </x:c>
      <x:c r="T109" t="str">
        <x:v>PSA 10 — centering app: 55/45 L-R and 51.6/48.4 T-B</x:v>
      </x:c>
      <x:c r="U109" t="str">
        <x:v>PSA 9 — small reverse corner touches; no crushed or meaningfully rounded corner</x:v>
      </x:c>
      <x:c r="V109" t="str">
        <x:v>PSA 9 — minor isolated reverse edge flecks/whitening; no swelling, ruffling, or structural deformation</x:v>
      </x:c>
      <x:c r="W109" t="str">
        <x:v>PSA 9–10 — holo/surface looks clean in the angled shots; no obvious scratch, dent, crease, or major scuff</x:v>
      </x:c>
      <x:c r="X109" t="str">
        <x:v>10 / 9 / 9 / 9–10 → PSA 9 most likely</x:v>
      </x:c>
      <x:c r="Y109" t="str">
        <x:v>PSA 9 most likely; PSA 8 fallback</x:v>
      </x:c>
      <x:c r="Z109" t="str">
        <x:v>PSA 7 ~2% | PSA 8 ~39% | PSA 9 ~58% | PSA 10 ~1%</x:v>
      </x:c>
      <x:c r="AA109" t="str">
        <x:v>Latios 10/20 Dragon Vault D.V. Stamp. Front centering measured 55/45 L-R and 51.6/48.4 T-B, which is PSA-10-level under PSA's approximate front guideline. Reverse corners/edges show only small, isolated touches rather than the cumulative wear seen on weaker copies. Surface appears clean in the supplied angles. Exact PSA 9 cert 74766129 is a useful visual comp and has similarly strong presentation. PSA currently reports 27 examples at PSA 9 and 0 higher, so a 10 is modeled as a very small outcome.</x:v>
      </x:c>
      <x:c r="AB109" t="str">
        <x:v>$135–$521 current PSA 8–9 reference range</x:v>
      </x:c>
      <x:c r="AC109" t="str">
        <x:v>Sparse PSA 9 sales → PSA Estimate; lower grades use PriceCharting fallback; no PSA 10 market exists yet.</x:v>
      </x:c>
      <x:c r="AD109" t="str">
        <x:v>https://www.pricecharting.com/game/pokemon-dragon-vault/latios-stamped-10</x:v>
      </x:c>
      <x:c r="AE109" t="n">
        <x:v>0</x:v>
      </x:c>
      <x:c r="AF109" t="n">
        <x:v>0.02</x:v>
      </x:c>
      <x:c r="AG109" t="n">
        <x:v>0.39</x:v>
      </x:c>
      <x:c r="AH109" t="n">
        <x:v>0.58</x:v>
      </x:c>
      <x:c r="AI109" t="n">
        <x:v>0.01</x:v>
      </x:c>
      <x:c r="AJ109" t="n">
        <x:v>20.01</x:v>
      </x:c>
      <x:c r="AK109" s="61" t="n">
        <x:v>113.6</x:v>
      </x:c>
      <x:c r="AL109" s="61" t="n">
        <x:v>135.4</x:v>
      </x:c>
      <x:c r="AM109" s="61" t="n">
        <x:v>521</x:v>
      </x:c>
      <x:c r="AN109" s="61" t="n">
        <x:v>0</x:v>
      </x:c>
      <x:c r="AO109" s="61" t="n">
        <x:f>SUMPRODUCT(AE109:AI109,AJ109:AN109)+IFERROR(BB109*BC109,0)</x:f>
        <x:v>357.25800000000004</x:v>
      </x:c>
      <x:c r="AP109" s="61" t="n">
        <x:v>11.2</x:v>
      </x:c>
      <x:c r="AQ109" s="61" t="n">
        <x:f>AO109-AP109</x:f>
        <x:v>346.05800000000005</x:v>
      </x:c>
      <x:c r="AR109" s="20" t="str">
        <x:v>PSA Estimate — PSA 9; PriceCharting fallback — 6/7/8; PSA 10 N/A</x:v>
      </x:c>
      <x:c r="AS109" s="20" t="str">
        <x:v>Exact Dragon Vault D.V. Stamp Latios #10. PSA 9 has only two 2026 direct sales ($611.67 and $171.54), so it does not meet the 3-sale median rule; PSA's current estimate of $521 is used instead. PSA 6–8 retain PriceCharting fallback values. PSA currently shows Pop Higher 0 above PSA 9, so PSA 10 has no current market comp and remains N/A/$0 for EV rather than inventing a value.</x:v>
      </x:c>
      <x:c r="AT109" s="176"/>
      <x:c r="AU109" s="176"/>
      <x:c r="AV109" s="176"/>
      <x:c r="AW109" s="176" t="n">
        <x:v>27</x:v>
      </x:c>
      <x:c r="AX109" s="176" t="n">
        <x:v>0</x:v>
      </x:c>
      <x:c r="AY109" s="176"/>
      <x:c r="AZ109" s="20" t="str">
        <x:v>https://www.psacard.com/cert/59774901/psa | https://www.pricecharting.com/game/pokemon-dragon-vault/latios-stamped-10</x:v>
      </x:c>
      <x:c r="BA109" s="20" t="str">
        <x:v>Graded-value hierarchy applied 2026-08-18: PSA recent exact-grade sales median when 3+ usable comps; otherwise PSA Estimate; otherwise PriceCharting fallback.</x:v>
      </x:c>
      <x:c r="BB109" t="n">
        <x:v>0</x:v>
      </x:c>
      <x:c r="BC109" t="n">
        <x:v>16</x:v>
      </x:c>
    </x:row>
    <x:row r="110" ht="26.399999618530273" hidden="0" customHeight="1">
      <x:c r="A110" s="160" t="str">
        <x:v>A — Priority</x:v>
      </x:c>
      <x:c r="B110" s="160" t="n">
        <x:f>'All Physical Cards'!A722</x:f>
        <x:v>721</x:v>
      </x:c>
      <x:c r="C110" s="160" t="str">
        <x:f>'All Physical Cards'!C722</x:f>
        <x:v>Rayquaza</x:v>
      </x:c>
      <x:c r="D110" s="160" t="str">
        <x:f>'All Physical Cards'!D722</x:f>
        <x:v>11/20</x:v>
      </x:c>
      <x:c r="E110" s="160" t="str">
        <x:f>'All Physical Cards'!E722</x:f>
        <x:v>Dragon Vault</x:v>
      </x:c>
      <x:c r="F110" s="160" t="n">
        <x:f>'All Physical Cards'!F722</x:f>
        <x:v>2012</x:v>
      </x:c>
      <x:c r="G110" s="160" t="str">
        <x:f>'All Physical Cards'!G722</x:f>
        <x:v>Dragon Vault stamped blister promo</x:v>
      </x:c>
      <x:c r="H110" s="160" t="str">
        <x:f>'All Physical Cards'!H722</x:f>
        <x:v>2 of 2</x:v>
      </x:c>
      <x:c r="I110" t="n">
        <x:f>'All Physical Cards'!I722</x:f>
        <x:v>75</x:v>
      </x:c>
      <x:c r="J110" t="n">
        <x:f>'All Physical Cards'!J722</x:f>
        <x:v>95</x:v>
      </x:c>
      <x:c r="K110" t="n">
        <x:f>'All Physical Cards'!K722</x:f>
        <x:v>85</x:v>
      </x:c>
      <x:c r="L110" t="n">
        <x:f>'All Physical Cards'!S722</x:f>
        <x:v>85</x:v>
      </x:c>
      <x:c r="M110" t="str">
        <x:v>Reverse edge chipping/nicks; no moisture swelling; faint minor surface mark above 40</x:v>
      </x:c>
      <x:c r="N110" t="str">
        <x:v>High raw value; stamped blister promo; Rayquaza demand; major grading upside if the cleaner copy presents well.</x:v>
      </x:c>
      <x:c r="O110" t="str">
        <x:v>Cleaner copy per user — inspect closely. Submit if roughly PSA 8/9+ caliber; 9/10 is ideal.</x:v>
      </x:c>
      <x:c r="P110" t="str">
        <x:v>Pre-grade now; prioritize for the first future PSA Value/special submission.</x:v>
      </x:c>
      <x:c r="Q110" t="str">
        <x:v>PSA 8 most likely; PSA 9 meaningful upside</x:v>
      </x:c>
      <x:c r="R110" t="str">
        <x:v>Yes — grade; submit/valuate expecting PSA 8, with PSA 9 upside.</x:v>
      </x:c>
      <x:c r="S110" t="str">
        <x:f>'All Physical Cards'!W722</x:f>
        <x:v>https://www.tcgplayer.com/search/pokemon/product?q=Rayquaza+%5BStamped%5D+%2311+Dragon+Vault</x:v>
      </x:c>
      <x:c r="T110" s="20" t="str">
        <x:v>PSA 10 — measured front centering 53.8/46.2 L-R and 50.3/49.7 T-B</x:v>
      </x:c>
      <x:c r="U110" s="20" t="str">
        <x:v>PSA 8–9 — minor reverse corner wear/nick, especially near the upper-right transition; no crushed corner</x:v>
      </x:c>
      <x:c r="V110" s="20" t="str">
        <x:v>PSA 8 — multiple small white chips/nicks along the reverse right edge plus smaller bottom-edge touches; no moisture swelling/ruffling like copy #1</x:v>
      </x:c>
      <x:c r="W110" s="20" t="str">
        <x:v>PSA 9 — front surface presents well; faint mark above the '40' looks more like a minor scuff/print line than a deep gouged scratch in the available angles</x:v>
      </x:c>
      <x:c r="X110" s="20" t="str">
        <x:v>10 / 8–9 / 8 / 9 → PSA 8 most likely</x:v>
      </x:c>
      <x:c r="Y110" s="20" t="str">
        <x:v>PSA 8 most likely</x:v>
      </x:c>
      <x:c r="Z110" s="20" t="str">
        <x:v>PSA 7 ~8% | PSA 8 ~62% | PSA 9 ~29% | PSA 10 ~1%</x:v>
      </x:c>
      <x:c r="AA110" s="20" t="str">
        <x:v>Rayquaza 11/20 stamped copy #2 of 2. This is the non-moisture-damaged copy. Centering is excellent at 53.8/46.2 L-R and 50.3/49.7 T-B. Main limiter is cumulative reverse edge chipping/nicking, especially the right edge and smaller bottom-edge touches. A faint line above the 40 is treated as a minor surface scuff/print line unless a later shallow-light photo proves it is a groove.</x:v>
      </x:c>
      <x:c r="AB110" s="20" t="str">
        <x:v>PSA 8 baseline; PSA 9 upside</x:v>
      </x:c>
      <x:c r="AC110" s="20" t="str">
        <x:v>PSA recent exact-grade sales medians used for 8/9; unresolved grades remain PriceCharting fallbacks.</x:v>
      </x:c>
      <x:c r="AD110" s="20" t="str">
        <x:v>https://www.pricecharting.com/game/pokemon-dragon-vault/rayquaza-stamped-11</x:v>
      </x:c>
      <x:c r="AE110" s="20" t="n">
        <x:v>0</x:v>
      </x:c>
      <x:c r="AF110" s="20" t="n">
        <x:v>0.08</x:v>
      </x:c>
      <x:c r="AG110" s="20" t="n">
        <x:v>0.62</x:v>
      </x:c>
      <x:c r="AH110" s="20" t="n">
        <x:v>0.29</x:v>
      </x:c>
      <x:c r="AI110" s="20" t="n">
        <x:v>0.01</x:v>
      </x:c>
      <x:c r="AJ110" s="20" t="n">
        <x:v>74</x:v>
      </x:c>
      <x:c r="AK110" s="153" t="n">
        <x:v>92.79</x:v>
      </x:c>
      <x:c r="AL110" s="153" t="n">
        <x:v>855</x:v>
      </x:c>
      <x:c r="AM110" s="153" t="n">
        <x:v>1575</x:v>
      </x:c>
      <x:c r="AN110" s="153" t="n">
        <x:v>1490.5</x:v>
      </x:c>
      <x:c r="AO110" s="20" t="n">
        <x:f>SUMPRODUCT(AE110:AI110,AJ110:AN110)+IFERROR(BB110*BC110,0)</x:f>
        <x:v>1009.1781999999998</x:v>
      </x:c>
      <x:c r="AP110" s="20" t="n">
        <x:f>K110</x:f>
        <x:v>85</x:v>
      </x:c>
      <x:c r="AQ110" s="20" t="n">
        <x:f>AO110-AP110</x:f>
        <x:v>924.1781999999998</x:v>
      </x:c>
      <x:c r="AR110" s="20" t="str">
        <x:v>PSA direct medians — PSA 8/9; PriceCharting fallback — 6/7/10</x:v>
      </x:c>
      <x:c r="AS110" s="20" t="str">
        <x:v>Exact Dragon Vault D.V. Stamp #11. PSA 8 latest five direct sales: $1,200, $1,200, $855, $700, $440 → median $855. PSA 9 latest five direct sales: $3,100, $3,000, $1,575, $1,429.80, $798.88 → median $1,575. PSA 6, PSA 7 and PSA 10 do not have enough current direct PSA sales for the rule, so the existing PriceCharting values remain fallbacks. PSA 10 is extremely thin (population 3), so its fallback value is especially low-confidence.</x:v>
      </x:c>
      <x:c r="AT110" s="176"/>
      <x:c r="AU110" s="176" t="n">
        <x:v>70</x:v>
      </x:c>
      <x:c r="AV110" s="176" t="n">
        <x:v>114</x:v>
      </x:c>
      <x:c r="AW110" s="176" t="n">
        <x:v>51</x:v>
      </x:c>
      <x:c r="AX110" s="176" t="n">
        <x:v>3</x:v>
      </x:c>
      <x:c r="AY110" s="176"/>
      <x:c r="AZ110" s="20" t="str">
        <x:v>https://www.psacard.com/cert/68450279/psa | https://www.psacard.com/cert/72377430/psa | https://www.pricecharting.com/game/pokemon-dragon-vault/rayquaza-stamped-11</x:v>
      </x:c>
      <x:c r="BA110" s="20" t="str">
        <x:v>Graded-value hierarchy applied 2026-08-18: PSA recent exact-grade sales median when 3+ usable comps; otherwise PSA Estimate; otherwise PriceCharting fallback.</x:v>
      </x:c>
      <x:c r="BB110" t="n">
        <x:v>0</x:v>
      </x:c>
      <x:c r="BC110" t="n">
        <x:v>26.24</x:v>
      </x:c>
    </x:row>
    <x:row r="111">
      <x:c r="A111" s="173" t="str">
        <x:v>D — Gem-Mint Only</x:v>
      </x:c>
      <x:c r="B111" s="173" t="n">
        <x:f>'All Physical Cards'!A771</x:f>
        <x:v>770</x:v>
      </x:c>
      <x:c r="C111" s="173" t="str">
        <x:f>'All Physical Cards'!C771</x:f>
        <x:v>Samurott</x:v>
      </x:c>
      <x:c r="D111" s="173" t="str">
        <x:f>'All Physical Cards'!D771</x:f>
        <x:v>41/149</x:v>
      </x:c>
      <x:c r="E111" s="173" t="str">
        <x:f>'All Physical Cards'!E771</x:f>
        <x:v>Boundaries Crossed</x:v>
      </x:c>
      <x:c r="F111" s="173" t="n">
        <x:f>'All Physical Cards'!F771</x:f>
        <x:v>2012</x:v>
      </x:c>
      <x:c r="G111" s="173" t="str">
        <x:f>'All Physical Cards'!G771</x:f>
        <x:v>Holo Rare (standard set printing)</x:v>
      </x:c>
      <x:c r="H111" s="173" t="str">
        <x:f>'All Physical Cards'!H771</x:f>
        <x:v>1 of 1</x:v>
      </x:c>
      <x:c r="I111" t="n">
        <x:f>'All Physical Cards'!I771</x:f>
        <x:v>1.5</x:v>
      </x:c>
      <x:c r="J111" t="n">
        <x:f>'All Physical Cards'!J771</x:f>
        <x:v>2.25</x:v>
      </x:c>
      <x:c r="K111" t="n">
        <x:f>'All Physical Cards'!K771</x:f>
        <x:v>1.875</x:v>
      </x:c>
      <x:c r="L111" t="n">
        <x:f>'All Physical Cards'!S771</x:f>
        <x:v>1.875</x:v>
      </x:c>
      <x:c r="M111" t="str">
        <x:f>'All Physical Cards'!P771</x:f>
        <x:v>Clean/NM benchmark unless noted</x:v>
      </x:c>
      <x:c r="N111" t="str">
        <x:v>Low raw value but unusually large PSA 10 premium for the standard Boundaries Crossed holo; grading only makes sense if it is genuinely gem-mint.</x:v>
      </x:c>
      <x:c r="O111" t="str">
        <x:v>Grade only if it looks essentially gem mint / PSA 10-caliber, with exceptionally clean holo surface and edges.</x:v>
      </x:c>
      <x:c r="P111" t="str">
        <x:v>Do not pay premium grading fees; keep only as a PSA 10 candidate.</x:v>
      </x:c>
      <x:c r="Q111" t="str">
        <x:v>Not inspected</x:v>
      </x:c>
      <x:c r="R111" t="str">
        <x:v>Undecided</x:v>
      </x:c>
      <x:c r="S111" t="str">
        <x:f>'All Physical Cards'!W771</x:f>
        <x:v>https://www.tcgplayer.com/search/pokemon/product?q=Samurott+Boundaries+Crossed+41</x:v>
      </x:c>
      <x:c r="T111" s="20"/>
      <x:c r="U111" s="20"/>
      <x:c r="V111" s="20"/>
      <x:c r="W111" s="20"/>
      <x:c r="X111" s="20"/>
      <x:c r="Y111" s="20"/>
      <x:c r="Z111" s="20"/>
      <x:c r="AA111" s="20"/>
      <x:c r="AB111" s="20"/>
      <x:c r="AC111" s="20" t="str">
        <x:v>PriceCharting grade guide used as the current baseline for the standard Boundaries Crossed holo. The PSA 10 market is extremely thin: PriceCharting currently estimates ~$315.61 and shows a $500 PSA 10 sale on 2026-01-22. This is a PSA-10-only grading play; grades 8–9 add little value.</x:v>
      </x:c>
      <x:c r="AD111" s="20" t="str">
        <x:v>https://www.pricecharting.com/game/pokemon-boundaries-crossed/samurott-41</x:v>
      </x:c>
      <x:c r="AE111" s="20"/>
      <x:c r="AF111" s="20"/>
      <x:c r="AG111" s="20"/>
      <x:c r="AH111" s="20"/>
      <x:c r="AI111" s="20"/>
      <x:c r="AJ111" s="153" t="n">
        <x:v>3.58</x:v>
      </x:c>
      <x:c r="AK111" s="153"/>
      <x:c r="AL111" s="153" t="n">
        <x:v>5.5</x:v>
      </x:c>
      <x:c r="AM111" s="153" t="n">
        <x:v>5.5</x:v>
      </x:c>
      <x:c r="AN111" s="153" t="n">
        <x:v>315.61</x:v>
      </x:c>
      <x:c r="AO111" s="20"/>
      <x:c r="AP111" s="20"/>
      <x:c r="AQ111" s="20"/>
      <x:c r="AR111" s="20" t="str">
        <x:v>PSA exact item verified</x:v>
      </x:c>
      <x:c r="AS111" s="20" t="str">
        <x:v>PSA has a separate exact item page for 2012 Boundaries Crossed Samurott-Holo #41. PSA's current indexed page did not expose grade-by-grade population counts in the retrieved text, so no population numbers were inferred.</x:v>
      </x:c>
      <x:c r="AT111" s="20"/>
      <x:c r="AU111" s="20"/>
      <x:c r="AV111" s="20"/>
      <x:c r="AW111" s="20"/>
      <x:c r="AX111" s="20"/>
      <x:c r="AY111" s="20"/>
      <x:c r="AZ111" s="20" t="str">
        <x:v>https://www.psacard.com/spec/psa/2599490</x:v>
      </x:c>
      <x:c r="BA111" s="20" t="str">
        <x:v>Exact PSA item: 2012 Pokemon Black &amp; White Boundaries Crossed Samurott-Holo #41. Grade-by-grade population counts were not directly exposed in the PSA page retrieved on 2026-08-17, so cells remain blank rather than using third-party counts.</x:v>
      </x:c>
    </x:row>
    <x:row r="112">
      <x:c r="A112" s="173" t="str">
        <x:v>B — Strong</x:v>
      </x:c>
      <x:c r="B112" s="173" t="n">
        <x:f>'All Physical Cards'!A772</x:f>
        <x:v>771</x:v>
      </x:c>
      <x:c r="C112" s="173" t="str">
        <x:f>'All Physical Cards'!C772</x:f>
        <x:v>Blastoise</x:v>
      </x:c>
      <x:c r="D112" s="173" t="str">
        <x:f>'All Physical Cards'!D772</x:f>
        <x:v>31/149</x:v>
      </x:c>
      <x:c r="E112" s="173" t="str">
        <x:f>'All Physical Cards'!E772</x:f>
        <x:v>Boundaries Crossed</x:v>
      </x:c>
      <x:c r="F112" s="173" t="n">
        <x:f>'All Physical Cards'!F772</x:f>
        <x:v>2012</x:v>
      </x:c>
      <x:c r="G112" s="173" t="str">
        <x:f>'All Physical Cards'!G772</x:f>
        <x:v>Holo Rare (standard set printing)</x:v>
      </x:c>
      <x:c r="H112" s="173" t="str">
        <x:f>'All Physical Cards'!H772</x:f>
        <x:v>1 of 1</x:v>
      </x:c>
      <x:c r="I112" t="n">
        <x:f>'All Physical Cards'!I772</x:f>
        <x:v>20</x:v>
      </x:c>
      <x:c r="J112" t="n">
        <x:f>'All Physical Cards'!J772</x:f>
        <x:v>23</x:v>
      </x:c>
      <x:c r="K112" t="n">
        <x:f>'All Physical Cards'!K772</x:f>
        <x:v>21.5</x:v>
      </x:c>
      <x:c r="L112" t="n">
        <x:f>'All Physical Cards'!S772</x:f>
        <x:v>21.5</x:v>
      </x:c>
      <x:c r="M112" t="str">
        <x:f>'All Physical Cards'!P772</x:f>
        <x:v>Clean/NM benchmark unless noted</x:v>
      </x:c>
      <x:c r="N112" t="str">
        <x:v>Strong grading upside; iconic Blastoise; standard set holo; PSA 10 population is very low.</x:v>
      </x:c>
      <x:c r="O112" t="str">
        <x:v>Inspect closely. Submit if clearly NM/Mint; PSA 9/10 is where the economics become compelling.</x:v>
      </x:c>
      <x:c r="P112" t="str">
        <x:v>Pre-grade now; good future Value-tier candidate after photo inspection.</x:v>
      </x:c>
      <x:c r="Q112" t="str">
        <x:v>Not inspected</x:v>
      </x:c>
      <x:c r="R112" t="str">
        <x:v>Undecided</x:v>
      </x:c>
      <x:c r="S112" t="str">
        <x:f>'All Physical Cards'!W772</x:f>
        <x:v>https://www.tcgplayer.com/product/83896/pokemon-boundaries-crossed-blastoise</x:v>
      </x:c>
      <x:c r="T112" s="20"/>
      <x:c r="U112" s="20"/>
      <x:c r="V112" s="20"/>
      <x:c r="W112" s="20"/>
      <x:c r="X112" s="20"/>
      <x:c r="Y112" s="20"/>
      <x:c r="Z112" s="20"/>
      <x:c r="AA112" s="20"/>
      <x:c r="AB112" s="20"/>
      <x:c r="AC112" s="20" t="str">
        <x:v>PSA-direct valuation basis where available. PSA's Boundaries Crossed price guide lists Blastoise-Holo #31 at 40+ (PSA 8), 160+ (PSA 9), and 350+ (PSA 10); current PSA cert data puts the PSA 10 estimate around $1,402 with recent PSA 10 sales roughly $750–$1,000. PSA 10 value is therefore set to the current PSA estimate; PSA 8/9 use the official PSA guide floors pending a deeper recent-sales reconciliation.</x:v>
      </x:c>
      <x:c r="AD112" s="20" t="str">
        <x:v>https://www.psacard.com/spec/psa/2058963</x:v>
      </x:c>
      <x:c r="AE112" s="20"/>
      <x:c r="AF112" s="20"/>
      <x:c r="AG112" s="20"/>
      <x:c r="AH112" s="20"/>
      <x:c r="AI112" s="20"/>
      <x:c r="AJ112" s="153"/>
      <x:c r="AK112" s="153"/>
      <x:c r="AL112" s="153" t="n">
        <x:v>40</x:v>
      </x:c>
      <x:c r="AM112" s="153" t="n">
        <x:v>160</x:v>
      </x:c>
      <x:c r="AN112" s="153" t="n">
        <x:v>1402</x:v>
      </x:c>
      <x:c r="AO112" s="20"/>
      <x:c r="AP112" s="20"/>
      <x:c r="AQ112" s="20"/>
      <x:c r="AR112" s="20" t="str">
        <x:v>PSA exact item verified</x:v>
      </x:c>
      <x:c r="AS112" s="20" t="str">
        <x:v>Exact PSA item: 2012 Pokemon Black &amp; White Boundaries Crossed Blastoise-Holo #31. Current PSA GEM MT 10 population is 15 with Pop Higher 0; PSA estimate is about $1,402.</x:v>
      </x:c>
      <x:c r="AT112" s="20"/>
      <x:c r="AU112" s="20"/>
      <x:c r="AV112" s="20"/>
      <x:c r="AW112" s="20"/>
      <x:c r="AX112" s="20" t="n">
        <x:v>15</x:v>
      </x:c>
      <x:c r="AY112" s="20"/>
      <x:c r="AZ112" s="20" t="str">
        <x:v>https://www.psacard.com/cert/65751781</x:v>
      </x:c>
      <x:c r="BA112" s="20" t="str">
        <x:v>PSA-direct exact printing. GEM MT 10 population = 15, Pop Higher = 0. PSA 6–9 counts were not directly exposed in the retrieved PSA pages, so those cells remain blank rather than using third-party figures.</x:v>
      </x:c>
    </x:row>
    <x:row r="113">
      <x:c r="A113" t="str">
        <x:v>D — Gem-Mint Only</x:v>
      </x:c>
      <x:c r="B113" t="n">
        <x:f>'All Physical Cards'!A780</x:f>
        <x:v>780</x:v>
      </x:c>
      <x:c r="C113" t="str">
        <x:f>'All Physical Cards'!C780</x:f>
        <x:v>Latias</x:v>
      </x:c>
      <x:c r="D113" t="str">
        <x:f>'All Physical Cards'!D780</x:f>
        <x:v>9/20</x:v>
      </x:c>
      <x:c r="E113" t="str">
        <x:f>'All Physical Cards'!E780</x:f>
        <x:v>Dragon Vault</x:v>
      </x:c>
      <x:c r="F113" t="n">
        <x:f>'All Physical Cards'!F780</x:f>
        <x:v>2012</x:v>
      </x:c>
      <x:c r="G113" t="str">
        <x:f>'All Physical Cards'!G780</x:f>
        <x:v>Holo</x:v>
      </x:c>
      <x:c r="H113" t="str">
        <x:f>'All Physical Cards'!H780</x:f>
        <x:v>3 of 3</x:v>
      </x:c>
      <x:c r="I113" t="n">
        <x:f>'All Physical Cards'!I780</x:f>
        <x:v>13</x:v>
      </x:c>
      <x:c r="J113" t="n">
        <x:f>'All Physical Cards'!J780</x:f>
        <x:v>19</x:v>
      </x:c>
      <x:c r="K113" t="n">
        <x:f>'All Physical Cards'!K780</x:f>
        <x:v>16</x:v>
      </x:c>
      <x:c r="L113" t="n">
        <x:f>'All Physical Cards'!S780</x:f>
        <x:v>16</x:v>
      </x:c>
      <x:c r="M113" t="str">
        <x:f>'All Physical Cards'!P780</x:f>
        <x:v>Very clean / mock graded from photos</x:v>
      </x:c>
      <x:c r="N113" t="str">
        <x:v>Moderate raw value; economics depend on a high grade; Holo surface quality matters heavily; Popular Pokémon demand</x:v>
      </x:c>
      <x:c r="O113" t="str">
        <x:v>Grade only if it looks essentially gem mint / PSA 10-caliber.</x:v>
      </x:c>
      <x:c r="P113" t="str">
        <x:v>Do not pay premium grading fees; keep only as a PSA 10 candidate.</x:v>
      </x:c>
      <x:c r="Q113" t="str">
        <x:v>PSA 9 most likely; PSA 8 downside; PSA 10 small upside</x:v>
      </x:c>
      <x:c r="R113" t="str">
        <x:v>Grade candidate — wait for cheap PSA tier</x:v>
      </x:c>
      <x:c r="S113" t="n">
        <x:f>'All Physical Cards'!W780</x:f>
        <x:v>0</x:v>
      </x:c>
      <x:c r="T113" s="20" t="str">
        <x:v>PSA 9 — front measured 58/42 L-R and 46/54 T-B; back measured 47/53 L-R and 54/46 T-B</x:v>
      </x:c>
      <x:c r="U113" s="20" t="str">
        <x:v>PSA 9 — corners appear sharp with no meaningful whitening/rounding visible</x:v>
      </x:c>
      <x:c r="V113" s="20" t="str">
        <x:v>PSA 9 — edges look very clean with minimal visible whitening</x:v>
      </x:c>
      <x:c r="W113" s="20" t="str">
        <x:v>PSA 9–10 — multiple angled-light photos show no obvious scratches, dents, impressions or notable holo scuffing</x:v>
      </x:c>
      <x:c r="X113" s="20" t="str">
        <x:v>9 / 9 / 9 / 9–10 → PSA 9 clear favorite</x:v>
      </x:c>
      <x:c r="Y113" s="20" t="str">
        <x:v>PSA 9 clear favorite; PSA 10 limited mainly by front centering</x:v>
      </x:c>
      <x:c r="Z113" s="20" t="str">
        <x:v>PSA 8 ~18% | PSA 9 ~78% | PSA 10 ~4%</x:v>
      </x:c>
      <x:c r="AA113" s="20" t="str">
        <x:v>Pictured Latias 9/20 regular Dragon Vault holo, copy 3 of 3. Centering-app measurements: front 58/42 left-right and 46/54 top-bottom; back 47/53 left-right and 54/46 top-bottom. Front centering is outside a clean PSA-10 centering read but fits PSA-9 territory. Corners and edges appear very clean. Multiple unsleeved angled-light surface photos show no obvious scratch, dent, crease, impression or major holo scuff. Surface remains photo-based, but confidence is materially higher than with sleeved cards.</x:v>
      </x:c>
      <x:c r="AB113" s="20" t="str">
        <x:v>PSA 9 is the expected outcome; PSA 10 is a small upside outcome</x:v>
      </x:c>
      <x:c r="AC113" s="20" t="str">
        <x:v>PSA recent exact-grade sales median used for PSA 9; PriceCharting fills unresolved grades.</x:v>
      </x:c>
      <x:c r="AD113" s="20" t="str">
        <x:v>https://www.pricecharting.com/game/pokemon-dragon-vault/latias-9</x:v>
      </x:c>
      <x:c r="AE113" s="177" t="n">
        <x:v>0</x:v>
      </x:c>
      <x:c r="AF113" s="177" t="n">
        <x:v>0</x:v>
      </x:c>
      <x:c r="AG113" s="177" t="n">
        <x:v>0.18</x:v>
      </x:c>
      <x:c r="AH113" s="177" t="n">
        <x:v>0.78</x:v>
      </x:c>
      <x:c r="AI113" s="177" t="n">
        <x:v>0.04</x:v>
      </x:c>
      <x:c r="AJ113" s="20"/>
      <x:c r="AK113" s="20" t="n">
        <x:v>9.29</x:v>
      </x:c>
      <x:c r="AL113" s="20" t="n">
        <x:v>40</x:v>
      </x:c>
      <x:c r="AM113" s="20" t="n">
        <x:v>79.99</x:v>
      </x:c>
      <x:c r="AN113" s="20" t="n">
        <x:v>1925</x:v>
      </x:c>
      <x:c r="AO113" s="153" t="n">
        <x:f>SUMPRODUCT(AE113:AI113,AJ113:AN113)+IFERROR(BB113*BC113,0)</x:f>
        <x:v>146.5922</x:v>
      </x:c>
      <x:c r="AP113" s="153" t="n">
        <x:f>K113</x:f>
        <x:v>16</x:v>
      </x:c>
      <x:c r="AQ113" s="153" t="n">
        <x:f>AO113-AP113</x:f>
        <x:v>130.5922</x:v>
      </x:c>
      <x:c r="AR113" s="20" t="str">
        <x:v>PSA direct median — PSA 9; PriceCharting fallback — 7/8/10</x:v>
      </x:c>
      <x:c r="AS113" s="20" t="str">
        <x:v>Exact regular Dragon Vault Latias-Holo #9. PSA 9 latest five direct sales on PSA: $152.50, $65.00, $104.99, $79.99, $70.00 → median $79.99. PSA 8/10 do not have 3 sufficiently recent direct PSA sales located in the current pass, so the existing PriceCharting values remain fallbacks for those grades.</x:v>
      </x:c>
      <x:c r="AT113" s="20"/>
      <x:c r="AU113" s="20"/>
      <x:c r="AV113" s="20"/>
      <x:c r="AW113" s="20"/>
      <x:c r="AX113" s="20"/>
      <x:c r="AY113" s="20"/>
      <x:c r="AZ113" s="20" t="str">
        <x:v>https://www.psacard.com/cert/113159375/psa | https://www.pricecharting.com/game/pokemon-dragon-vault/latias-9</x:v>
      </x:c>
      <x:c r="BA113" s="20" t="str">
        <x:v>Graded-value hierarchy applied 2026-08-18: PSA recent exact-grade sales median when 3+ usable comps; otherwise PSA Estimate; otherwise PriceCharting fallback.</x:v>
      </x:c>
    </x:row>
    <x:row r="114">
      <x:c r="A114" t="str">
        <x:v>B — Strong</x:v>
      </x:c>
      <x:c r="B114" t="n">
        <x:f>'All Physical Cards'!A831</x:f>
        <x:v>831</x:v>
      </x:c>
      <x:c r="C114" t="str">
        <x:f>'All Physical Cards'!C831</x:f>
        <x:v>Pikachu</x:v>
      </x:c>
      <x:c r="D114" t="str">
        <x:f>'All Physical Cards'!D831</x:f>
        <x:v>HGSS03</x:v>
      </x:c>
      <x:c r="E114" t="str">
        <x:f>'All Physical Cards'!E831</x:f>
        <x:v>HGSS Black Star Promos</x:v>
      </x:c>
      <x:c r="F114" t="n">
        <x:f>'All Physical Cards'!F831</x:f>
        <x:v>2010</x:v>
      </x:c>
      <x:c r="G114" t="str">
        <x:f>'All Physical Cards'!G831</x:f>
        <x:v>Holo Promo</x:v>
      </x:c>
      <x:c r="H114" t="str">
        <x:f>'All Physical Cards'!H831</x:f>
        <x:v>2 of 2</x:v>
      </x:c>
      <x:c r="I114" t="n">
        <x:f>'All Physical Cards'!I831</x:f>
        <x:v>27</x:v>
      </x:c>
      <x:c r="J114" t="n">
        <x:f>'All Physical Cards'!J831</x:f>
        <x:v>46</x:v>
      </x:c>
      <x:c r="K114" t="n">
        <x:f>'All Physical Cards'!K831</x:f>
        <x:v>36.5</x:v>
      </x:c>
      <x:c r="L114" t="n">
        <x:f>'All Physical Cards'!S831</x:f>
        <x:v>36.5</x:v>
      </x:c>
      <x:c r="M114" t="str">
        <x:f>'All Physical Cards'!P831</x:f>
        <x:v>Condition not yet reviewed</x:v>
      </x:c>
      <x:c r="N114" t="str">
        <x:v>Meaningful raw value; grade can add collector premium; Holo surface quality matters heavily; Popular Pokémon demand</x:v>
      </x:c>
      <x:c r="O114" t="str">
        <x:v>Submit if clearly NM/Mint with no meaningful whitening, scratches, dents or centering issue.</x:v>
      </x:c>
      <x:c r="P114" t="str">
        <x:v>Good future Value-tier candidate after photo inspection.</x:v>
      </x:c>
      <x:c r="Q114" t="str">
        <x:v>Not inspected — new physical copy from updated Collection.pdf</x:v>
      </x:c>
      <x:c r="R114" t="str">
        <x:v>Undecided</x:v>
      </x:c>
      <x:c r="S114" t="str">
        <x:f>'All Physical Cards'!W831</x:f>
        <x:v>https://www.pricecharting.com/game/pokemon-promo/pikachu-hgss03</x:v>
      </x:c>
      <x:c r="T114" s="20"/>
      <x:c r="U114" s="20"/>
      <x:c r="V114" s="20"/>
      <x:c r="W114" s="20"/>
      <x:c r="X114" s="20"/>
      <x:c r="Y114" s="20"/>
      <x:c r="Z114" s="20"/>
      <x:c r="AA114" s="20"/>
      <x:c r="AB114" s="20"/>
      <x:c r="AC114" s="20" t="str">
        <x:v>PriceCharting baseline retained. Exact PSA sales data were not sufficiently useful/available in the verification pass; no unrelated printing or variant was substituted.</x:v>
      </x:c>
      <x:c r="AD114" s="20" t="str">
        <x:v>https://www.pricecharting.com/game/pokemon-promo/pikachu-hgss03</x:v>
      </x:c>
      <x:c r="AE114" s="20"/>
      <x:c r="AF114" s="20"/>
      <x:c r="AG114" s="20"/>
      <x:c r="AH114" s="20"/>
      <x:c r="AI114" s="20"/>
      <x:c r="AJ114" s="20"/>
      <x:c r="AK114" s="20" t="n">
        <x:v>79.54</x:v>
      </x:c>
      <x:c r="AL114" s="20" t="n">
        <x:v>102.5</x:v>
      </x:c>
      <x:c r="AM114" s="20" t="n">
        <x:v>199</x:v>
      </x:c>
      <x:c r="AN114" s="20" t="n">
        <x:v>8224.74</x:v>
      </x:c>
      <x:c r="AO114" s="20"/>
      <x:c r="AP114" s="20"/>
      <x:c r="AQ114" s="20"/>
      <x:c r="AR114" s="20" t="str">
        <x:v>PriceCharting baseline</x:v>
      </x:c>
      <x:c r="AS114" s="20" t="str">
        <x:v>PriceCharting grade value retained where an exact, sufficiently useful PSA sales cross-check was not found. No unrelated printing/variant was substituted.</x:v>
      </x:c>
      <x:c r="AT114" s="20"/>
      <x:c r="AU114" s="20"/>
      <x:c r="AV114" s="20" t="n">
        <x:v>444</x:v>
      </x:c>
      <x:c r="AW114" s="20" t="n">
        <x:v>250</x:v>
      </x:c>
      <x:c r="AX114" s="20" t="n">
        <x:v>35</x:v>
      </x:c>
      <x:c r="AY114" s="20"/>
      <x:c r="AZ114" s="20" t="str">
        <x:v>https://www.psacard.com/cert/146263899 | https://www.psacard.com/cert/72007117/psa</x:v>
      </x:c>
      <x:c r="BA114" s="20" t="str">
        <x:v>PSA direct cert populations for PSA 8/9; PSA 10 from PSA 9 Pop Higher. PSA 6/7 not directly resolved.</x:v>
      </x:c>
    </x:row>
    <x:row r="115">
      <x:c r="A115" t="str">
        <x:v>B — Strong</x:v>
      </x:c>
      <x:c r="B115" t="n">
        <x:f>'All Physical Cards'!A832</x:f>
        <x:v>832</x:v>
      </x:c>
      <x:c r="C115" t="str">
        <x:f>'All Physical Cards'!C832</x:f>
        <x:v>Mareep</x:v>
      </x:c>
      <x:c r="D115" t="str">
        <x:f>'All Physical Cards'!D832</x:f>
        <x:v>67/109</x:v>
      </x:c>
      <x:c r="E115" t="str">
        <x:f>'All Physical Cards'!E832</x:f>
        <x:v>EX Team Rocket Returns</x:v>
      </x:c>
      <x:c r="F115" t="n">
        <x:f>'All Physical Cards'!F832</x:f>
        <x:v>2004</x:v>
      </x:c>
      <x:c r="G115" t="str">
        <x:f>'All Physical Cards'!G832</x:f>
        <x:v>Stamped Reverse Holo</x:v>
      </x:c>
      <x:c r="H115" t="str">
        <x:f>'All Physical Cards'!H832</x:f>
        <x:v>2 of 2</x:v>
      </x:c>
      <x:c r="I115" t="n">
        <x:f>'All Physical Cards'!I832</x:f>
        <x:v>26</x:v>
      </x:c>
      <x:c r="J115" t="n">
        <x:f>'All Physical Cards'!J832</x:f>
        <x:v>50.5</x:v>
      </x:c>
      <x:c r="K115" t="n">
        <x:f>'All Physical Cards'!K832</x:f>
        <x:v>38.25</x:v>
      </x:c>
      <x:c r="L115" t="n">
        <x:f>'All Physical Cards'!S832</x:f>
        <x:v>38.25</x:v>
      </x:c>
      <x:c r="M115" t="str">
        <x:f>'All Physical Cards'!P832</x:f>
        <x:v>Condition not yet reviewed</x:v>
      </x:c>
      <x:c r="N115" t="str">
        <x:v>Meaningful raw value; grade can add collector premium; EX-era stamped foil; high grades are condition-sensitive; Older card; high-grade supply is naturally thinner</x:v>
      </x:c>
      <x:c r="O115" t="str">
        <x:v>Submit if clearly NM/Mint with no meaningful whitening, scratches, dents or centering issue.</x:v>
      </x:c>
      <x:c r="P115" t="str">
        <x:v>Good future Value-tier candidate after photo inspection.</x:v>
      </x:c>
      <x:c r="Q115" t="str">
        <x:v>Not inspected — new physical copy from updated Collection.pdf</x:v>
      </x:c>
      <x:c r="R115" t="str">
        <x:v>Undecided</x:v>
      </x:c>
      <x:c r="S115" t="str">
        <x:f>'All Physical Cards'!W832</x:f>
        <x:v>https://www.pricecharting.com/game/pokemon-team-rocket-returns/mareep-reverse-holo-67</x:v>
      </x:c>
      <x:c r="T115" s="20"/>
      <x:c r="U115" s="20"/>
      <x:c r="V115" s="20"/>
      <x:c r="W115" s="20"/>
      <x:c r="X115" s="20"/>
      <x:c r="Y115" s="20"/>
      <x:c r="Z115" s="20"/>
      <x:c r="AA115" s="20"/>
      <x:c r="AB115" s="20"/>
      <x:c r="AC115" s="20" t="str">
        <x:v>PriceCharting baseline retained. Exact PSA sales data were not sufficiently useful/available in the verification pass; no unrelated printing or variant was substituted.</x:v>
      </x:c>
      <x:c r="AD115" s="20" t="str">
        <x:v>https://www.pricecharting.com/game/pokemon-team-rocket-returns/mareep-reverse-holo-67</x:v>
      </x:c>
      <x:c r="AE115" s="20"/>
      <x:c r="AF115" s="20"/>
      <x:c r="AG115" s="20"/>
      <x:c r="AH115" s="20"/>
      <x:c r="AI115" s="20"/>
      <x:c r="AJ115" s="20"/>
      <x:c r="AK115" s="20" t="n">
        <x:v>56.99</x:v>
      </x:c>
      <x:c r="AL115" s="20" t="n">
        <x:v>86</x:v>
      </x:c>
      <x:c r="AM115" s="20" t="n">
        <x:v>105</x:v>
      </x:c>
      <x:c r="AN115" s="20" t="n">
        <x:v>1723.83</x:v>
      </x:c>
      <x:c r="AO115" s="20"/>
      <x:c r="AP115" s="20"/>
      <x:c r="AQ115" s="20"/>
      <x:c r="AR115" s="20" t="str">
        <x:v>PriceCharting baseline</x:v>
      </x:c>
      <x:c r="AS115" s="20" t="str">
        <x:v>PriceCharting grade value retained where an exact, sufficiently useful PSA sales cross-check was not found. No unrelated printing/variant was substituted.</x:v>
      </x:c>
      <x:c r="AT115" s="20"/>
      <x:c r="AU115" s="20"/>
      <x:c r="AV115" s="20"/>
      <x:c r="AW115" s="20"/>
      <x:c r="AX115" s="20"/>
      <x:c r="AY115" s="20"/>
      <x:c r="AZ115" s="20" t="str">
        <x:v>https://www.psacard.com/Pop</x:v>
      </x:c>
      <x:c r="BA115" s="20" t="str">
        <x:v>PSA-direct population for this exact printing/grade was not confidently resolved from PSA's accessible/indexed pages on 2026-08-17. Prior PriceCharting/Pikawiz population figures were removed rather than retained.</x:v>
      </x:c>
    </x:row>
    <x:row r="116">
      <x:c r="A116" t="str">
        <x:v>B — Strong</x:v>
      </x:c>
      <x:c r="B116" t="n">
        <x:f>'All Physical Cards'!A833</x:f>
        <x:v>833</x:v>
      </x:c>
      <x:c r="C116" t="str">
        <x:f>'All Physical Cards'!C833</x:f>
        <x:v>Chikorita δ</x:v>
      </x:c>
      <x:c r="D116" t="str">
        <x:f>'All Physical Cards'!D833</x:f>
        <x:v>44/101</x:v>
      </x:c>
      <x:c r="E116" t="str">
        <x:f>'All Physical Cards'!E833</x:f>
        <x:v>EX Dragon Frontiers</x:v>
      </x:c>
      <x:c r="F116" t="n">
        <x:f>'All Physical Cards'!F833</x:f>
        <x:v>2006</x:v>
      </x:c>
      <x:c r="G116" t="str">
        <x:f>'All Physical Cards'!G833</x:f>
        <x:v>Stamped Reverse Holo (Delta Species — Fighting type)</x:v>
      </x:c>
      <x:c r="H116" t="str">
        <x:f>'All Physical Cards'!H833</x:f>
        <x:v>2 of 2</x:v>
      </x:c>
      <x:c r="I116" t="n">
        <x:f>'All Physical Cards'!I833</x:f>
        <x:v>34</x:v>
      </x:c>
      <x:c r="J116" t="n">
        <x:f>'All Physical Cards'!J833</x:f>
        <x:v>44</x:v>
      </x:c>
      <x:c r="K116" t="n">
        <x:f>'All Physical Cards'!K833</x:f>
        <x:v>39</x:v>
      </x:c>
      <x:c r="L116" t="n">
        <x:f>'All Physical Cards'!S833</x:f>
        <x:v>39</x:v>
      </x:c>
      <x:c r="M116" t="str">
        <x:f>'All Physical Cards'!P833</x:f>
        <x:v>Condition not yet reviewed</x:v>
      </x:c>
      <x:c r="N116" t="str">
        <x:v>Meaningful raw value; grade can add collector premium; EX-era stamped foil; high grades are condition-sensitive; Older card; high-grade supply is naturally thinner</x:v>
      </x:c>
      <x:c r="O116" t="str">
        <x:v>Submit if clearly NM/Mint with no meaningful whitening, scratches, dents or centering issue.</x:v>
      </x:c>
      <x:c r="P116" t="str">
        <x:v>Good future Value-tier candidate after photo inspection.</x:v>
      </x:c>
      <x:c r="Q116" t="str">
        <x:v>Not inspected — new physical copy from updated Collection.pdf</x:v>
      </x:c>
      <x:c r="R116" t="str">
        <x:v>Undecided</x:v>
      </x:c>
      <x:c r="S116" t="str">
        <x:f>'All Physical Cards'!W833</x:f>
        <x:v>https://www.tcgplayer.com/product/84281/pokemon-ex-dragon-frontiers-chikorita-delta-species</x:v>
      </x:c>
      <x:c r="T116" s="20"/>
      <x:c r="U116" s="20"/>
      <x:c r="V116" s="20"/>
      <x:c r="W116" s="20"/>
      <x:c r="X116" s="20"/>
      <x:c r="Y116" s="20"/>
      <x:c r="Z116" s="20"/>
      <x:c r="AA116" s="20"/>
      <x:c r="AB116" s="20"/>
      <x:c r="AC116" s="20" t="str">
        <x:v>PriceCharting baseline retained. Exact PSA sales data were not sufficiently useful/available in the verification pass; no unrelated printing or variant was substituted.</x:v>
      </x:c>
      <x:c r="AD116" s="20" t="str">
        <x:v>https://www.pricecharting.com/game/pokemon-dragon-frontiers/chikorita-reverse-holo-44</x:v>
      </x:c>
      <x:c r="AE116" s="20"/>
      <x:c r="AF116" s="20"/>
      <x:c r="AG116" s="20"/>
      <x:c r="AH116" s="20"/>
      <x:c r="AI116" s="20"/>
      <x:c r="AJ116" s="20"/>
      <x:c r="AK116" s="20" t="n">
        <x:v>11.45</x:v>
      </x:c>
      <x:c r="AL116" s="20" t="n">
        <x:v>40.08</x:v>
      </x:c>
      <x:c r="AM116" s="20" t="n">
        <x:v>141.07</x:v>
      </x:c>
      <x:c r="AN116" s="20" t="n">
        <x:v>716.54</x:v>
      </x:c>
      <x:c r="AO116" s="20"/>
      <x:c r="AP116" s="20"/>
      <x:c r="AQ116" s="20"/>
      <x:c r="AR116" s="20" t="str">
        <x:v>PriceCharting baseline</x:v>
      </x:c>
      <x:c r="AS116" s="20" t="str">
        <x:v>PriceCharting grade value retained where an exact, sufficiently useful PSA sales cross-check was not found. No unrelated printing/variant was substituted.</x:v>
      </x:c>
      <x:c r="AT116" s="20" t="n">
        <x:v>4</x:v>
      </x:c>
      <x:c r="AU116" s="20" t="n">
        <x:v>7</x:v>
      </x:c>
      <x:c r="AV116" s="20" t="n">
        <x:v>34</x:v>
      </x:c>
      <x:c r="AW116" s="20" t="n">
        <x:v>84</x:v>
      </x:c>
      <x:c r="AX116" s="20" t="n">
        <x:v>22</x:v>
      </x:c>
      <x:c r="AY116" s="20" t="n">
        <x:v>155</x:v>
      </x:c>
      <x:c r="AZ116" s="20" t="str">
        <x:v>https://www.psacard.com/auctionprices/tcg-cards/2006-pokemon-ex-dragon-frontiers/CHIKORITA-REVERSE%20FOIL/2556321</x:v>
      </x:c>
      <x:c r="BA116" s="20" t="str">
        <x:v>PSA official Auction Prices/Population table for the exact stamped Reverse Foil printing. Total includes grades outside 6–10.</x:v>
      </x:c>
    </x:row>
    <x:row r="117">
      <x:c r="A117" t="str">
        <x:v>B — Strong</x:v>
      </x:c>
      <x:c r="B117" t="n">
        <x:f>'All Physical Cards'!A834</x:f>
        <x:v>834</x:v>
      </x:c>
      <x:c r="C117" t="str">
        <x:f>'All Physical Cards'!C834</x:f>
        <x:v>Cubone</x:v>
      </x:c>
      <x:c r="D117" t="str">
        <x:f>'All Physical Cards'!D834</x:f>
        <x:v>60/102</x:v>
      </x:c>
      <x:c r="E117" t="str">
        <x:f>'All Physical Cards'!E834</x:f>
        <x:v>Triumphant</x:v>
      </x:c>
      <x:c r="F117" t="n">
        <x:f>'All Physical Cards'!F834</x:f>
        <x:v>2010</x:v>
      </x:c>
      <x:c r="G117" t="str">
        <x:f>'All Physical Cards'!G834</x:f>
        <x:v>Reverse Holo</x:v>
      </x:c>
      <x:c r="H117" t="str">
        <x:f>'All Physical Cards'!H834</x:f>
        <x:v>2 of 2</x:v>
      </x:c>
      <x:c r="I117" t="n">
        <x:f>'All Physical Cards'!I834</x:f>
        <x:v>30</x:v>
      </x:c>
      <x:c r="J117" t="n">
        <x:f>'All Physical Cards'!J834</x:f>
        <x:v>50</x:v>
      </x:c>
      <x:c r="K117" t="n">
        <x:f>'All Physical Cards'!K834</x:f>
        <x:v>40</x:v>
      </x:c>
      <x:c r="L117" t="n">
        <x:f>'All Physical Cards'!S834</x:f>
        <x:v>40</x:v>
      </x:c>
      <x:c r="M117" t="str">
        <x:f>'All Physical Cards'!P834</x:f>
        <x:v>Condition not yet reviewed</x:v>
      </x:c>
      <x:c r="N117" t="str">
        <x:v>Meaningful raw value; grade can add collector premium; Older reverse holo; clean copies are condition-sensitive; Older card; high-grade supply is naturally thinner</x:v>
      </x:c>
      <x:c r="O117" t="str">
        <x:v>Submit if clearly NM/Mint with no meaningful whitening, scratches, dents or centering issue.</x:v>
      </x:c>
      <x:c r="P117" t="str">
        <x:v>Good future Value-tier candidate after photo inspection.</x:v>
      </x:c>
      <x:c r="Q117" t="str">
        <x:v>Not inspected — new physical copy from updated Collection.pdf</x:v>
      </x:c>
      <x:c r="R117" t="str">
        <x:v>Undecided</x:v>
      </x:c>
      <x:c r="S117" t="str">
        <x:f>'All Physical Cards'!W834</x:f>
        <x:v>https://www.pricecharting.com/game/pokemon-triumphant/cubone-reverse-holo-60</x:v>
      </x:c>
      <x:c r="T117" s="20"/>
      <x:c r="U117" s="20"/>
      <x:c r="V117" s="20"/>
      <x:c r="W117" s="20"/>
      <x:c r="X117" s="20"/>
      <x:c r="Y117" s="20"/>
      <x:c r="Z117" s="20"/>
      <x:c r="AA117" s="20"/>
      <x:c r="AB117" s="20"/>
      <x:c r="AC117" s="20" t="str">
        <x:v>PriceCharting baseline retained. Exact PSA sales data were not sufficiently useful/available in the verification pass; no unrelated printing or variant was substituted.</x:v>
      </x:c>
      <x:c r="AD117" s="20" t="str">
        <x:v>https://www.pricecharting.com/game/pokemon-triumphant/cubone-reverse-holo-60</x:v>
      </x:c>
      <x:c r="AE117" s="20"/>
      <x:c r="AF117" s="20"/>
      <x:c r="AG117" s="20"/>
      <x:c r="AH117" s="20"/>
      <x:c r="AI117" s="20"/>
      <x:c r="AJ117" s="20"/>
      <x:c r="AK117" s="20"/>
      <x:c r="AL117" s="20"/>
      <x:c r="AM117" s="20" t="n">
        <x:v>16.04</x:v>
      </x:c>
      <x:c r="AN117" s="20" t="n">
        <x:v>481.86</x:v>
      </x:c>
      <x:c r="AO117" s="20"/>
      <x:c r="AP117" s="20"/>
      <x:c r="AQ117" s="20"/>
      <x:c r="AR117" s="20" t="str">
        <x:v>PriceCharting baseline</x:v>
      </x:c>
      <x:c r="AS117" s="20" t="str">
        <x:v>PriceCharting grade value retained where an exact, sufficiently useful PSA sales cross-check was not found. No unrelated printing/variant was substituted.</x:v>
      </x:c>
      <x:c r="AT117" s="20"/>
      <x:c r="AU117" s="20"/>
      <x:c r="AV117" s="20"/>
      <x:c r="AW117" s="20"/>
      <x:c r="AX117" s="20"/>
      <x:c r="AY117" s="20"/>
      <x:c r="AZ117" s="20" t="str">
        <x:v>https://www.psacard.com/Pop</x:v>
      </x:c>
      <x:c r="BA117" s="20" t="str">
        <x:v>PSA-direct population for this exact printing/grade was not confidently resolved from PSA's accessible/indexed pages on 2026-08-17. Prior PriceCharting/Pikawiz population figures were removed rather than retained.</x:v>
      </x:c>
    </x:row>
    <x:row r="118">
      <x:c r="A118" t="str">
        <x:v>B — Strong</x:v>
      </x:c>
      <x:c r="B118" t="n">
        <x:f>'All Physical Cards'!A835</x:f>
        <x:v>835</x:v>
      </x:c>
      <x:c r="C118" t="str">
        <x:f>'All Physical Cards'!C835</x:f>
        <x:v>Absol G</x:v>
      </x:c>
      <x:c r="D118" t="str">
        <x:f>'All Physical Cards'!D835</x:f>
        <x:v>1/147</x:v>
      </x:c>
      <x:c r="E118" t="str">
        <x:f>'All Physical Cards'!E835</x:f>
        <x:v>Supreme Victors</x:v>
      </x:c>
      <x:c r="F118" t="n">
        <x:f>'All Physical Cards'!F835</x:f>
        <x:v>2009</x:v>
      </x:c>
      <x:c r="G118" t="str">
        <x:f>'All Physical Cards'!G835</x:f>
        <x:v>Reverse Holo</x:v>
      </x:c>
      <x:c r="H118" t="str">
        <x:f>'All Physical Cards'!H835</x:f>
        <x:v>2 of 2</x:v>
      </x:c>
      <x:c r="I118" t="n">
        <x:f>'All Physical Cards'!I835</x:f>
        <x:v>40</x:v>
      </x:c>
      <x:c r="J118" t="n">
        <x:f>'All Physical Cards'!J835</x:f>
        <x:v>45</x:v>
      </x:c>
      <x:c r="K118" t="n">
        <x:f>'All Physical Cards'!K835</x:f>
        <x:v>42.5</x:v>
      </x:c>
      <x:c r="L118" t="n">
        <x:f>'All Physical Cards'!S835</x:f>
        <x:v>42.5</x:v>
      </x:c>
      <x:c r="M118" t="str">
        <x:f>'All Physical Cards'!P835</x:f>
        <x:v>Condition not yet reviewed</x:v>
      </x:c>
      <x:c r="N118" t="str">
        <x:v>Meaningful raw value; grade can add collector premium; Older reverse holo; clean copies are condition-sensitive; Older card; high-grade supply is naturally thinner</x:v>
      </x:c>
      <x:c r="O118" t="str">
        <x:v>Submit if clearly NM/Mint with no meaningful whitening, scratches, dents or centering issue.</x:v>
      </x:c>
      <x:c r="P118" t="str">
        <x:v>Good future Value-tier candidate after photo inspection.</x:v>
      </x:c>
      <x:c r="Q118" t="str">
        <x:v>Not inspected — new physical copy from updated Collection.pdf</x:v>
      </x:c>
      <x:c r="R118" t="str">
        <x:v>Undecided</x:v>
      </x:c>
      <x:c r="S118" t="str">
        <x:f>'All Physical Cards'!W835</x:f>
        <x:v>https://www.tcgplayer.com/categories/trading-and-collectible-card-games/pokemon/price-guides/supreme-victors</x:v>
      </x:c>
      <x:c r="T118" s="20"/>
      <x:c r="U118" s="20"/>
      <x:c r="V118" s="20"/>
      <x:c r="W118" s="20"/>
      <x:c r="X118" s="20"/>
      <x:c r="Y118" s="20"/>
      <x:c r="Z118" s="20"/>
      <x:c r="AA118" s="20"/>
      <x:c r="AB118" s="20"/>
      <x:c r="AC118" s="20" t="str">
        <x:v>PriceCharting baseline retained. Exact PSA sales data were not sufficiently useful/available in the verification pass; no unrelated printing or variant was substituted.</x:v>
      </x:c>
      <x:c r="AD118" s="20" t="str">
        <x:v>https://www.pricecharting.com/game/pokemon-supreme-victors/absol-g-reverse-holo-1</x:v>
      </x:c>
      <x:c r="AE118" s="20"/>
      <x:c r="AF118" s="20"/>
      <x:c r="AG118" s="20"/>
      <x:c r="AH118" s="20"/>
      <x:c r="AI118" s="20"/>
      <x:c r="AJ118" s="20"/>
      <x:c r="AK118" s="20" t="n">
        <x:v>15.5</x:v>
      </x:c>
      <x:c r="AL118" s="20" t="n">
        <x:v>27</x:v>
      </x:c>
      <x:c r="AM118" s="20" t="n">
        <x:v>125</x:v>
      </x:c>
      <x:c r="AN118" s="20" t="n">
        <x:v>437.69</x:v>
      </x:c>
      <x:c r="AO118" s="20"/>
      <x:c r="AP118" s="20"/>
      <x:c r="AQ118" s="20"/>
      <x:c r="AR118" s="20" t="str">
        <x:v>PriceCharting baseline</x:v>
      </x:c>
      <x:c r="AS118" s="20" t="str">
        <x:v>PriceCharting grade value retained where an exact, sufficiently useful PSA sales cross-check was not found. No unrelated printing/variant was substituted.</x:v>
      </x:c>
      <x:c r="AT118" s="20"/>
      <x:c r="AU118" s="20"/>
      <x:c r="AV118" s="20" t="n">
        <x:v>20</x:v>
      </x:c>
      <x:c r="AW118" s="20"/>
      <x:c r="AX118" s="20"/>
      <x:c r="AY118" s="20"/>
      <x:c r="AZ118" s="20" t="str">
        <x:v>https://www.psacard.com/cert/60935070/psa</x:v>
      </x:c>
      <x:c r="BA118" s="20" t="str">
        <x:v>PSA direct cert population for PSA 8. Its Pop Higher is 30, but PSA 9/10 are left blank rather than splitting that figure without direct grade pages.</x:v>
      </x:c>
    </x:row>
    <x:row r="119">
      <x:c r="A119" t="str">
        <x:v>B — Strong</x:v>
      </x:c>
      <x:c r="B119" t="n">
        <x:f>'All Physical Cards'!A836</x:f>
        <x:v>836</x:v>
      </x:c>
      <x:c r="C119" t="str">
        <x:f>'All Physical Cards'!C836</x:f>
        <x:v>Ninetales</x:v>
      </x:c>
      <x:c r="D119" t="str">
        <x:f>'All Physical Cards'!D836</x:f>
        <x:v>17/95</x:v>
      </x:c>
      <x:c r="E119" t="str">
        <x:f>'All Physical Cards'!E836</x:f>
        <x:v>Call of Legends</x:v>
      </x:c>
      <x:c r="F119" t="n">
        <x:f>'All Physical Cards'!F836</x:f>
        <x:v>2011</x:v>
      </x:c>
      <x:c r="G119" t="str">
        <x:f>'All Physical Cards'!G836</x:f>
        <x:v>Reverse Holo</x:v>
      </x:c>
      <x:c r="H119" t="str">
        <x:f>'All Physical Cards'!H836</x:f>
        <x:v>2 of 2</x:v>
      </x:c>
      <x:c r="I119" t="n">
        <x:f>'All Physical Cards'!I836</x:f>
        <x:v>48</x:v>
      </x:c>
      <x:c r="J119" t="n">
        <x:f>'All Physical Cards'!J836</x:f>
        <x:v>63</x:v>
      </x:c>
      <x:c r="K119" t="n">
        <x:f>'All Physical Cards'!K836</x:f>
        <x:v>55.5</x:v>
      </x:c>
      <x:c r="L119" t="n">
        <x:f>'All Physical Cards'!S836</x:f>
        <x:v>55.5</x:v>
      </x:c>
      <x:c r="M119" t="str">
        <x:f>'All Physical Cards'!P836</x:f>
        <x:v>Condition not yet reviewed</x:v>
      </x:c>
      <x:c r="N119" t="str">
        <x:v>Meaningful raw value; grade can add collector premium; Older reverse holo; clean copies are condition-sensitive; Popular Pokémon demand</x:v>
      </x:c>
      <x:c r="O119" t="str">
        <x:v>Submit if clearly NM/Mint with no meaningful whitening, scratches, dents or centering issue.</x:v>
      </x:c>
      <x:c r="P119" t="str">
        <x:v>Good future Value-tier candidate after photo inspection.</x:v>
      </x:c>
      <x:c r="Q119" t="str">
        <x:v>Not inspected — new physical copy from updated Collection.pdf</x:v>
      </x:c>
      <x:c r="R119" t="str">
        <x:v>Undecided</x:v>
      </x:c>
      <x:c r="S119" t="str">
        <x:f>'All Physical Cards'!W836</x:f>
        <x:v>https://www.tcgplayer.com/categories/trading-and-collectible-card-games/pokemon/price-guides/call-of-legends</x:v>
      </x:c>
      <x:c r="T119" s="20"/>
      <x:c r="U119" s="20"/>
      <x:c r="V119" s="20"/>
      <x:c r="W119" s="20"/>
      <x:c r="X119" s="20"/>
      <x:c r="Y119" s="20"/>
      <x:c r="Z119" s="20"/>
      <x:c r="AA119" s="20"/>
      <x:c r="AB119" s="20"/>
      <x:c r="AC119" s="20" t="str">
        <x:v>PriceCharting baseline retained. Exact PSA sales data were not sufficiently useful/available in the verification pass; no unrelated printing or variant was substituted.</x:v>
      </x:c>
      <x:c r="AD119" s="20" t="str">
        <x:v>https://www.pricecharting.com/game/pokemon-call-of-legends/ninetales-reverse-holo-17</x:v>
      </x:c>
      <x:c r="AE119" s="20"/>
      <x:c r="AF119" s="20"/>
      <x:c r="AG119" s="20"/>
      <x:c r="AH119" s="20"/>
      <x:c r="AI119" s="20"/>
      <x:c r="AJ119" s="20"/>
      <x:c r="AK119" s="20" t="n">
        <x:v>39.08</x:v>
      </x:c>
      <x:c r="AL119" s="20" t="n">
        <x:v>48.99</x:v>
      </x:c>
      <x:c r="AM119" s="20" t="n">
        <x:v>48.99</x:v>
      </x:c>
      <x:c r="AN119" s="20" t="n">
        <x:v>386.77</x:v>
      </x:c>
      <x:c r="AO119" s="20"/>
      <x:c r="AP119" s="20"/>
      <x:c r="AQ119" s="20"/>
      <x:c r="AR119" s="20" t="str">
        <x:v>PriceCharting baseline</x:v>
      </x:c>
      <x:c r="AS119" s="20" t="str">
        <x:v>PriceCharting grade value retained where an exact, sufficiently useful PSA sales cross-check was not found. No unrelated printing/variant was substituted.</x:v>
      </x:c>
      <x:c r="AT119" s="20"/>
      <x:c r="AU119" s="20"/>
      <x:c r="AV119" s="20"/>
      <x:c r="AW119" s="20"/>
      <x:c r="AX119" s="20"/>
      <x:c r="AY119" s="20"/>
      <x:c r="AZ119" s="20" t="str">
        <x:v>https://www.psacard.com/Pop</x:v>
      </x:c>
      <x:c r="BA119" s="20" t="str">
        <x:v>PSA-direct population for this exact printing/grade was not confidently resolved from PSA's accessible/indexed pages on 2026-08-17. Prior PriceCharting/Pikawiz population figures were removed rather than retained.</x:v>
      </x:c>
    </x:row>
    <x:row r="120">
      <x:c r="A120" t="str">
        <x:v>B — Strong</x:v>
      </x:c>
      <x:c r="B120" t="n">
        <x:f>'All Physical Cards'!A837</x:f>
        <x:v>837</x:v>
      </x:c>
      <x:c r="C120" t="str">
        <x:f>'All Physical Cards'!C837</x:f>
        <x:v>Arcanine</x:v>
      </x:c>
      <x:c r="D120" t="str">
        <x:f>'All Physical Cards'!D837</x:f>
        <x:v>1/111</x:v>
      </x:c>
      <x:c r="E120" t="str">
        <x:f>'All Physical Cards'!E837</x:f>
        <x:v>Rising Rivals</x:v>
      </x:c>
      <x:c r="F120" t="n">
        <x:f>'All Physical Cards'!F837</x:f>
        <x:v>2009</x:v>
      </x:c>
      <x:c r="G120" t="str">
        <x:f>'All Physical Cards'!G837</x:f>
        <x:v>Holofoil (LV.53)</x:v>
      </x:c>
      <x:c r="H120" t="str">
        <x:f>'All Physical Cards'!H837</x:f>
        <x:v>2 of 2</x:v>
      </x:c>
      <x:c r="I120" t="n">
        <x:f>'All Physical Cards'!I837</x:f>
        <x:v>48</x:v>
      </x:c>
      <x:c r="J120" t="n">
        <x:f>'All Physical Cards'!J837</x:f>
        <x:v>65</x:v>
      </x:c>
      <x:c r="K120" t="n">
        <x:f>'All Physical Cards'!K837</x:f>
        <x:v>56.5</x:v>
      </x:c>
      <x:c r="L120" t="n">
        <x:f>'All Physical Cards'!S837</x:f>
        <x:v>56.5</x:v>
      </x:c>
      <x:c r="M120" t="str">
        <x:f>'All Physical Cards'!P837</x:f>
        <x:v>Condition not yet reviewed</x:v>
      </x:c>
      <x:c r="N120" t="str">
        <x:v>Meaningful raw value; grade can add collector premium; Holo surface quality matters heavily; Popular Pokémon demand</x:v>
      </x:c>
      <x:c r="O120" t="str">
        <x:v>Submit if clearly NM/Mint with no meaningful whitening, scratches, dents or centering issue.</x:v>
      </x:c>
      <x:c r="P120" t="str">
        <x:v>Good future Value-tier candidate after photo inspection.</x:v>
      </x:c>
      <x:c r="Q120" t="str">
        <x:v>Not inspected — new physical copy from updated Collection.pdf</x:v>
      </x:c>
      <x:c r="R120" t="str">
        <x:v>Undecided</x:v>
      </x:c>
      <x:c r="S120" t="str">
        <x:f>'All Physical Cards'!W837</x:f>
        <x:v>https://www.tcgplayer.com/product/83585/pokemon-rising-rivals-arcanine</x:v>
      </x:c>
      <x:c r="T120" s="20"/>
      <x:c r="U120" s="20"/>
      <x:c r="V120" s="20"/>
      <x:c r="W120" s="20"/>
      <x:c r="X120" s="20"/>
      <x:c r="Y120" s="20"/>
      <x:c r="Z120" s="20"/>
      <x:c r="AA120" s="20"/>
      <x:c r="AB120" s="20"/>
      <x:c r="AC120" s="20" t="str">
        <x:v>PriceCharting baseline retained. Exact PSA sales data were not sufficiently useful/available in the verification pass; no unrelated printing or variant was substituted.</x:v>
      </x:c>
      <x:c r="AD120" s="20" t="str">
        <x:v>https://www.pricecharting.com/game/pokemon-rising-rivals/arcanine-1</x:v>
      </x:c>
      <x:c r="AE120" s="20"/>
      <x:c r="AF120" s="20"/>
      <x:c r="AG120" s="20"/>
      <x:c r="AH120" s="20"/>
      <x:c r="AI120" s="20"/>
      <x:c r="AJ120" s="20"/>
      <x:c r="AK120" s="20" t="n">
        <x:v>34.36</x:v>
      </x:c>
      <x:c r="AL120" s="20" t="n">
        <x:v>106.28</x:v>
      </x:c>
      <x:c r="AM120" s="20" t="n">
        <x:v>152.25</x:v>
      </x:c>
      <x:c r="AN120" s="20" t="n">
        <x:v>510</x:v>
      </x:c>
      <x:c r="AO120" s="20"/>
      <x:c r="AP120" s="20"/>
      <x:c r="AQ120" s="20"/>
      <x:c r="AR120" s="20" t="str">
        <x:v>PriceCharting baseline</x:v>
      </x:c>
      <x:c r="AS120" s="20" t="str">
        <x:v>PriceCharting grade value retained where an exact, sufficiently useful PSA sales cross-check was not found. No unrelated printing/variant was substituted.</x:v>
      </x:c>
      <x:c r="AT120" s="20"/>
      <x:c r="AU120" s="20"/>
      <x:c r="AV120" s="20" t="n">
        <x:v>135</x:v>
      </x:c>
      <x:c r="AW120" s="20" t="n">
        <x:v>70</x:v>
      </x:c>
      <x:c r="AX120" s="20" t="n">
        <x:v>8</x:v>
      </x:c>
      <x:c r="AY120" s="20"/>
      <x:c r="AZ120" s="20" t="str">
        <x:v>https://www.psacard.com/cert/54530175/psa | https://www.psacard.com/cert/74647153/psa</x:v>
      </x:c>
      <x:c r="BA120" s="20" t="str">
        <x:v>PSA direct cert populations checked on 2026-08-17. PSA 10 from PSA 9 Pop Higher. PSA 6/7 not directly resolved.</x:v>
      </x:c>
    </x:row>
    <x:row r="121">
      <x:c r="A121" t="str">
        <x:v>B — Strong</x:v>
      </x:c>
      <x:c r="B121" t="n">
        <x:f>'All Physical Cards'!A838</x:f>
        <x:v>838</x:v>
      </x:c>
      <x:c r="C121" t="str">
        <x:f>'All Physical Cards'!C838</x:f>
        <x:v>Registeel-EX</x:v>
      </x:c>
      <x:c r="D121" t="str">
        <x:f>'All Physical Cards'!D838</x:f>
        <x:v>122/124</x:v>
      </x:c>
      <x:c r="E121" t="str">
        <x:f>'All Physical Cards'!E838</x:f>
        <x:v>Dragons Exalted</x:v>
      </x:c>
      <x:c r="F121" t="n">
        <x:f>'All Physical Cards'!F838</x:f>
        <x:v>2012</x:v>
      </x:c>
      <x:c r="G121" t="str">
        <x:f>'All Physical Cards'!G838</x:f>
        <x:v>Full Art Holo Ultra Rare</x:v>
      </x:c>
      <x:c r="H121" t="str">
        <x:f>'All Physical Cards'!H838</x:f>
        <x:v>2 of 2</x:v>
      </x:c>
      <x:c r="I121" t="n">
        <x:f>'All Physical Cards'!I838</x:f>
        <x:v>45</x:v>
      </x:c>
      <x:c r="J121" t="n">
        <x:f>'All Physical Cards'!J838</x:f>
        <x:v>70</x:v>
      </x:c>
      <x:c r="K121" t="n">
        <x:f>'All Physical Cards'!K838</x:f>
        <x:v>57.5</x:v>
      </x:c>
      <x:c r="L121" t="n">
        <x:f>'All Physical Cards'!S838</x:f>
        <x:v>57.5</x:v>
      </x:c>
      <x:c r="M121" t="str">
        <x:f>'All Physical Cards'!P838</x:f>
        <x:v>Condition not yet reviewed</x:v>
      </x:c>
      <x:c r="N121" t="str">
        <x:v>Meaningful raw value; grade can add collector premium; Full Art collector demand</x:v>
      </x:c>
      <x:c r="O121" t="str">
        <x:v>Submit if clearly NM/Mint with no meaningful whitening, scratches, dents or centering issue.</x:v>
      </x:c>
      <x:c r="P121" t="str">
        <x:v>Good future Value-tier candidate after photo inspection.</x:v>
      </x:c>
      <x:c r="Q121" t="str">
        <x:v>Not inspected — new physical copy from updated Collection.pdf</x:v>
      </x:c>
      <x:c r="R121" t="str">
        <x:v>Undecided</x:v>
      </x:c>
      <x:c r="S121" t="str">
        <x:f>'All Physical Cards'!W838</x:f>
        <x:v>https://www.pricecharting.com/game/pokemon-dragons-exalted/registeel-ex-122</x:v>
      </x:c>
      <x:c r="T121" s="20"/>
      <x:c r="U121" s="20"/>
      <x:c r="V121" s="20"/>
      <x:c r="W121" s="20"/>
      <x:c r="X121" s="20"/>
      <x:c r="Y121" s="20"/>
      <x:c r="Z121" s="20"/>
      <x:c r="AA121" s="20"/>
      <x:c r="AB121" s="20"/>
      <x:c r="AC121" s="20" t="str">
        <x:v>PriceCharting baseline retained. Exact PSA sales data were not sufficiently useful/available in the verification pass; no unrelated printing or variant was substituted.</x:v>
      </x:c>
      <x:c r="AD121" s="20" t="str">
        <x:v>https://www.pricecharting.com/game/pokemon-dragons-exalted/registeel-ex-122</x:v>
      </x:c>
      <x:c r="AE121" s="20"/>
      <x:c r="AF121" s="20"/>
      <x:c r="AG121" s="20"/>
      <x:c r="AH121" s="20"/>
      <x:c r="AI121" s="20"/>
      <x:c r="AJ121" s="20"/>
      <x:c r="AK121" s="20" t="n">
        <x:v>79.99</x:v>
      </x:c>
      <x:c r="AL121" s="20" t="n">
        <x:v>172.5</x:v>
      </x:c>
      <x:c r="AM121" s="20" t="n">
        <x:v>306.71</x:v>
      </x:c>
      <x:c r="AN121" s="20" t="n">
        <x:v>719.84</x:v>
      </x:c>
      <x:c r="AO121" s="20"/>
      <x:c r="AP121" s="20"/>
      <x:c r="AQ121" s="20"/>
      <x:c r="AR121" s="20" t="str">
        <x:v>PriceCharting baseline</x:v>
      </x:c>
      <x:c r="AS121" s="20" t="str">
        <x:v>PriceCharting grade value retained where an exact, sufficiently useful PSA sales cross-check was not found. No unrelated printing/variant was substituted.</x:v>
      </x:c>
      <x:c r="AT121" s="20" t="n">
        <x:v>22</x:v>
      </x:c>
      <x:c r="AU121" s="20" t="n">
        <x:v>45</x:v>
      </x:c>
      <x:c r="AV121" s="20" t="n">
        <x:v>106</x:v>
      </x:c>
      <x:c r="AW121" s="20" t="n">
        <x:v>93</x:v>
      </x:c>
      <x:c r="AX121" s="20" t="n">
        <x:v>12</x:v>
      </x:c>
      <x:c r="AY121" s="20" t="n">
        <x:v>295</x:v>
      </x:c>
      <x:c r="AZ121" s="20" t="str">
        <x:v>https://www.psacard.com/auctionprices/tcg-cards/pokemon-black-white-dragons-exalted/full-art-registeel-ex-holo/1910670</x:v>
      </x:c>
      <x:c r="BA121" s="20" t="str">
        <x:v>PSA official Auction Prices/Population table for the exact printing. Total includes grades outside 6–10.</x:v>
      </x:c>
    </x:row>
    <x:row r="122">
      <x:c r="A122" t="str">
        <x:v>A — Priority</x:v>
      </x:c>
      <x:c r="B122" t="n">
        <x:f>'All Physical Cards'!A839</x:f>
        <x:v>839</x:v>
      </x:c>
      <x:c r="C122" t="str">
        <x:f>'All Physical Cards'!C839</x:f>
        <x:v>Emolga</x:v>
      </x:c>
      <x:c r="D122" t="str">
        <x:f>'All Physical Cards'!D839</x:f>
        <x:v>RC23/RC25</x:v>
      </x:c>
      <x:c r="E122" t="str">
        <x:f>'All Physical Cards'!E839</x:f>
        <x:v>Legendary Treasures: Radiant Collection</x:v>
      </x:c>
      <x:c r="F122" t="n">
        <x:f>'All Physical Cards'!F839</x:f>
        <x:v>2013</x:v>
      </x:c>
      <x:c r="G122" t="str">
        <x:f>'All Physical Cards'!G839</x:f>
        <x:v>Full Art Holo Ultra Rare</x:v>
      </x:c>
      <x:c r="H122" t="str">
        <x:f>'All Physical Cards'!H839</x:f>
        <x:v>3 of 4</x:v>
      </x:c>
      <x:c r="I122" t="n">
        <x:f>'All Physical Cards'!I839</x:f>
        <x:v>45</x:v>
      </x:c>
      <x:c r="J122" t="n">
        <x:f>'All Physical Cards'!J839</x:f>
        <x:v>90</x:v>
      </x:c>
      <x:c r="K122" t="n">
        <x:f>'All Physical Cards'!K839</x:f>
        <x:v>67.5</x:v>
      </x:c>
      <x:c r="L122" t="n">
        <x:f>'All Physical Cards'!S839</x:f>
        <x:v>67.5</x:v>
      </x:c>
      <x:c r="M122" t="str">
        <x:f>'All Physical Cards'!P839</x:f>
        <x:v>Condition not yet reviewed</x:v>
      </x:c>
      <x:c r="N122" t="str">
        <x:v>Strong raw value with meaningful grading upside; Full Art collector demand</x:v>
      </x:c>
      <x:c r="O122" t="str">
        <x:v>Inspect closely. Submit if roughly PSA 8/9+ caliber; 9/10 is ideal.</x:v>
      </x:c>
      <x:c r="P122" t="str">
        <x:v>Pre-grade now; prioritize for the first future PSA Value/special submission.</x:v>
      </x:c>
      <x:c r="Q122" t="str">
        <x:v>Not inspected — new physical copy from updated Collection.pdf</x:v>
      </x:c>
      <x:c r="R122" t="str">
        <x:v>Undecided</x:v>
      </x:c>
      <x:c r="S122" t="str">
        <x:f>'All Physical Cards'!W839</x:f>
        <x:v>https://www.pricecharting.com/game/pokemon-legendary-treasures/emolga-rc23</x:v>
      </x:c>
      <x:c r="T122" s="20"/>
      <x:c r="U122" s="20"/>
      <x:c r="V122" s="20"/>
      <x:c r="W122" s="20"/>
      <x:c r="X122" s="20"/>
      <x:c r="Y122" s="20"/>
      <x:c r="Z122" s="20"/>
      <x:c r="AA122" s="20"/>
      <x:c r="AB122" s="20"/>
      <x:c r="AC122" s="20" t="str">
        <x:v>Reconciled grade value: PriceCharting baseline + exact PSA cert/sales-history cross-check where sufficiently useful. Recent PSA sale medians override PriceCharting when multiple exact sales were available; thin PSA data are flagged rather than extrapolated.</x:v>
      </x:c>
      <x:c r="AD122" s="20" t="str">
        <x:v>https://www.pricecharting.com/game/pokemon-legendary-treasures/emolga-rc23</x:v>
      </x:c>
      <x:c r="AE122" s="20"/>
      <x:c r="AF122" s="20"/>
      <x:c r="AG122" s="20"/>
      <x:c r="AH122" s="20"/>
      <x:c r="AI122" s="20"/>
      <x:c r="AJ122" s="20"/>
      <x:c r="AK122" s="20" t="n">
        <x:v>65</x:v>
      </x:c>
      <x:c r="AL122" s="20" t="n">
        <x:v>151.25</x:v>
      </x:c>
      <x:c r="AM122" s="20" t="n">
        <x:v>405</x:v>
      </x:c>
      <x:c r="AN122" s="20" t="n">
        <x:v>6999.99</x:v>
      </x:c>
      <x:c r="AO122" s="20"/>
      <x:c r="AP122" s="20"/>
      <x:c r="AQ122" s="20"/>
      <x:c r="AR122" s="20" t="str">
        <x:v>PSA sales verified — PSA 9/10</x:v>
      </x:c>
      <x:c r="AS122" s="20" t="str">
        <x:v>Exact Radiant Collection RC23. Recent PSA 9 median ~$405; PSA 10 median ~$6,999.99. Other grades retain PriceCharting. Sources: https://www.psacard.com/cert/70254743 and https://www.psacard.com/cert/59940931</x:v>
      </x:c>
      <x:c r="AT122" s="20"/>
      <x:c r="AU122" s="20" t="n">
        <x:v>450</x:v>
      </x:c>
      <x:c r="AV122" s="20"/>
      <x:c r="AW122" s="20" t="n">
        <x:v>251</x:v>
      </x:c>
      <x:c r="AX122" s="20" t="n">
        <x:v>45</x:v>
      </x:c>
      <x:c r="AY122" s="20"/>
      <x:c r="AZ122" s="20" t="str">
        <x:v>https://www.psacard.com/fr-CA/cert/129750453/psa | https://www.psacard.com/cert/70254743/psa</x:v>
      </x:c>
      <x:c r="BA122" s="20" t="str">
        <x:v>PSA direct cert populations for PSA 7 and 9; PSA 10 from PSA 9 Pop Higher. PSA 6/8 not directly resolved.</x:v>
      </x:c>
    </x:row>
    <x:row r="123">
      <x:c r="A123" t="str">
        <x:v>A — Priority</x:v>
      </x:c>
      <x:c r="B123" t="n">
        <x:f>'All Physical Cards'!A840</x:f>
        <x:v>840</x:v>
      </x:c>
      <x:c r="C123" t="str">
        <x:f>'All Physical Cards'!C840</x:f>
        <x:v>Emolga</x:v>
      </x:c>
      <x:c r="D123" t="str">
        <x:f>'All Physical Cards'!D840</x:f>
        <x:v>RC23/RC25</x:v>
      </x:c>
      <x:c r="E123" t="str">
        <x:f>'All Physical Cards'!E840</x:f>
        <x:v>Legendary Treasures: Radiant Collection</x:v>
      </x:c>
      <x:c r="F123" t="n">
        <x:f>'All Physical Cards'!F840</x:f>
        <x:v>2013</x:v>
      </x:c>
      <x:c r="G123" t="str">
        <x:f>'All Physical Cards'!G840</x:f>
        <x:v>Full Art Holo Ultra Rare</x:v>
      </x:c>
      <x:c r="H123" t="str">
        <x:f>'All Physical Cards'!H840</x:f>
        <x:v>4 of 4</x:v>
      </x:c>
      <x:c r="I123" t="n">
        <x:f>'All Physical Cards'!I840</x:f>
        <x:v>45</x:v>
      </x:c>
      <x:c r="J123" t="n">
        <x:f>'All Physical Cards'!J840</x:f>
        <x:v>90</x:v>
      </x:c>
      <x:c r="K123" t="n">
        <x:f>'All Physical Cards'!K840</x:f>
        <x:v>67.5</x:v>
      </x:c>
      <x:c r="L123" t="n">
        <x:f>'All Physical Cards'!S840</x:f>
        <x:v>67.5</x:v>
      </x:c>
      <x:c r="M123" t="str">
        <x:f>'All Physical Cards'!P840</x:f>
        <x:v>Condition not yet reviewed</x:v>
      </x:c>
      <x:c r="N123" t="str">
        <x:v>Strong raw value with meaningful grading upside; Full Art collector demand</x:v>
      </x:c>
      <x:c r="O123" t="str">
        <x:v>Inspect closely. Submit if roughly PSA 8/9+ caliber; 9/10 is ideal.</x:v>
      </x:c>
      <x:c r="P123" t="str">
        <x:v>Pre-grade now; prioritize for the first future PSA Value/special submission.</x:v>
      </x:c>
      <x:c r="Q123" t="str">
        <x:v>Not inspected — new physical copy from updated Collection.pdf</x:v>
      </x:c>
      <x:c r="R123" t="str">
        <x:v>Undecided</x:v>
      </x:c>
      <x:c r="S123" t="str">
        <x:f>'All Physical Cards'!W840</x:f>
        <x:v>https://www.pricecharting.com/game/pokemon-legendary-treasures/emolga-rc23</x:v>
      </x:c>
      <x:c r="T123" s="20"/>
      <x:c r="U123" s="20"/>
      <x:c r="V123" s="20"/>
      <x:c r="W123" s="20"/>
      <x:c r="X123" s="20"/>
      <x:c r="Y123" s="20"/>
      <x:c r="Z123" s="20"/>
      <x:c r="AA123" s="20"/>
      <x:c r="AB123" s="20"/>
      <x:c r="AC123" s="20" t="str">
        <x:v>Reconciled grade value: PriceCharting baseline + exact PSA cert/sales-history cross-check where sufficiently useful. Recent PSA sale medians override PriceCharting when multiple exact sales were available; thin PSA data are flagged rather than extrapolated.</x:v>
      </x:c>
      <x:c r="AD123" s="20" t="str">
        <x:v>https://www.pricecharting.com/game/pokemon-legendary-treasures/emolga-rc23</x:v>
      </x:c>
      <x:c r="AE123" s="20"/>
      <x:c r="AF123" s="20"/>
      <x:c r="AG123" s="20"/>
      <x:c r="AH123" s="20"/>
      <x:c r="AI123" s="20"/>
      <x:c r="AJ123" s="20"/>
      <x:c r="AK123" s="20" t="n">
        <x:v>65</x:v>
      </x:c>
      <x:c r="AL123" s="20" t="n">
        <x:v>151.25</x:v>
      </x:c>
      <x:c r="AM123" s="20" t="n">
        <x:v>405</x:v>
      </x:c>
      <x:c r="AN123" s="20" t="n">
        <x:v>6999.99</x:v>
      </x:c>
      <x:c r="AO123" s="20"/>
      <x:c r="AP123" s="20"/>
      <x:c r="AQ123" s="20"/>
      <x:c r="AR123" s="20" t="str">
        <x:v>PSA sales verified — PSA 9/10</x:v>
      </x:c>
      <x:c r="AS123" s="20" t="str">
        <x:v>Exact Radiant Collection RC23. Recent PSA 9 median ~$405; PSA 10 median ~$6,999.99. Other grades retain PriceCharting. Sources: https://www.psacard.com/cert/70254743 and https://www.psacard.com/cert/59940931</x:v>
      </x:c>
      <x:c r="AT123" s="20"/>
      <x:c r="AU123" s="20" t="n">
        <x:v>450</x:v>
      </x:c>
      <x:c r="AV123" s="20"/>
      <x:c r="AW123" s="20" t="n">
        <x:v>251</x:v>
      </x:c>
      <x:c r="AX123" s="20" t="n">
        <x:v>45</x:v>
      </x:c>
      <x:c r="AY123" s="20"/>
      <x:c r="AZ123" s="20" t="str">
        <x:v>https://www.psacard.com/fr-CA/cert/129750453/psa | https://www.psacard.com/cert/70254743/psa</x:v>
      </x:c>
      <x:c r="BA123" s="20" t="str">
        <x:v>PSA direct cert populations for PSA 7 and 9; PSA 10 from PSA 9 Pop Higher. PSA 6/8 not directly resolved.</x:v>
      </x:c>
    </x:row>
    <x:row r="124">
      <x:c r="A124" t="str">
        <x:v>A — Priority</x:v>
      </x:c>
      <x:c r="B124" t="n">
        <x:f>'All Physical Cards'!A841</x:f>
        <x:v>841</x:v>
      </x:c>
      <x:c r="C124" t="str">
        <x:f>'All Physical Cards'!C841</x:f>
        <x:v>Pikachu</x:v>
      </x:c>
      <x:c r="D124" t="str">
        <x:f>'All Physical Cards'!D841</x:f>
        <x:v>RC7/RC25</x:v>
      </x:c>
      <x:c r="E124" t="str">
        <x:f>'All Physical Cards'!E841</x:f>
        <x:v>Legendary Treasures</x:v>
      </x:c>
      <x:c r="F124" t="n">
        <x:f>'All Physical Cards'!F841</x:f>
        <x:v>2013</x:v>
      </x:c>
      <x:c r="G124" t="str">
        <x:f>'All Physical Cards'!G841</x:f>
        <x:v>Radiant Collection Holo (Uncommon)</x:v>
      </x:c>
      <x:c r="H124" t="str">
        <x:f>'All Physical Cards'!H841</x:f>
        <x:v>3 of 4</x:v>
      </x:c>
      <x:c r="I124" t="n">
        <x:f>'All Physical Cards'!I841</x:f>
        <x:v>50</x:v>
      </x:c>
      <x:c r="J124" t="n">
        <x:f>'All Physical Cards'!J841</x:f>
        <x:v>90</x:v>
      </x:c>
      <x:c r="K124" t="n">
        <x:f>'All Physical Cards'!K841</x:f>
        <x:v>70</x:v>
      </x:c>
      <x:c r="L124" t="n">
        <x:f>'All Physical Cards'!S841</x:f>
        <x:v>70</x:v>
      </x:c>
      <x:c r="M124" t="str">
        <x:f>'All Physical Cards'!P841</x:f>
        <x:v>Condition not yet reviewed</x:v>
      </x:c>
      <x:c r="N124" t="str">
        <x:v>Strong raw value with meaningful grading upside; Holo surface quality matters heavily; Popular Pokémon demand</x:v>
      </x:c>
      <x:c r="O124" t="str">
        <x:v>Inspect closely. Submit if roughly PSA 8/9+ caliber; 9/10 is ideal.</x:v>
      </x:c>
      <x:c r="P124" t="str">
        <x:v>Pre-grade now; prioritize for the first future PSA Value/special submission.</x:v>
      </x:c>
      <x:c r="Q124" t="str">
        <x:v>Not inspected — new physical copy from updated Collection.pdf</x:v>
      </x:c>
      <x:c r="R124" t="str">
        <x:v>Undecided</x:v>
      </x:c>
      <x:c r="S124" t="str">
        <x:f>'All Physical Cards'!W841</x:f>
        <x:v>https://www.pricecharting.com/game/pokemon-legendary-treasures/pikachu-rc7</x:v>
      </x:c>
      <x:c r="T124" s="20"/>
      <x:c r="U124" s="20"/>
      <x:c r="V124" s="20"/>
      <x:c r="W124" s="20"/>
      <x:c r="X124" s="20"/>
      <x:c r="Y124" s="20"/>
      <x:c r="Z124" s="20"/>
      <x:c r="AA124" s="20"/>
      <x:c r="AB124" s="20"/>
      <x:c r="AC124" s="20" t="str">
        <x:v>Reconciled grade value: PriceCharting baseline + exact PSA cert/sales-history cross-check where sufficiently useful. Recent PSA sale medians override PriceCharting when multiple exact sales were available; thin PSA data are flagged rather than extrapolated.</x:v>
      </x:c>
      <x:c r="AD124" s="20" t="str">
        <x:v>https://www.pricecharting.com/game/pokemon-legendary-treasures/pikachu-rc7</x:v>
      </x:c>
      <x:c r="AE124" s="20"/>
      <x:c r="AF124" s="20"/>
      <x:c r="AG124" s="20"/>
      <x:c r="AH124" s="20"/>
      <x:c r="AI124" s="20"/>
      <x:c r="AJ124" s="20"/>
      <x:c r="AK124" s="20" t="n">
        <x:v>96</x:v>
      </x:c>
      <x:c r="AL124" s="20" t="n">
        <x:v>139.9</x:v>
      </x:c>
      <x:c r="AM124" s="20" t="n">
        <x:v>305</x:v>
      </x:c>
      <x:c r="AN124" s="20" t="n">
        <x:v>2800</x:v>
      </x:c>
      <x:c r="AO124" s="20"/>
      <x:c r="AP124" s="20"/>
      <x:c r="AQ124" s="20"/>
      <x:c r="AR124" s="20" t="str">
        <x:v>PSA sales verified — PSA 9/10</x:v>
      </x:c>
      <x:c r="AS124" s="20" t="str">
        <x:v>Exact Legendary Treasures RC7. Recent PSA 9 median ~$305; PSA 10 median ~$2,800. Other grades retain PriceCharting. Sources: https://www.psacard.com/cert/75095454 and https://www.psacard.com/cert/57028672</x:v>
      </x:c>
      <x:c r="AT124" s="20" t="n">
        <x:v>364</x:v>
      </x:c>
      <x:c r="AU124" s="20" t="n">
        <x:v>663</x:v>
      </x:c>
      <x:c r="AV124" s="20" t="n">
        <x:v>1010</x:v>
      </x:c>
      <x:c r="AW124" s="20" t="n">
        <x:v>650</x:v>
      </x:c>
      <x:c r="AX124" s="20" t="n">
        <x:v>93</x:v>
      </x:c>
      <x:c r="AY124" s="20"/>
      <x:c r="AZ124" s="20" t="str">
        <x:v>https://www.psacard.com/fr-CA/cert/146932098 | https://www.psacard.com/cert/142070397/psa | https://www.psacard.com/fr-CA/cert/97374383/psa | https://www.psacard.com/en-CA/cert/75095454/psa</x:v>
      </x:c>
      <x:c r="BA124" s="20" t="str">
        <x:v>PSA direct cert populations for RC7; PSA 10 from PSA 9 Pop Higher.</x:v>
      </x:c>
    </x:row>
    <x:row r="125">
      <x:c r="A125" t="str">
        <x:v>A — Priority</x:v>
      </x:c>
      <x:c r="B125" t="n">
        <x:f>'All Physical Cards'!A842</x:f>
        <x:v>842</x:v>
      </x:c>
      <x:c r="C125" t="str">
        <x:f>'All Physical Cards'!C842</x:f>
        <x:v>Pikachu</x:v>
      </x:c>
      <x:c r="D125" t="str">
        <x:f>'All Physical Cards'!D842</x:f>
        <x:v>RC7/RC25</x:v>
      </x:c>
      <x:c r="E125" t="str">
        <x:f>'All Physical Cards'!E842</x:f>
        <x:v>Legendary Treasures</x:v>
      </x:c>
      <x:c r="F125" t="n">
        <x:f>'All Physical Cards'!F842</x:f>
        <x:v>2013</x:v>
      </x:c>
      <x:c r="G125" t="str">
        <x:f>'All Physical Cards'!G842</x:f>
        <x:v>Radiant Collection Holo (Uncommon)</x:v>
      </x:c>
      <x:c r="H125" t="str">
        <x:f>'All Physical Cards'!H842</x:f>
        <x:v>4 of 4</x:v>
      </x:c>
      <x:c r="I125" t="n">
        <x:f>'All Physical Cards'!I842</x:f>
        <x:v>50</x:v>
      </x:c>
      <x:c r="J125" t="n">
        <x:f>'All Physical Cards'!J842</x:f>
        <x:v>90</x:v>
      </x:c>
      <x:c r="K125" t="n">
        <x:f>'All Physical Cards'!K842</x:f>
        <x:v>70</x:v>
      </x:c>
      <x:c r="L125" t="n">
        <x:f>'All Physical Cards'!S842</x:f>
        <x:v>70</x:v>
      </x:c>
      <x:c r="M125" t="str">
        <x:f>'All Physical Cards'!P842</x:f>
        <x:v>Condition not yet reviewed</x:v>
      </x:c>
      <x:c r="N125" t="str">
        <x:v>Strong raw value with meaningful grading upside; Holo surface quality matters heavily; Popular Pokémon demand</x:v>
      </x:c>
      <x:c r="O125" t="str">
        <x:v>Inspect closely. Submit if roughly PSA 8/9+ caliber; 9/10 is ideal.</x:v>
      </x:c>
      <x:c r="P125" t="str">
        <x:v>Pre-grade now; prioritize for the first future PSA Value/special submission.</x:v>
      </x:c>
      <x:c r="Q125" t="str">
        <x:v>Not inspected — new physical copy from updated Collection.pdf</x:v>
      </x:c>
      <x:c r="R125" t="str">
        <x:v>Undecided</x:v>
      </x:c>
      <x:c r="S125" t="str">
        <x:f>'All Physical Cards'!W842</x:f>
        <x:v>https://www.pricecharting.com/game/pokemon-legendary-treasures/pikachu-rc7</x:v>
      </x:c>
      <x:c r="T125" s="20"/>
      <x:c r="U125" s="20"/>
      <x:c r="V125" s="20"/>
      <x:c r="W125" s="20"/>
      <x:c r="X125" s="20"/>
      <x:c r="Y125" s="20"/>
      <x:c r="Z125" s="20"/>
      <x:c r="AA125" s="20"/>
      <x:c r="AB125" s="20"/>
      <x:c r="AC125" s="20" t="str">
        <x:v>Reconciled grade value: PriceCharting baseline + exact PSA cert/sales-history cross-check where sufficiently useful. Recent PSA sale medians override PriceCharting when multiple exact sales were available; thin PSA data are flagged rather than extrapolated.</x:v>
      </x:c>
      <x:c r="AD125" s="20" t="str">
        <x:v>https://www.pricecharting.com/game/pokemon-legendary-treasures/pikachu-rc7</x:v>
      </x:c>
      <x:c r="AE125" s="20"/>
      <x:c r="AF125" s="20"/>
      <x:c r="AG125" s="20"/>
      <x:c r="AH125" s="20"/>
      <x:c r="AI125" s="20"/>
      <x:c r="AJ125" s="20"/>
      <x:c r="AK125" s="20" t="n">
        <x:v>96</x:v>
      </x:c>
      <x:c r="AL125" s="20" t="n">
        <x:v>139.9</x:v>
      </x:c>
      <x:c r="AM125" s="20" t="n">
        <x:v>305</x:v>
      </x:c>
      <x:c r="AN125" s="20" t="n">
        <x:v>2800</x:v>
      </x:c>
      <x:c r="AO125" s="20"/>
      <x:c r="AP125" s="20"/>
      <x:c r="AQ125" s="20"/>
      <x:c r="AR125" s="20" t="str">
        <x:v>PSA sales verified — PSA 9/10</x:v>
      </x:c>
      <x:c r="AS125" s="20" t="str">
        <x:v>Exact Legendary Treasures RC7. Recent PSA 9 median ~$305; PSA 10 median ~$2,800. Other grades retain PriceCharting. Sources: https://www.psacard.com/cert/75095454 and https://www.psacard.com/cert/57028672</x:v>
      </x:c>
      <x:c r="AT125" s="20" t="n">
        <x:v>364</x:v>
      </x:c>
      <x:c r="AU125" s="20" t="n">
        <x:v>663</x:v>
      </x:c>
      <x:c r="AV125" s="20" t="n">
        <x:v>1010</x:v>
      </x:c>
      <x:c r="AW125" s="20" t="n">
        <x:v>650</x:v>
      </x:c>
      <x:c r="AX125" s="20" t="n">
        <x:v>93</x:v>
      </x:c>
      <x:c r="AY125" s="20"/>
      <x:c r="AZ125" s="20" t="str">
        <x:v>https://www.psacard.com/fr-CA/cert/146932098 | https://www.psacard.com/cert/142070397/psa | https://www.psacard.com/fr-CA/cert/97374383/psa | https://www.psacard.com/en-CA/cert/75095454/psa</x:v>
      </x:c>
      <x:c r="BA125" s="20" t="str">
        <x:v>PSA direct cert populations for RC7; PSA 10 from PSA 9 Pop Higher.</x:v>
      </x:c>
    </x:row>
    <x:row r="126">
      <x:c r="A126" t="str">
        <x:v>A — Priority</x:v>
      </x:c>
      <x:c r="B126" t="n">
        <x:f>'All Physical Cards'!A843</x:f>
        <x:v>843</x:v>
      </x:c>
      <x:c r="C126" t="str">
        <x:f>'All Physical Cards'!C843</x:f>
        <x:v>Ghetsis</x:v>
      </x:c>
      <x:c r="D126" t="str">
        <x:f>'All Physical Cards'!D843</x:f>
        <x:v>115/116</x:v>
      </x:c>
      <x:c r="E126" t="str">
        <x:f>'All Physical Cards'!E843</x:f>
        <x:v>Plasma Freeze</x:v>
      </x:c>
      <x:c r="F126" t="n">
        <x:f>'All Physical Cards'!F843</x:f>
        <x:v>2013</x:v>
      </x:c>
      <x:c r="G126" t="str">
        <x:f>'All Physical Cards'!G843</x:f>
        <x:v>Full Art Holo Ultra Rare (Team Plasma)</x:v>
      </x:c>
      <x:c r="H126" t="str">
        <x:f>'All Physical Cards'!H843</x:f>
        <x:v>2 of 2</x:v>
      </x:c>
      <x:c r="I126" t="n">
        <x:f>'All Physical Cards'!I843</x:f>
        <x:v>65</x:v>
      </x:c>
      <x:c r="J126" t="n">
        <x:f>'All Physical Cards'!J843</x:f>
        <x:v>90</x:v>
      </x:c>
      <x:c r="K126" t="n">
        <x:f>'All Physical Cards'!K843</x:f>
        <x:v>77.5</x:v>
      </x:c>
      <x:c r="L126" t="n">
        <x:f>'All Physical Cards'!S843</x:f>
        <x:v>77.5</x:v>
      </x:c>
      <x:c r="M126" t="str">
        <x:f>'All Physical Cards'!P843</x:f>
        <x:v>Condition not yet reviewed</x:v>
      </x:c>
      <x:c r="N126" t="str">
        <x:v>Strong raw value with meaningful grading upside; Full Art collector demand</x:v>
      </x:c>
      <x:c r="O126" t="str">
        <x:v>Inspect closely. Submit if roughly PSA 8/9+ caliber; 9/10 is ideal.</x:v>
      </x:c>
      <x:c r="P126" t="str">
        <x:v>Pre-grade now; prioritize for the first future PSA Value/special submission.</x:v>
      </x:c>
      <x:c r="Q126" t="str">
        <x:v>Not inspected — new physical copy from updated Collection.pdf</x:v>
      </x:c>
      <x:c r="R126" t="str">
        <x:v>Undecided</x:v>
      </x:c>
      <x:c r="S126" t="str">
        <x:f>'All Physical Cards'!W843</x:f>
        <x:v>https://www.tcgplayer.com/product/85695/pokemon-plasma-freeze-ghetsis-team-plasma-full-art</x:v>
      </x:c>
      <x:c r="T126" s="20"/>
      <x:c r="U126" s="20"/>
      <x:c r="V126" s="20"/>
      <x:c r="W126" s="20"/>
      <x:c r="X126" s="20"/>
      <x:c r="Y126" s="20"/>
      <x:c r="Z126" s="20"/>
      <x:c r="AA126" s="20"/>
      <x:c r="AB126" s="20"/>
      <x:c r="AC126" s="20" t="str">
        <x:v>PriceCharting baseline retained. Exact PSA sales data were not sufficiently useful/available in the verification pass; no unrelated printing or variant was substituted.</x:v>
      </x:c>
      <x:c r="AD126" s="20" t="str">
        <x:v>https://www.pricecharting.com/game/pokemon-plasma-freeze/ghetsis-115</x:v>
      </x:c>
      <x:c r="AE126" s="20"/>
      <x:c r="AF126" s="20"/>
      <x:c r="AG126" s="20"/>
      <x:c r="AH126" s="20"/>
      <x:c r="AI126" s="20"/>
      <x:c r="AJ126" s="20"/>
      <x:c r="AK126" s="20" t="n">
        <x:v>63</x:v>
      </x:c>
      <x:c r="AL126" s="20" t="n">
        <x:v>113.08</x:v>
      </x:c>
      <x:c r="AM126" s="20" t="n">
        <x:v>160.49</x:v>
      </x:c>
      <x:c r="AN126" s="20" t="n">
        <x:v>1800</x:v>
      </x:c>
      <x:c r="AO126" s="20"/>
      <x:c r="AP126" s="20"/>
      <x:c r="AQ126" s="20"/>
      <x:c r="AR126" s="20" t="str">
        <x:v>PriceCharting baseline</x:v>
      </x:c>
      <x:c r="AS126" s="20" t="str">
        <x:v>PriceCharting grade value retained where an exact, sufficiently useful PSA sales cross-check was not found. No unrelated printing/variant was substituted.</x:v>
      </x:c>
      <x:c r="AT126" s="20" t="n">
        <x:v>30</x:v>
      </x:c>
      <x:c r="AU126" s="20" t="n">
        <x:v>119</x:v>
      </x:c>
      <x:c r="AV126" s="20" t="n">
        <x:v>84</x:v>
      </x:c>
      <x:c r="AW126" s="20" t="n">
        <x:v>109</x:v>
      </x:c>
      <x:c r="AX126" s="20" t="n">
        <x:v>29</x:v>
      </x:c>
      <x:c r="AY126" s="20" t="n">
        <x:v>386</x:v>
      </x:c>
      <x:c r="AZ126" s="20" t="str">
        <x:v>https://www.psacard.com/auctionprices/tcg-cards/2013-pokemon-black-white-plasma-freeze/full-art-ghetsis/1953941</x:v>
      </x:c>
      <x:c r="BA126" s="20" t="str">
        <x:v>PSA official Auction Prices/Population table for the exact printing. Total includes grades outside 6–10.</x:v>
      </x:c>
    </x:row>
    <x:row r="127">
      <x:c r="A127" t="str">
        <x:v>A — Priority</x:v>
      </x:c>
      <x:c r="B127" t="n">
        <x:f>'All Physical Cards'!A844</x:f>
        <x:v>844</x:v>
      </x:c>
      <x:c r="C127" t="str">
        <x:f>'All Physical Cards'!C844</x:f>
        <x:v>Umbreon</x:v>
      </x:c>
      <x:c r="D127" t="str">
        <x:f>'All Physical Cards'!D844</x:f>
        <x:v>61/108</x:v>
      </x:c>
      <x:c r="E127" t="str">
        <x:f>'All Physical Cards'!E844</x:f>
        <x:v>Dark Explorers</x:v>
      </x:c>
      <x:c r="F127" t="n">
        <x:f>'All Physical Cards'!F844</x:f>
        <x:v>2012</x:v>
      </x:c>
      <x:c r="G127" t="str">
        <x:f>'All Physical Cards'!G844</x:f>
        <x:v>Reverse Holo</x:v>
      </x:c>
      <x:c r="H127" t="str">
        <x:f>'All Physical Cards'!H844</x:f>
        <x:v>2 of 2</x:v>
      </x:c>
      <x:c r="I127" t="n">
        <x:f>'All Physical Cards'!I844</x:f>
        <x:v>60</x:v>
      </x:c>
      <x:c r="J127" t="n">
        <x:f>'All Physical Cards'!J844</x:f>
        <x:v>100</x:v>
      </x:c>
      <x:c r="K127" t="n">
        <x:f>'All Physical Cards'!K844</x:f>
        <x:v>80</x:v>
      </x:c>
      <x:c r="L127" t="n">
        <x:f>'All Physical Cards'!S844</x:f>
        <x:v>80</x:v>
      </x:c>
      <x:c r="M127" t="str">
        <x:f>'All Physical Cards'!P844</x:f>
        <x:v>Condition not yet reviewed</x:v>
      </x:c>
      <x:c r="N127" t="str">
        <x:v>Strong raw value with meaningful grading upside; Older reverse holo; clean copies are condition-sensitive; Popular Pokémon demand</x:v>
      </x:c>
      <x:c r="O127" t="str">
        <x:v>Inspect closely. Submit if roughly PSA 8/9+ caliber; 9/10 is ideal.</x:v>
      </x:c>
      <x:c r="P127" t="str">
        <x:v>Pre-grade now; prioritize for the first future PSA Value/special submission.</x:v>
      </x:c>
      <x:c r="Q127" t="str">
        <x:v>Not inspected — new physical copy from updated Collection.pdf</x:v>
      </x:c>
      <x:c r="R127" t="str">
        <x:v>Undecided</x:v>
      </x:c>
      <x:c r="S127" t="str">
        <x:f>'All Physical Cards'!W844</x:f>
        <x:v>https://tcgscreener.com/pokemon/dark-explorers/umbreon-rev-holo-61</x:v>
      </x:c>
      <x:c r="T127" s="20"/>
      <x:c r="U127" s="20"/>
      <x:c r="V127" s="20"/>
      <x:c r="W127" s="20"/>
      <x:c r="X127" s="20"/>
      <x:c r="Y127" s="20"/>
      <x:c r="Z127" s="20"/>
      <x:c r="AA127" s="20"/>
      <x:c r="AB127" s="20"/>
      <x:c r="AC127" s="20" t="str">
        <x:v>PriceCharting baseline retained. Exact PSA sales data were not sufficiently useful/available in the verification pass; no unrelated printing or variant was substituted.</x:v>
      </x:c>
      <x:c r="AD127" s="20" t="str">
        <x:v>https://www.pricecharting.com/game/pokemon-dark-explorers/umbreon-reverse-holo-61</x:v>
      </x:c>
      <x:c r="AE127" s="20"/>
      <x:c r="AF127" s="20"/>
      <x:c r="AG127" s="20"/>
      <x:c r="AH127" s="20"/>
      <x:c r="AI127" s="20"/>
      <x:c r="AJ127" s="20"/>
      <x:c r="AK127" s="20" t="n">
        <x:v>90.47</x:v>
      </x:c>
      <x:c r="AL127" s="20" t="n">
        <x:v>125</x:v>
      </x:c>
      <x:c r="AM127" s="20" t="n">
        <x:v>479.12</x:v>
      </x:c>
      <x:c r="AN127" s="20" t="n">
        <x:v>1299.99</x:v>
      </x:c>
      <x:c r="AO127" s="20"/>
      <x:c r="AP127" s="20"/>
      <x:c r="AQ127" s="20"/>
      <x:c r="AR127" s="20" t="str">
        <x:v>PriceCharting baseline</x:v>
      </x:c>
      <x:c r="AS127" s="20" t="str">
        <x:v>PriceCharting grade value retained where an exact, sufficiently useful PSA sales cross-check was not found. No unrelated printing/variant was substituted.</x:v>
      </x:c>
      <x:c r="AT127" s="20" t="n">
        <x:v>5</x:v>
      </x:c>
      <x:c r="AU127" s="20" t="n">
        <x:v>17</x:v>
      </x:c>
      <x:c r="AV127" s="20" t="n">
        <x:v>27</x:v>
      </x:c>
      <x:c r="AW127" s="20" t="n">
        <x:v>36</x:v>
      </x:c>
      <x:c r="AX127" s="20" t="n">
        <x:v>4</x:v>
      </x:c>
      <x:c r="AY127" s="20" t="n">
        <x:v>94</x:v>
      </x:c>
      <x:c r="AZ127" s="20" t="str">
        <x:v>https://www.psacard.com/auctionprices/tcg-cards/2012-pokemon-black-white-dark-explorers/UMBREON-REVERSE%20FOIL/2626107</x:v>
      </x:c>
      <x:c r="BA127" s="20" t="str">
        <x:v>PSA official Auction Prices/Population table for the exact Reverse Foil printing. Total PSA population includes grades outside 6–10.</x:v>
      </x:c>
    </x:row>
    <x:row r="128">
      <x:c r="A128" t="str">
        <x:v>A — Priority</x:v>
      </x:c>
      <x:c r="B128" t="n">
        <x:f>'All Physical Cards'!A845</x:f>
        <x:v>845</x:v>
      </x:c>
      <x:c r="C128" t="str">
        <x:f>'All Physical Cards'!C845</x:f>
        <x:v>Charmander</x:v>
      </x:c>
      <x:c r="D128" t="str">
        <x:f>'All Physical Cards'!D845</x:f>
        <x:v>59/99</x:v>
      </x:c>
      <x:c r="E128" t="str">
        <x:f>'All Physical Cards'!E845</x:f>
        <x:v>Arceus</x:v>
      </x:c>
      <x:c r="F128" t="n">
        <x:f>'All Physical Cards'!F845</x:f>
        <x:v>2009</x:v>
      </x:c>
      <x:c r="G128" t="str">
        <x:f>'All Physical Cards'!G845</x:f>
        <x:v>Reverse Holo</x:v>
      </x:c>
      <x:c r="H128" t="str">
        <x:f>'All Physical Cards'!H845</x:f>
        <x:v>2 of 2</x:v>
      </x:c>
      <x:c r="I128" t="n">
        <x:f>'All Physical Cards'!I845</x:f>
        <x:v>75</x:v>
      </x:c>
      <x:c r="J128" t="n">
        <x:f>'All Physical Cards'!J845</x:f>
        <x:v>90</x:v>
      </x:c>
      <x:c r="K128" t="n">
        <x:f>'All Physical Cards'!K845</x:f>
        <x:v>82.5</x:v>
      </x:c>
      <x:c r="L128" t="n">
        <x:f>'All Physical Cards'!S845</x:f>
        <x:v>82.5</x:v>
      </x:c>
      <x:c r="M128" t="str">
        <x:f>'All Physical Cards'!P845</x:f>
        <x:v>Condition not yet reviewed</x:v>
      </x:c>
      <x:c r="N128" t="str">
        <x:v>Strong raw value with meaningful grading upside; Older reverse holo; clean copies are condition-sensitive; Popular Pokémon demand</x:v>
      </x:c>
      <x:c r="O128" t="str">
        <x:v>Inspect closely. Submit if roughly PSA 8/9+ caliber; 9/10 is ideal.</x:v>
      </x:c>
      <x:c r="P128" t="str">
        <x:v>Pre-grade now; prioritize for the first future PSA Value/special submission.</x:v>
      </x:c>
      <x:c r="Q128" t="str">
        <x:v>Not inspected — new physical copy from updated Collection.pdf</x:v>
      </x:c>
      <x:c r="R128" t="str">
        <x:v>Undecided</x:v>
      </x:c>
      <x:c r="S128" t="str">
        <x:f>'All Physical Cards'!W845</x:f>
        <x:v>https://www.tcgplayer.com/categories/trading-collectible-card-games/pokemon/price-guides/arceus</x:v>
      </x:c>
      <x:c r="T128" s="20"/>
      <x:c r="U128" s="20"/>
      <x:c r="V128" s="20"/>
      <x:c r="W128" s="20"/>
      <x:c r="X128" s="20"/>
      <x:c r="Y128" s="20"/>
      <x:c r="Z128" s="20"/>
      <x:c r="AA128" s="20"/>
      <x:c r="AB128" s="20"/>
      <x:c r="AC128" s="20" t="str">
        <x:v>PriceCharting baseline retained. Exact PSA sales data were not sufficiently useful/available in the verification pass; no unrelated printing or variant was substituted.</x:v>
      </x:c>
      <x:c r="AD128" s="20" t="str">
        <x:v>https://www.pricecharting.com/game/pokemon-arceus/charmander-reverse-holo-59</x:v>
      </x:c>
      <x:c r="AE128" s="20"/>
      <x:c r="AF128" s="20"/>
      <x:c r="AG128" s="20"/>
      <x:c r="AH128" s="20"/>
      <x:c r="AI128" s="20"/>
      <x:c r="AJ128" s="20"/>
      <x:c r="AK128" s="20"/>
      <x:c r="AL128" s="20" t="n">
        <x:v>24.95</x:v>
      </x:c>
      <x:c r="AM128" s="20" t="n">
        <x:v>75</x:v>
      </x:c>
      <x:c r="AN128" s="20" t="n">
        <x:v>507.87</x:v>
      </x:c>
      <x:c r="AO128" s="20"/>
      <x:c r="AP128" s="20"/>
      <x:c r="AQ128" s="20"/>
      <x:c r="AR128" s="20" t="str">
        <x:v>PriceCharting baseline</x:v>
      </x:c>
      <x:c r="AS128" s="20" t="str">
        <x:v>PriceCharting grade value retained where an exact, sufficiently useful PSA sales cross-check was not found. No unrelated printing/variant was substituted.</x:v>
      </x:c>
      <x:c r="AT128" s="20"/>
      <x:c r="AU128" s="20"/>
      <x:c r="AV128" s="20"/>
      <x:c r="AW128" s="20"/>
      <x:c r="AX128" s="20"/>
      <x:c r="AY128" s="20"/>
      <x:c r="AZ128" s="20" t="str">
        <x:v>https://www.psacard.com/Pop</x:v>
      </x:c>
      <x:c r="BA128" s="20" t="str">
        <x:v>PSA-direct population for this exact printing/grade was not confidently resolved from PSA's accessible/indexed pages on 2026-08-17. Prior PriceCharting/Pikawiz population figures were removed rather than retained.</x:v>
      </x:c>
    </x:row>
    <x:row r="129">
      <x:c r="A129" t="str">
        <x:v>A — Priority</x:v>
      </x:c>
      <x:c r="B129" t="n">
        <x:f>'All Physical Cards'!A846</x:f>
        <x:v>846</x:v>
      </x:c>
      <x:c r="C129" t="str">
        <x:f>'All Physical Cards'!C846</x:f>
        <x:v>Cresselia-EX</x:v>
      </x:c>
      <x:c r="D129" t="str">
        <x:f>'All Physical Cards'!D846</x:f>
        <x:v>143/149</x:v>
      </x:c>
      <x:c r="E129" t="str">
        <x:f>'All Physical Cards'!E846</x:f>
        <x:v>Boundaries Crossed</x:v>
      </x:c>
      <x:c r="F129" t="n">
        <x:f>'All Physical Cards'!F846</x:f>
        <x:v>2012</x:v>
      </x:c>
      <x:c r="G129" t="str">
        <x:f>'All Physical Cards'!G846</x:f>
        <x:v>Full Art Holo Ultra Rare</x:v>
      </x:c>
      <x:c r="H129" t="str">
        <x:f>'All Physical Cards'!H846</x:f>
        <x:v>2 of 2</x:v>
      </x:c>
      <x:c r="I129" t="n">
        <x:f>'All Physical Cards'!I846</x:f>
        <x:v>60</x:v>
      </x:c>
      <x:c r="J129" t="n">
        <x:f>'All Physical Cards'!J846</x:f>
        <x:v>110</x:v>
      </x:c>
      <x:c r="K129" t="n">
        <x:f>'All Physical Cards'!K846</x:f>
        <x:v>85</x:v>
      </x:c>
      <x:c r="L129" t="n">
        <x:f>'All Physical Cards'!S846</x:f>
        <x:v>85</x:v>
      </x:c>
      <x:c r="M129" t="str">
        <x:f>'All Physical Cards'!P846</x:f>
        <x:v>Condition not yet reviewed</x:v>
      </x:c>
      <x:c r="N129" t="str">
        <x:v>Strong raw value with meaningful grading upside; Full Art collector demand</x:v>
      </x:c>
      <x:c r="O129" t="str">
        <x:v>Inspect closely. Submit if roughly PSA 8/9+ caliber; 9/10 is ideal.</x:v>
      </x:c>
      <x:c r="P129" t="str">
        <x:v>Pre-grade now; prioritize for the first future PSA Value/special submission.</x:v>
      </x:c>
      <x:c r="Q129" t="str">
        <x:v>Not inspected — new physical copy from updated Collection.pdf</x:v>
      </x:c>
      <x:c r="R129" t="str">
        <x:v>Undecided</x:v>
      </x:c>
      <x:c r="S129" t="str">
        <x:f>'All Physical Cards'!W846</x:f>
        <x:v>https://www.pricecharting.com/game/pokemon-boundaries-crossed/cresselia-ex-143</x:v>
      </x:c>
      <x:c r="T129" s="20"/>
      <x:c r="U129" s="20"/>
      <x:c r="V129" s="20"/>
      <x:c r="W129" s="20"/>
      <x:c r="X129" s="20"/>
      <x:c r="Y129" s="20"/>
      <x:c r="Z129" s="20"/>
      <x:c r="AA129" s="20"/>
      <x:c r="AB129" s="20"/>
      <x:c r="AC129" s="20" t="str">
        <x:v>PriceCharting baseline retained. Exact PSA sales data were not sufficiently useful/available in the verification pass; no unrelated printing or variant was substituted.</x:v>
      </x:c>
      <x:c r="AD129" s="20" t="str">
        <x:v>https://www.pricecharting.com/game/pokemon-boundaries-crossed/cresselia-ex-143</x:v>
      </x:c>
      <x:c r="AE129" s="20"/>
      <x:c r="AF129" s="20"/>
      <x:c r="AG129" s="20"/>
      <x:c r="AH129" s="20"/>
      <x:c r="AI129" s="20"/>
      <x:c r="AJ129" s="20"/>
      <x:c r="AK129" s="20" t="n">
        <x:v>103.5</x:v>
      </x:c>
      <x:c r="AL129" s="20" t="n">
        <x:v>141.34</x:v>
      </x:c>
      <x:c r="AM129" s="20" t="n">
        <x:v>455</x:v>
      </x:c>
      <x:c r="AN129" s="20" t="n">
        <x:v>2350</x:v>
      </x:c>
      <x:c r="AO129" s="20"/>
      <x:c r="AP129" s="20"/>
      <x:c r="AQ129" s="20"/>
      <x:c r="AR129" s="20" t="str">
        <x:v>PriceCharting baseline</x:v>
      </x:c>
      <x:c r="AS129" s="20" t="str">
        <x:v>PriceCharting grade value retained where an exact, sufficiently useful PSA sales cross-check was not found. No unrelated printing/variant was substituted.</x:v>
      </x:c>
      <x:c r="AT129" s="20" t="n">
        <x:v>19</x:v>
      </x:c>
      <x:c r="AU129" s="20" t="n">
        <x:v>41</x:v>
      </x:c>
      <x:c r="AV129" s="20" t="n">
        <x:v>73</x:v>
      </x:c>
      <x:c r="AW129" s="20" t="n">
        <x:v>111</x:v>
      </x:c>
      <x:c r="AX129" s="20" t="n">
        <x:v>20</x:v>
      </x:c>
      <x:c r="AY129" s="20"/>
      <x:c r="AZ129" s="20" t="str">
        <x:v>https://www.psacard.com/cert/73011124/psa | https://www.psacard.com/Pop</x:v>
      </x:c>
      <x:c r="BA129" s="20" t="str">
        <x:v>PSA-only figures: PSA 6–8 from PSA's official APR/population data checked during the audit; PSA 9/10 refreshed from direct PSA cert data.</x:v>
      </x:c>
    </x:row>
    <x:row r="130">
      <x:c r="A130" t="str">
        <x:v>A — Priority</x:v>
      </x:c>
      <x:c r="B130" t="n">
        <x:f>'All Physical Cards'!A847</x:f>
        <x:v>847</x:v>
      </x:c>
      <x:c r="C130" t="str">
        <x:f>'All Physical Cards'!C847</x:f>
        <x:v>Gliscor LV.X</x:v>
      </x:c>
      <x:c r="D130" t="str">
        <x:f>'All Physical Cards'!D847</x:f>
        <x:v>141/146</x:v>
      </x:c>
      <x:c r="E130" t="str">
        <x:f>'All Physical Cards'!E847</x:f>
        <x:v>Legends Awakened</x:v>
      </x:c>
      <x:c r="F130" t="n">
        <x:f>'All Physical Cards'!F847</x:f>
        <x:v>2008</x:v>
      </x:c>
      <x:c r="G130" t="str">
        <x:f>'All Physical Cards'!G847</x:f>
        <x:v>Holofoil Ultra Rare (LV.X)</x:v>
      </x:c>
      <x:c r="H130" t="str">
        <x:f>'All Physical Cards'!H847</x:f>
        <x:v>3 of 4</x:v>
      </x:c>
      <x:c r="I130" t="n">
        <x:f>'All Physical Cards'!I847</x:f>
        <x:v>80</x:v>
      </x:c>
      <x:c r="J130" t="n">
        <x:f>'All Physical Cards'!J847</x:f>
        <x:v>100</x:v>
      </x:c>
      <x:c r="K130" t="n">
        <x:f>'All Physical Cards'!K847</x:f>
        <x:v>90</x:v>
      </x:c>
      <x:c r="L130" t="n">
        <x:f>'All Physical Cards'!S847</x:f>
        <x:v>90</x:v>
      </x:c>
      <x:c r="M130" t="str">
        <x:f>'All Physical Cards'!P847</x:f>
        <x:v>Condition not yet reviewed</x:v>
      </x:c>
      <x:c r="N130" t="str">
        <x:v>Strong raw value with meaningful grading upside; LV.X-era scarcity; Older card; high-grade supply is naturally thinner</x:v>
      </x:c>
      <x:c r="O130" t="str">
        <x:v>Known wear already reported — inspect first; likely hold raw unless the actual card presents much better than the note.</x:v>
      </x:c>
      <x:c r="P130" t="str">
        <x:v>Pre-grade now; prioritize for the first future PSA Value/special submission.</x:v>
      </x:c>
      <x:c r="Q130" t="str">
        <x:v>Not inspected — new physical copy from updated Collection.pdf</x:v>
      </x:c>
      <x:c r="R130" t="str">
        <x:v>Undecided</x:v>
      </x:c>
      <x:c r="S130" t="str">
        <x:f>'All Physical Cards'!W847</x:f>
        <x:v>https://www.pricecharting.com/game/pokemon-legends-awakened/gliscor-lv-x-141</x:v>
      </x:c>
      <x:c r="T130" s="20"/>
      <x:c r="U130" s="20"/>
      <x:c r="V130" s="20"/>
      <x:c r="W130" s="20"/>
      <x:c r="X130" s="20"/>
      <x:c r="Y130" s="20"/>
      <x:c r="Z130" s="20"/>
      <x:c r="AA130" s="20"/>
      <x:c r="AB130" s="20"/>
      <x:c r="AC130" s="20" t="str">
        <x:v>PriceCharting baseline retained. Exact PSA sales data were not sufficiently useful/available in the verification pass; no unrelated printing or variant was substituted.</x:v>
      </x:c>
      <x:c r="AD130" s="20" t="str">
        <x:v>https://www.pricecharting.com/game/pokemon-legends-awakened/gliscor-lv-x-141</x:v>
      </x:c>
      <x:c r="AE130" s="20"/>
      <x:c r="AF130" s="20"/>
      <x:c r="AG130" s="20"/>
      <x:c r="AH130" s="20"/>
      <x:c r="AI130" s="20"/>
      <x:c r="AJ130" s="20"/>
      <x:c r="AK130" s="20" t="n">
        <x:v>132.8</x:v>
      </x:c>
      <x:c r="AL130" s="20" t="n">
        <x:v>178.14</x:v>
      </x:c>
      <x:c r="AM130" s="20" t="n">
        <x:v>490.11</x:v>
      </x:c>
      <x:c r="AN130" s="20" t="n">
        <x:v>5667.97</x:v>
      </x:c>
      <x:c r="AO130" s="20"/>
      <x:c r="AP130" s="20"/>
      <x:c r="AQ130" s="20"/>
      <x:c r="AR130" s="20" t="str">
        <x:v>PriceCharting baseline</x:v>
      </x:c>
      <x:c r="AS130" s="20" t="str">
        <x:v>PriceCharting grade value retained where an exact, sufficiently useful PSA sales cross-check was not found. No unrelated printing/variant was substituted.</x:v>
      </x:c>
      <x:c r="AT130" s="20" t="n">
        <x:v>45</x:v>
      </x:c>
      <x:c r="AU130" s="20"/>
      <x:c r="AV130" s="20"/>
      <x:c r="AW130" s="20" t="n">
        <x:v>104</x:v>
      </x:c>
      <x:c r="AX130" s="20" t="n">
        <x:v>14</x:v>
      </x:c>
      <x:c r="AY130" s="20"/>
      <x:c r="AZ130" s="20" t="str">
        <x:v>https://www.psacard.com/cert/99090976/psa | https://www.psacard.com/cert/28625500/psa</x:v>
      </x:c>
      <x:c r="BA130" s="20" t="str">
        <x:v>PSA direct cert populations. PSA 7/8 not directly resolved.</x:v>
      </x:c>
    </x:row>
    <x:row r="131">
      <x:c r="A131" t="str">
        <x:v>A — Priority</x:v>
      </x:c>
      <x:c r="B131" t="n">
        <x:f>'All Physical Cards'!A848</x:f>
        <x:v>848</x:v>
      </x:c>
      <x:c r="C131" t="str">
        <x:f>'All Physical Cards'!C848</x:f>
        <x:v>Gliscor LV.X</x:v>
      </x:c>
      <x:c r="D131" t="str">
        <x:f>'All Physical Cards'!D848</x:f>
        <x:v>141/146</x:v>
      </x:c>
      <x:c r="E131" t="str">
        <x:f>'All Physical Cards'!E848</x:f>
        <x:v>Legends Awakened</x:v>
      </x:c>
      <x:c r="F131" t="n">
        <x:f>'All Physical Cards'!F848</x:f>
        <x:v>2008</x:v>
      </x:c>
      <x:c r="G131" t="str">
        <x:f>'All Physical Cards'!G848</x:f>
        <x:v>Holofoil Ultra Rare (LV.X)</x:v>
      </x:c>
      <x:c r="H131" t="str">
        <x:f>'All Physical Cards'!H848</x:f>
        <x:v>4 of 4</x:v>
      </x:c>
      <x:c r="I131" t="n">
        <x:f>'All Physical Cards'!I848</x:f>
        <x:v>80</x:v>
      </x:c>
      <x:c r="J131" t="n">
        <x:f>'All Physical Cards'!J848</x:f>
        <x:v>100</x:v>
      </x:c>
      <x:c r="K131" t="n">
        <x:f>'All Physical Cards'!K848</x:f>
        <x:v>90</x:v>
      </x:c>
      <x:c r="L131" t="n">
        <x:f>'All Physical Cards'!S848</x:f>
        <x:v>90</x:v>
      </x:c>
      <x:c r="M131" t="str">
        <x:f>'All Physical Cards'!P848</x:f>
        <x:v>Condition not yet reviewed</x:v>
      </x:c>
      <x:c r="N131" t="str">
        <x:v>Strong raw value with meaningful grading upside; LV.X-era scarcity; Older card; high-grade supply is naturally thinner</x:v>
      </x:c>
      <x:c r="O131" t="str">
        <x:v>Known wear already reported — inspect first; likely hold raw unless the actual card presents much better than the note.</x:v>
      </x:c>
      <x:c r="P131" t="str">
        <x:v>Pre-grade now; prioritize for the first future PSA Value/special submission.</x:v>
      </x:c>
      <x:c r="Q131" t="str">
        <x:v>Not inspected — new physical copy from updated Collection.pdf</x:v>
      </x:c>
      <x:c r="R131" t="str">
        <x:v>Undecided</x:v>
      </x:c>
      <x:c r="S131" t="str">
        <x:f>'All Physical Cards'!W848</x:f>
        <x:v>https://www.pricecharting.com/game/pokemon-legends-awakened/gliscor-lv-x-141</x:v>
      </x:c>
      <x:c r="T131" s="20"/>
      <x:c r="U131" s="20"/>
      <x:c r="V131" s="20"/>
      <x:c r="W131" s="20"/>
      <x:c r="X131" s="20"/>
      <x:c r="Y131" s="20"/>
      <x:c r="Z131" s="20"/>
      <x:c r="AA131" s="20"/>
      <x:c r="AB131" s="20"/>
      <x:c r="AC131" s="20" t="str">
        <x:v>PriceCharting baseline retained. Exact PSA sales data were not sufficiently useful/available in the verification pass; no unrelated printing or variant was substituted.</x:v>
      </x:c>
      <x:c r="AD131" s="20" t="str">
        <x:v>https://www.pricecharting.com/game/pokemon-legends-awakened/gliscor-lv-x-141</x:v>
      </x:c>
      <x:c r="AE131" s="20"/>
      <x:c r="AF131" s="20"/>
      <x:c r="AG131" s="20"/>
      <x:c r="AH131" s="20"/>
      <x:c r="AI131" s="20"/>
      <x:c r="AJ131" s="20"/>
      <x:c r="AK131" s="20" t="n">
        <x:v>132.8</x:v>
      </x:c>
      <x:c r="AL131" s="20" t="n">
        <x:v>178.14</x:v>
      </x:c>
      <x:c r="AM131" s="20" t="n">
        <x:v>490.11</x:v>
      </x:c>
      <x:c r="AN131" s="20" t="n">
        <x:v>5667.97</x:v>
      </x:c>
      <x:c r="AO131" s="20"/>
      <x:c r="AP131" s="20"/>
      <x:c r="AQ131" s="20"/>
      <x:c r="AR131" s="20" t="str">
        <x:v>PriceCharting baseline</x:v>
      </x:c>
      <x:c r="AS131" s="20" t="str">
        <x:v>PriceCharting grade value retained where an exact, sufficiently useful PSA sales cross-check was not found. No unrelated printing/variant was substituted.</x:v>
      </x:c>
      <x:c r="AT131" s="20" t="n">
        <x:v>45</x:v>
      </x:c>
      <x:c r="AU131" s="20"/>
      <x:c r="AV131" s="20"/>
      <x:c r="AW131" s="20" t="n">
        <x:v>104</x:v>
      </x:c>
      <x:c r="AX131" s="20" t="n">
        <x:v>14</x:v>
      </x:c>
      <x:c r="AY131" s="20"/>
      <x:c r="AZ131" s="20" t="str">
        <x:v>https://www.psacard.com/cert/99090976/psa | https://www.psacard.com/cert/28625500/psa</x:v>
      </x:c>
      <x:c r="BA131" s="20" t="str">
        <x:v>PSA direct cert populations. PSA 7/8 not directly resolved.</x:v>
      </x:c>
    </x:row>
    <x:row r="132">
      <x:c r="A132" t="str">
        <x:v>A — Priority</x:v>
      </x:c>
      <x:c r="B132" t="n">
        <x:f>'All Physical Cards'!A849</x:f>
        <x:v>849</x:v>
      </x:c>
      <x:c r="C132" t="str">
        <x:f>'All Physical Cards'!C849</x:f>
        <x:v>M Gyarados-EX</x:v>
      </x:c>
      <x:c r="D132" t="str">
        <x:f>'All Physical Cards'!D849</x:f>
        <x:v>115/122</x:v>
      </x:c>
      <x:c r="E132" t="str">
        <x:f>'All Physical Cards'!E849</x:f>
        <x:v>XY—BREAKpoint</x:v>
      </x:c>
      <x:c r="F132" t="n">
        <x:f>'All Physical Cards'!F849</x:f>
        <x:v>2016</x:v>
      </x:c>
      <x:c r="G132" t="str">
        <x:f>'All Physical Cards'!G849</x:f>
        <x:v>Shiny Full Art Holo Ultra Rare</x:v>
      </x:c>
      <x:c r="H132" t="str">
        <x:f>'All Physical Cards'!H849</x:f>
        <x:v>2 of 2</x:v>
      </x:c>
      <x:c r="I132" t="n">
        <x:f>'All Physical Cards'!I849</x:f>
        <x:v>90</x:v>
      </x:c>
      <x:c r="J132" t="n">
        <x:f>'All Physical Cards'!J849</x:f>
        <x:v>125</x:v>
      </x:c>
      <x:c r="K132" t="n">
        <x:f>'All Physical Cards'!K849</x:f>
        <x:v>107.5</x:v>
      </x:c>
      <x:c r="L132" t="n">
        <x:f>'All Physical Cards'!S849</x:f>
        <x:v>107.5</x:v>
      </x:c>
      <x:c r="M132" t="str">
        <x:f>'All Physical Cards'!P849</x:f>
        <x:v>Condition not yet reviewed</x:v>
      </x:c>
      <x:c r="N132" t="str">
        <x:v>High raw value; grading can materially improve liquidity/value; Secret/Shiny premium printing; Popular Pokémon demand</x:v>
      </x:c>
      <x:c r="O132" t="str">
        <x:v>Inspect closely. Submit if roughly PSA 8/9+ caliber; 9/10 is ideal.</x:v>
      </x:c>
      <x:c r="P132" t="str">
        <x:v>Pre-grade now; submit when a cheaper PSA tier/special is available unless the card is an obvious high-grade outlier.</x:v>
      </x:c>
      <x:c r="Q132" t="str">
        <x:v>Not inspected — new physical copy from updated Collection.pdf</x:v>
      </x:c>
      <x:c r="R132" t="str">
        <x:v>Undecided</x:v>
      </x:c>
      <x:c r="S132" t="str">
        <x:f>'All Physical Cards'!W849</x:f>
        <x:v>https://www.pricecharting.com/game/pokemon-breakpoint/m-gyarados-ex-115</x:v>
      </x:c>
      <x:c r="T132" s="20"/>
      <x:c r="U132" s="20"/>
      <x:c r="V132" s="20"/>
      <x:c r="W132" s="20"/>
      <x:c r="X132" s="20"/>
      <x:c r="Y132" s="20"/>
      <x:c r="Z132" s="20"/>
      <x:c r="AA132" s="20"/>
      <x:c r="AB132" s="20"/>
      <x:c r="AC132" s="20" t="str">
        <x:v>Reconciled grade value: PriceCharting baseline + exact PSA cert/sales-history cross-check where sufficiently useful. Recent PSA sale medians override PriceCharting when multiple exact sales were available; thin PSA data are flagged rather than extrapolated.</x:v>
      </x:c>
      <x:c r="AD132" s="20" t="str">
        <x:v>https://www.pricecharting.com/game/pokemon-breakpoint/m-gyarados-ex-115</x:v>
      </x:c>
      <x:c r="AE132" s="20"/>
      <x:c r="AF132" s="20"/>
      <x:c r="AG132" s="20"/>
      <x:c r="AH132" s="20"/>
      <x:c r="AI132" s="20"/>
      <x:c r="AJ132" s="20"/>
      <x:c r="AK132" s="20" t="n">
        <x:v>99.99</x:v>
      </x:c>
      <x:c r="AL132" s="20" t="n">
        <x:v>130</x:v>
      </x:c>
      <x:c r="AM132" s="20" t="n">
        <x:v>215</x:v>
      </x:c>
      <x:c r="AN132" s="20" t="n">
        <x:v>1400</x:v>
      </x:c>
      <x:c r="AO132" s="20"/>
      <x:c r="AP132" s="20"/>
      <x:c r="AQ132" s="20"/>
      <x:c r="AR132" s="20" t="str">
        <x:v>PSA sales verified — PSA 9/10</x:v>
      </x:c>
      <x:c r="AS132" s="20" t="str">
        <x:v>Exact BREAKpoint #115. Recent PSA 9 median ~$215; PSA 10 median ~$1,400. Other grades retain PriceCharting. Sources: https://www.psacard.com/cert/91285320 and https://www.psacard.com/cert/41388950</x:v>
      </x:c>
      <x:c r="AT132" s="20"/>
      <x:c r="AU132" s="20"/>
      <x:c r="AV132" s="20" t="n">
        <x:v>821</x:v>
      </x:c>
      <x:c r="AW132" s="20" t="n">
        <x:v>1319</x:v>
      </x:c>
      <x:c r="AX132" s="20" t="n">
        <x:v>807</x:v>
      </x:c>
      <x:c r="AY132" s="20"/>
      <x:c r="AZ132" s="20" t="str">
        <x:v>https://www.psacard.com/cert/95734162/psa | https://www.psacard.com/cert/73701692/psa | https://www.psacard.com/cert/106312771/psa</x:v>
      </x:c>
      <x:c r="BA132" s="20" t="str">
        <x:v>PSA direct cert populations. PSA 6/7 not directly resolved.</x:v>
      </x:c>
    </x:row>
    <x:row r="133">
      <x:c r="A133" t="str">
        <x:v>A — Priority</x:v>
      </x:c>
      <x:c r="B133" t="n">
        <x:f>'All Physical Cards'!A850</x:f>
        <x:v>850</x:v>
      </x:c>
      <x:c r="C133" t="str">
        <x:f>'All Physical Cards'!C850</x:f>
        <x:v>Iris</x:v>
      </x:c>
      <x:c r="D133" t="str">
        <x:f>'All Physical Cards'!D850</x:f>
        <x:v>101/101</x:v>
      </x:c>
      <x:c r="E133" t="str">
        <x:f>'All Physical Cards'!E850</x:f>
        <x:v>Plasma Blast</x:v>
      </x:c>
      <x:c r="F133" t="n">
        <x:f>'All Physical Cards'!F850</x:f>
        <x:v>2013</x:v>
      </x:c>
      <x:c r="G133" t="str">
        <x:f>'All Physical Cards'!G850</x:f>
        <x:v>Full Art Holo Ultra Rare Trainer</x:v>
      </x:c>
      <x:c r="H133" t="str">
        <x:f>'All Physical Cards'!H850</x:f>
        <x:v>2 of 2</x:v>
      </x:c>
      <x:c r="I133" t="n">
        <x:f>'All Physical Cards'!I850</x:f>
        <x:v>90</x:v>
      </x:c>
      <x:c r="J133" t="n">
        <x:f>'All Physical Cards'!J850</x:f>
        <x:v>125</x:v>
      </x:c>
      <x:c r="K133" t="n">
        <x:f>'All Physical Cards'!K850</x:f>
        <x:v>107.5</x:v>
      </x:c>
      <x:c r="L133" t="n">
        <x:f>'All Physical Cards'!S850</x:f>
        <x:v>107.5</x:v>
      </x:c>
      <x:c r="M133" t="str">
        <x:f>'All Physical Cards'!P850</x:f>
        <x:v>Condition not yet reviewed</x:v>
      </x:c>
      <x:c r="N133" t="str">
        <x:v>High raw value; grading can materially improve liquidity/value; Full Art collector demand</x:v>
      </x:c>
      <x:c r="O133" t="str">
        <x:v>Inspect closely. Submit if roughly PSA 8/9+ caliber; 9/10 is ideal.</x:v>
      </x:c>
      <x:c r="P133" t="str">
        <x:v>Pre-grade now; submit when a cheaper PSA tier/special is available unless the card is an obvious high-grade outlier.</x:v>
      </x:c>
      <x:c r="Q133" t="str">
        <x:v>Not inspected — new physical copy from updated Collection.pdf</x:v>
      </x:c>
      <x:c r="R133" t="str">
        <x:v>Undecided</x:v>
      </x:c>
      <x:c r="S133" t="str">
        <x:f>'All Physical Cards'!W850</x:f>
        <x:v>https://www.pricecharting.com/game/pokemon-plasma-blast/iris-101</x:v>
      </x:c>
      <x:c r="T133" s="20"/>
      <x:c r="U133" s="20"/>
      <x:c r="V133" s="20"/>
      <x:c r="W133" s="20"/>
      <x:c r="X133" s="20"/>
      <x:c r="Y133" s="20"/>
      <x:c r="Z133" s="20"/>
      <x:c r="AA133" s="20"/>
      <x:c r="AB133" s="20"/>
      <x:c r="AC133" s="20" t="str">
        <x:v>Reconciled grade value: PriceCharting baseline + exact PSA cert/sales-history cross-check where sufficiently useful. Recent PSA sale medians override PriceCharting when multiple exact sales were available; thin PSA data are flagged rather than extrapolated.</x:v>
      </x:c>
      <x:c r="AD133" s="20" t="str">
        <x:v>https://www.pricecharting.com/game/pokemon-plasma-blast/iris-101</x:v>
      </x:c>
      <x:c r="AE133" s="20"/>
      <x:c r="AF133" s="20"/>
      <x:c r="AG133" s="20"/>
      <x:c r="AH133" s="20"/>
      <x:c r="AI133" s="20"/>
      <x:c r="AJ133" s="20"/>
      <x:c r="AK133" s="20" t="n">
        <x:v>141</x:v>
      </x:c>
      <x:c r="AL133" s="20" t="n">
        <x:v>153.53</x:v>
      </x:c>
      <x:c r="AM133" s="20" t="n">
        <x:v>363.16</x:v>
      </x:c>
      <x:c r="AN133" s="20" t="n">
        <x:v>3450.85</x:v>
      </x:c>
      <x:c r="AO133" s="20"/>
      <x:c r="AP133" s="20"/>
      <x:c r="AQ133" s="20"/>
      <x:c r="AR133" s="20" t="str">
        <x:v>PSA sales verified — PSA 9</x:v>
      </x:c>
      <x:c r="AS133" s="20" t="str">
        <x:v>Exact Plasma Blast #101. Recent PSA 9 sales median ~$363.16. Other grades retain PriceCharting. Source: https://www.psacard.com/cert/56112007</x:v>
      </x:c>
      <x:c r="AT133" s="20"/>
      <x:c r="AU133" s="20"/>
      <x:c r="AV133" s="20" t="n">
        <x:v>211</x:v>
      </x:c>
      <x:c r="AW133" s="20"/>
      <x:c r="AX133" s="20"/>
      <x:c r="AY133" s="20"/>
      <x:c r="AZ133" s="20" t="str">
        <x:v>https://www.psacard.com/cert/78279603/psa</x:v>
      </x:c>
      <x:c r="BA133" s="20" t="str">
        <x:v>PSA direct cert population for PSA 8. Other grades not directly resolved.</x:v>
      </x:c>
    </x:row>
    <x:row r="134">
      <x:c r="A134" t="str">
        <x:v>A — Priority</x:v>
      </x:c>
      <x:c r="B134" t="n">
        <x:f>'All Physical Cards'!A851</x:f>
        <x:v>851</x:v>
      </x:c>
      <x:c r="C134" t="str">
        <x:f>'All Physical Cards'!C851</x:f>
        <x:v>Suicune &amp; Entei LEGEND</x:v>
      </x:c>
      <x:c r="D134" t="str">
        <x:f>'All Physical Cards'!D851</x:f>
        <x:v>95/95</x:v>
      </x:c>
      <x:c r="E134" t="str">
        <x:f>'All Physical Cards'!E851</x:f>
        <x:v>HS—Unleashed</x:v>
      </x:c>
      <x:c r="F134" t="n">
        <x:f>'All Physical Cards'!F851</x:f>
        <x:v>2010</x:v>
      </x:c>
      <x:c r="G134" t="str">
        <x:f>'All Physical Cards'!G851</x:f>
        <x:v>LEGEND Bottom Half Holo Ultra Rare</x:v>
      </x:c>
      <x:c r="H134" t="str">
        <x:f>'All Physical Cards'!H851</x:f>
        <x:v>2 of 2</x:v>
      </x:c>
      <x:c r="I134" t="n">
        <x:f>'All Physical Cards'!I851</x:f>
        <x:v>90</x:v>
      </x:c>
      <x:c r="J134" t="n">
        <x:f>'All Physical Cards'!J851</x:f>
        <x:v>130</x:v>
      </x:c>
      <x:c r="K134" t="n">
        <x:f>'All Physical Cards'!K851</x:f>
        <x:v>110</x:v>
      </x:c>
      <x:c r="L134" t="n">
        <x:f>'All Physical Cards'!S851</x:f>
        <x:v>110</x:v>
      </x:c>
      <x:c r="M134" t="str">
        <x:f>'All Physical Cards'!P851</x:f>
        <x:v>Condition not yet reviewed</x:v>
      </x:c>
      <x:c r="N134" t="str">
        <x:v>High raw value; grading can materially improve liquidity/value; LEGEND-era scarcity; Popular Pokémon demand</x:v>
      </x:c>
      <x:c r="O134" t="str">
        <x:v>Known wear already reported — inspect first; likely hold raw unless the actual card presents much better than the note.</x:v>
      </x:c>
      <x:c r="P134" t="str">
        <x:v>Pre-grade now; submit when a cheaper PSA tier/special is available unless the card is an obvious high-grade outlier.</x:v>
      </x:c>
      <x:c r="Q134" t="str">
        <x:v>Not inspected — new physical copy from updated Collection.pdf</x:v>
      </x:c>
      <x:c r="R134" t="str">
        <x:v>Undecided</x:v>
      </x:c>
      <x:c r="S134" t="str">
        <x:f>'All Physical Cards'!W851</x:f>
        <x:v>https://www.pricecharting.com/game/pokemon-unleashed/suicune-%26-entei-legend-95</x:v>
      </x:c>
      <x:c r="T134" s="20"/>
      <x:c r="U134" s="20"/>
      <x:c r="V134" s="20"/>
      <x:c r="W134" s="20"/>
      <x:c r="X134" s="20"/>
      <x:c r="Y134" s="20"/>
      <x:c r="Z134" s="20"/>
      <x:c r="AA134" s="20"/>
      <x:c r="AB134" s="20"/>
      <x:c r="AC134" s="20" t="str">
        <x:v>Reconciled grade value: PriceCharting baseline + exact PSA cert/sales-history cross-check where sufficiently useful. Recent PSA sale medians override PriceCharting when multiple exact sales were available; thin PSA data are flagged rather than extrapolated.</x:v>
      </x:c>
      <x:c r="AD134" s="20" t="str">
        <x:v>https://www.pricecharting.com/game/pokemon-unleashed/suicune-%26-entei-legend-95</x:v>
      </x:c>
      <x:c r="AE134" s="20"/>
      <x:c r="AF134" s="20"/>
      <x:c r="AG134" s="20"/>
      <x:c r="AH134" s="20"/>
      <x:c r="AI134" s="20"/>
      <x:c r="AJ134" s="20"/>
      <x:c r="AK134" s="20" t="n">
        <x:v>158.75</x:v>
      </x:c>
      <x:c r="AL134" s="20" t="n">
        <x:v>213.91</x:v>
      </x:c>
      <x:c r="AM134" s="20" t="n">
        <x:v>770.26</x:v>
      </x:c>
      <x:c r="AN134" s="20" t="n">
        <x:v>1535.5</x:v>
      </x:c>
      <x:c r="AO134" s="20"/>
      <x:c r="AP134" s="20"/>
      <x:c r="AQ134" s="20"/>
      <x:c r="AR134" s="20" t="str">
        <x:v>PSA 10 checked — thin data, PriceCharting retained</x:v>
      </x:c>
      <x:c r="AS134" s="20" t="str">
        <x:v>Exact Unleashed #95 PSA 10 is extremely low-pop; most recent PSA sale found was $2,520 in Aug. 2025 and PSA estimate was much higher. Retained PriceCharting rather than extrapolate from sparse data. Source: https://www.psacard.com/cert/47552317</x:v>
      </x:c>
      <x:c r="AT134" s="20"/>
      <x:c r="AU134" s="20"/>
      <x:c r="AV134" s="20"/>
      <x:c r="AW134" s="20" t="n">
        <x:v>141</x:v>
      </x:c>
      <x:c r="AX134" s="20" t="n">
        <x:v>15</x:v>
      </x:c>
      <x:c r="AY134" s="20"/>
      <x:c r="AZ134" s="20" t="str">
        <x:v>https://www.psacard.com/cert/92148304/psa</x:v>
      </x:c>
      <x:c r="BA134" s="20" t="str">
        <x:v>PSA direct cert population for PSA 9; PSA 10 from Pop Higher. PSA 6–8 not directly resolved.</x:v>
      </x:c>
    </x:row>
    <x:row r="135">
      <x:c r="A135" t="str">
        <x:v>A — Priority</x:v>
      </x:c>
      <x:c r="B135" t="n">
        <x:f>'All Physical Cards'!A852</x:f>
        <x:v>852</x:v>
      </x:c>
      <x:c r="C135" t="str">
        <x:f>'All Physical Cards'!C852</x:f>
        <x:v>Thundurus-EX</x:v>
      </x:c>
      <x:c r="D135" t="str">
        <x:f>'All Physical Cards'!D852</x:f>
        <x:v>110/116</x:v>
      </x:c>
      <x:c r="E135" t="str">
        <x:f>'All Physical Cards'!E852</x:f>
        <x:v>Plasma Freeze</x:v>
      </x:c>
      <x:c r="F135" t="n">
        <x:f>'All Physical Cards'!F852</x:f>
        <x:v>2013</x:v>
      </x:c>
      <x:c r="G135" t="str">
        <x:f>'All Physical Cards'!G852</x:f>
        <x:v>Full Art Holo Ultra Rare (Team Plasma)</x:v>
      </x:c>
      <x:c r="H135" t="str">
        <x:f>'All Physical Cards'!H852</x:f>
        <x:v>2 of 2</x:v>
      </x:c>
      <x:c r="I135" t="n">
        <x:f>'All Physical Cards'!I852</x:f>
        <x:v>95</x:v>
      </x:c>
      <x:c r="J135" t="n">
        <x:f>'All Physical Cards'!J852</x:f>
        <x:v>130</x:v>
      </x:c>
      <x:c r="K135" t="n">
        <x:f>'All Physical Cards'!K852</x:f>
        <x:v>112.5</x:v>
      </x:c>
      <x:c r="L135" t="n">
        <x:f>'All Physical Cards'!S852</x:f>
        <x:v>112.5</x:v>
      </x:c>
      <x:c r="M135" t="str">
        <x:f>'All Physical Cards'!P852</x:f>
        <x:v>Condition not yet reviewed</x:v>
      </x:c>
      <x:c r="N135" t="str">
        <x:v>High raw value; grading can materially improve liquidity/value; Full Art collector demand</x:v>
      </x:c>
      <x:c r="O135" t="str">
        <x:v>Inspect closely. Submit if roughly PSA 8/9+ caliber; 9/10 is ideal.</x:v>
      </x:c>
      <x:c r="P135" t="str">
        <x:v>Pre-grade now; submit when a cheaper PSA tier/special is available unless the card is an obvious high-grade outlier.</x:v>
      </x:c>
      <x:c r="Q135" t="str">
        <x:v>Not inspected — new physical copy from updated Collection.pdf</x:v>
      </x:c>
      <x:c r="R135" t="str">
        <x:v>Undecided</x:v>
      </x:c>
      <x:c r="S135" t="str">
        <x:f>'All Physical Cards'!W852</x:f>
        <x:v>https://www.pricecharting.com/game/pokemon-plasma-freeze/thundurus-ex-110</x:v>
      </x:c>
      <x:c r="T135" s="20"/>
      <x:c r="U135" s="20"/>
      <x:c r="V135" s="20"/>
      <x:c r="W135" s="20"/>
      <x:c r="X135" s="20"/>
      <x:c r="Y135" s="20"/>
      <x:c r="Z135" s="20"/>
      <x:c r="AA135" s="20"/>
      <x:c r="AB135" s="20"/>
      <x:c r="AC135" s="20" t="str">
        <x:v>Reconciled grade value: PriceCharting baseline + exact PSA cert/sales-history cross-check where sufficiently useful. Recent PSA sale medians override PriceCharting when multiple exact sales were available; thin PSA data are flagged rather than extrapolated.</x:v>
      </x:c>
      <x:c r="AD135" s="20" t="str">
        <x:v>https://www.pricecharting.com/game/pokemon-plasma-freeze/thundurus-ex-110</x:v>
      </x:c>
      <x:c r="AE135" s="20"/>
      <x:c r="AF135" s="20"/>
      <x:c r="AG135" s="20"/>
      <x:c r="AH135" s="20"/>
      <x:c r="AI135" s="20"/>
      <x:c r="AJ135" s="20"/>
      <x:c r="AK135" s="20" t="n">
        <x:v>129.31</x:v>
      </x:c>
      <x:c r="AL135" s="20" t="n">
        <x:v>220</x:v>
      </x:c>
      <x:c r="AM135" s="20" t="n">
        <x:v>700</x:v>
      </x:c>
      <x:c r="AN135" s="20" t="n">
        <x:v>1466</x:v>
      </x:c>
      <x:c r="AO135" s="20"/>
      <x:c r="AP135" s="20"/>
      <x:c r="AQ135" s="20"/>
      <x:c r="AR135" s="20" t="str">
        <x:v>PSA sales verified — PSA 9; PSA 10 thin</x:v>
      </x:c>
      <x:c r="AS135" s="20" t="str">
        <x:v>Exact Plasma Freeze #110. PSA 9 recent median ~$700. PSA 10 has very thin low-pop data (one 2026 sale at $4,060); used PSA's current estimate ~$1,466 rather than that single sale. Source: https://www.psacard.com/cert/40771023 and https://www.psacard.com/cert/41004794</x:v>
      </x:c>
      <x:c r="AT135" s="20" t="n">
        <x:v>41</x:v>
      </x:c>
      <x:c r="AU135" s="20" t="n">
        <x:v>84</x:v>
      </x:c>
      <x:c r="AV135" s="20" t="n">
        <x:v>115</x:v>
      </x:c>
      <x:c r="AW135" s="20" t="n">
        <x:v>93</x:v>
      </x:c>
      <x:c r="AX135" s="20" t="n">
        <x:v>21</x:v>
      </x:c>
      <x:c r="AY135" s="20"/>
      <x:c r="AZ135" s="20" t="str">
        <x:v>https://www.psacard.com/cert/40771019/psa | https://www.psacard.com/Pop</x:v>
      </x:c>
      <x:c r="BA135" s="20" t="str">
        <x:v>PSA-only figures: lower grades from PSA's official population/APR table checked during the audit; PSA 9/10 refreshed from PSA cert data.</x:v>
      </x:c>
    </x:row>
    <x:row r="136">
      <x:c r="A136" t="str">
        <x:v>A — Priority</x:v>
      </x:c>
      <x:c r="B136" t="n">
        <x:f>'All Physical Cards'!A853</x:f>
        <x:v>853</x:v>
      </x:c>
      <x:c r="C136" t="str">
        <x:f>'All Physical Cards'!C853</x:f>
        <x:v>Palkia &amp; Dialga LEGEND</x:v>
      </x:c>
      <x:c r="D136" t="str">
        <x:f>'All Physical Cards'!D853</x:f>
        <x:v>101/102</x:v>
      </x:c>
      <x:c r="E136" t="str">
        <x:f>'All Physical Cards'!E853</x:f>
        <x:v>HS—Triumphant</x:v>
      </x:c>
      <x:c r="F136" t="n">
        <x:f>'All Physical Cards'!F853</x:f>
        <x:v>2010</x:v>
      </x:c>
      <x:c r="G136" t="str">
        <x:f>'All Physical Cards'!G853</x:f>
        <x:v>LEGEND Top Half Holo Ultra Rare</x:v>
      </x:c>
      <x:c r="H136" t="str">
        <x:f>'All Physical Cards'!H853</x:f>
        <x:v>2 of 2</x:v>
      </x:c>
      <x:c r="I136" t="n">
        <x:f>'All Physical Cards'!I853</x:f>
        <x:v>100</x:v>
      </x:c>
      <x:c r="J136" t="n">
        <x:f>'All Physical Cards'!J853</x:f>
        <x:v>140</x:v>
      </x:c>
      <x:c r="K136" t="n">
        <x:f>'All Physical Cards'!K853</x:f>
        <x:v>120</x:v>
      </x:c>
      <x:c r="L136" t="n">
        <x:f>'All Physical Cards'!S853</x:f>
        <x:v>120</x:v>
      </x:c>
      <x:c r="M136" t="str">
        <x:f>'All Physical Cards'!P853</x:f>
        <x:v>Condition not yet reviewed</x:v>
      </x:c>
      <x:c r="N136" t="str">
        <x:v>High raw value; grading can materially improve liquidity/value; LEGEND-era scarcity; Older card; high-grade supply is naturally thinner</x:v>
      </x:c>
      <x:c r="O136" t="str">
        <x:v>Inspect closely. Submit if roughly PSA 8/9+ caliber; 9/10 is ideal.</x:v>
      </x:c>
      <x:c r="P136" t="str">
        <x:v>Pre-grade now; submit when a cheaper PSA tier/special is available unless the card is an obvious high-grade outlier.</x:v>
      </x:c>
      <x:c r="Q136" t="str">
        <x:v>Not inspected — new physical copy from updated Collection.pdf</x:v>
      </x:c>
      <x:c r="R136" t="str">
        <x:v>Undecided</x:v>
      </x:c>
      <x:c r="S136" t="str">
        <x:f>'All Physical Cards'!W853</x:f>
        <x:v>https://www.pricecharting.com/game/pokemon-triumphant/palkia-%26-dialga-legend-101</x:v>
      </x:c>
      <x:c r="T136" s="20"/>
      <x:c r="U136" s="20"/>
      <x:c r="V136" s="20"/>
      <x:c r="W136" s="20"/>
      <x:c r="X136" s="20"/>
      <x:c r="Y136" s="20"/>
      <x:c r="Z136" s="20"/>
      <x:c r="AA136" s="20"/>
      <x:c r="AB136" s="20"/>
      <x:c r="AC136" s="20" t="str">
        <x:v>Reconciled grade value: PriceCharting baseline + exact PSA cert/sales-history cross-check where sufficiently useful. Recent PSA sale medians override PriceCharting when multiple exact sales were available; thin PSA data are flagged rather than extrapolated.</x:v>
      </x:c>
      <x:c r="AD136" s="20" t="str">
        <x:v>https://www.pricecharting.com/game/pokemon-triumphant/palkia-%26-dialga-legend-101</x:v>
      </x:c>
      <x:c r="AE136" s="20"/>
      <x:c r="AF136" s="20"/>
      <x:c r="AG136" s="20"/>
      <x:c r="AH136" s="20"/>
      <x:c r="AI136" s="20"/>
      <x:c r="AJ136" s="20"/>
      <x:c r="AK136" s="20" t="n">
        <x:v>151.72</x:v>
      </x:c>
      <x:c r="AL136" s="20" t="n">
        <x:v>187.5</x:v>
      </x:c>
      <x:c r="AM136" s="20" t="n">
        <x:v>367.53</x:v>
      </x:c>
      <x:c r="AN136" s="20" t="n">
        <x:v>3750</x:v>
      </x:c>
      <x:c r="AO136" s="20"/>
      <x:c r="AP136" s="20"/>
      <x:c r="AQ136" s="20"/>
      <x:c r="AR136" s="20" t="str">
        <x:v>PSA sales verified — PSA 9</x:v>
      </x:c>
      <x:c r="AS136" s="20" t="str">
        <x:v>Exact Triumphant #101 top half. Recent PSA 9 sales centered around ~$368-$405; reconciled at $367.53. Other grades retain PriceCharting. Source: https://www.psacard.com/cert/116349829</x:v>
      </x:c>
      <x:c r="AT136" s="20"/>
      <x:c r="AU136" s="20"/>
      <x:c r="AV136" s="20" t="n">
        <x:v>384</x:v>
      </x:c>
      <x:c r="AW136" s="20" t="n">
        <x:v>453</x:v>
      </x:c>
      <x:c r="AX136" s="20" t="n">
        <x:v>134</x:v>
      </x:c>
      <x:c r="AY136" s="20"/>
      <x:c r="AZ136" s="20" t="str">
        <x:v>https://www.psacard.com/cert/143082907/psa | https://www.psacard.com/cert/123605776/psa</x:v>
      </x:c>
      <x:c r="BA136" s="20" t="str">
        <x:v>PSA direct cert populations. PSA 10 from PSA 9 Pop Higher. PSA 6/7 not directly resolved.</x:v>
      </x:c>
    </x:row>
    <x:row r="137">
      <x:c r="A137" t="str">
        <x:v>A — Priority</x:v>
      </x:c>
      <x:c r="B137" t="n">
        <x:f>'All Physical Cards'!A854</x:f>
        <x:v>854</x:v>
      </x:c>
      <x:c r="C137" t="str">
        <x:f>'All Physical Cards'!C854</x:f>
        <x:v>Genesect-EX</x:v>
      </x:c>
      <x:c r="D137" t="str">
        <x:f>'All Physical Cards'!D854</x:f>
        <x:v>97/101</x:v>
      </x:c>
      <x:c r="E137" t="str">
        <x:f>'All Physical Cards'!E854</x:f>
        <x:v>Plasma Blast</x:v>
      </x:c>
      <x:c r="F137" t="n">
        <x:f>'All Physical Cards'!F854</x:f>
        <x:v>2013</x:v>
      </x:c>
      <x:c r="G137" t="str">
        <x:f>'All Physical Cards'!G854</x:f>
        <x:v>Full Art Holo Ultra Rare (Team Plasma)</x:v>
      </x:c>
      <x:c r="H137" t="str">
        <x:v>2 of 2</x:v>
      </x:c>
      <x:c r="I137" t="n">
        <x:f>'All Physical Cards'!I854</x:f>
        <x:v>90</x:v>
      </x:c>
      <x:c r="J137" t="n">
        <x:f>'All Physical Cards'!J854</x:f>
        <x:v>160</x:v>
      </x:c>
      <x:c r="K137" t="n">
        <x:f>'All Physical Cards'!K854</x:f>
        <x:v>125</x:v>
      </x:c>
      <x:c r="L137" t="n">
        <x:f>'All Physical Cards'!S854</x:f>
        <x:v>125</x:v>
      </x:c>
      <x:c r="M137" t="str">
        <x:f>'All Physical Cards'!P854</x:f>
        <x:v>Condition not yet reviewed</x:v>
      </x:c>
      <x:c r="N137" t="str">
        <x:v>High raw value; grading can materially improve liquidity/value; Full Art collector demand</x:v>
      </x:c>
      <x:c r="O137" t="str">
        <x:v>Inspect closely. Submit if roughly PSA 8/9+ caliber; 9/10 is ideal.</x:v>
      </x:c>
      <x:c r="P137" t="str">
        <x:v>Pre-grade now; submit when a cheaper PSA tier/special is available unless the card is an obvious high-grade outlier.</x:v>
      </x:c>
      <x:c r="Q137" t="str">
        <x:v>Not inspected — new physical copy from updated Collection.pdf</x:v>
      </x:c>
      <x:c r="R137" t="str">
        <x:v>Undecided</x:v>
      </x:c>
      <x:c r="S137" t="str">
        <x:f>'All Physical Cards'!W854</x:f>
        <x:v>https://www.pricecharting.com/game/pokemon-plasma-blast/genesect-ex-97</x:v>
      </x:c>
      <x:c r="T137" s="20"/>
      <x:c r="U137" s="20"/>
      <x:c r="V137" s="20"/>
      <x:c r="W137" s="20"/>
      <x:c r="X137" s="20"/>
      <x:c r="Y137" s="20"/>
      <x:c r="Z137" s="20"/>
      <x:c r="AA137" s="20"/>
      <x:c r="AB137" s="20"/>
      <x:c r="AC137" s="20" t="str">
        <x:v>Reconciled grade value: PriceCharting baseline + exact PSA cert/sales-history cross-check where sufficiently useful. Recent PSA sale medians override PriceCharting when multiple exact sales were available; thin PSA data are flagged rather than extrapolated.</x:v>
      </x:c>
      <x:c r="AD137" s="20" t="str">
        <x:v>https://www.pricecharting.com/game/pokemon-plasma-blast/genesect-ex-97</x:v>
      </x:c>
      <x:c r="AE137" s="20"/>
      <x:c r="AF137" s="20"/>
      <x:c r="AG137" s="20"/>
      <x:c r="AH137" s="20"/>
      <x:c r="AI137" s="20"/>
      <x:c r="AJ137" s="20"/>
      <x:c r="AK137" s="20" t="n">
        <x:v>207</x:v>
      </x:c>
      <x:c r="AL137" s="20" t="n">
        <x:v>402.84</x:v>
      </x:c>
      <x:c r="AM137" s="20" t="n">
        <x:v>825</x:v>
      </x:c>
      <x:c r="AN137" s="20" t="n">
        <x:v>6500</x:v>
      </x:c>
      <x:c r="AO137" s="20"/>
      <x:c r="AP137" s="20"/>
      <x:c r="AQ137" s="20"/>
      <x:c r="AR137" s="20" t="str">
        <x:v>PSA sales verified — PSA 9</x:v>
      </x:c>
      <x:c r="AS137" s="20" t="str">
        <x:v>Exact Plasma Blast #97. Recent PSA 9 median ~$825. Other grades retain PriceCharting. Source: https://www.psacard.com/cert/23986953</x:v>
      </x:c>
      <x:c r="AT137" s="20"/>
      <x:c r="AU137" s="20"/>
      <x:c r="AV137" s="20"/>
      <x:c r="AW137" s="20" t="n">
        <x:v>121</x:v>
      </x:c>
      <x:c r="AX137" s="20" t="n">
        <x:v>25</x:v>
      </x:c>
      <x:c r="AY137" s="20"/>
      <x:c r="AZ137" s="20" t="str">
        <x:v>https://www.psacard.com/cert/24554846/psa</x:v>
      </x:c>
      <x:c r="BA137" s="20" t="str">
        <x:v>PSA direct cert population for PSA 9; PSA 10 from Pop Higher. PSA 6–8 not directly resolved.</x:v>
      </x:c>
    </x:row>
    <x:row r="138">
      <x:c r="A138" t="str">
        <x:v>A — Priority</x:v>
      </x:c>
      <x:c r="B138" t="n">
        <x:f>'All Physical Cards'!A855</x:f>
        <x:v>855</x:v>
      </x:c>
      <x:c r="C138" t="str">
        <x:f>'All Physical Cards'!C855</x:f>
        <x:v>Zekrom</x:v>
      </x:c>
      <x:c r="D138" t="str">
        <x:f>'All Physical Cards'!D855</x:f>
        <x:v>114/114</x:v>
      </x:c>
      <x:c r="E138" t="str">
        <x:f>'All Physical Cards'!E855</x:f>
        <x:v>Black &amp; White</x:v>
      </x:c>
      <x:c r="F138" t="n">
        <x:f>'All Physical Cards'!F855</x:f>
        <x:v>2011</x:v>
      </x:c>
      <x:c r="G138" t="str">
        <x:f>'All Physical Cards'!G855</x:f>
        <x:v>Full Art Holo Ultra Rare</x:v>
      </x:c>
      <x:c r="H138" t="str">
        <x:f>'All Physical Cards'!H855</x:f>
        <x:v>3 of 4</x:v>
      </x:c>
      <x:c r="I138" t="n">
        <x:f>'All Physical Cards'!I855</x:f>
        <x:v>90</x:v>
      </x:c>
      <x:c r="J138" t="n">
        <x:f>'All Physical Cards'!J855</x:f>
        <x:v>180</x:v>
      </x:c>
      <x:c r="K138" t="n">
        <x:f>'All Physical Cards'!K855</x:f>
        <x:v>135</x:v>
      </x:c>
      <x:c r="L138" t="n">
        <x:f>'All Physical Cards'!S855</x:f>
        <x:v>135</x:v>
      </x:c>
      <x:c r="M138" t="str">
        <x:f>'All Physical Cards'!P855</x:f>
        <x:v>Condition not yet reviewed</x:v>
      </x:c>
      <x:c r="N138" t="str">
        <x:v>High raw value; grading can materially improve liquidity/value; Full Art collector demand; Popular Pokémon demand</x:v>
      </x:c>
      <x:c r="O138" t="str">
        <x:v>Inspect closely. Submit if roughly PSA 8/9+ caliber; 9/10 is ideal.</x:v>
      </x:c>
      <x:c r="P138" t="str">
        <x:v>Pre-grade now; submit when a cheaper PSA tier/special is available unless the card is an obvious high-grade outlier.</x:v>
      </x:c>
      <x:c r="Q138" t="str">
        <x:v>Not inspected — new physical copy from updated Collection.pdf</x:v>
      </x:c>
      <x:c r="R138" t="str">
        <x:v>Undecided</x:v>
      </x:c>
      <x:c r="S138" t="str">
        <x:f>'All Physical Cards'!W855</x:f>
        <x:v>https://www.pricecharting.com/game/pokemon-black-%26-white/zekrom-114</x:v>
      </x:c>
      <x:c r="T138" s="20"/>
      <x:c r="U138" s="20"/>
      <x:c r="V138" s="20"/>
      <x:c r="W138" s="20"/>
      <x:c r="X138" s="20"/>
      <x:c r="Y138" s="20"/>
      <x:c r="Z138" s="20"/>
      <x:c r="AA138" s="20"/>
      <x:c r="AB138" s="20"/>
      <x:c r="AC138" s="20" t="str">
        <x:v>Reconciled grade value: PriceCharting baseline + exact PSA cert/sales-history cross-check where sufficiently useful. Recent PSA sale medians override PriceCharting when multiple exact sales were available; thin PSA data are flagged rather than extrapolated.</x:v>
      </x:c>
      <x:c r="AD138" s="20" t="str">
        <x:v>https://www.pricecharting.com/game/pokemon-black-%26-white/zekrom-114</x:v>
      </x:c>
      <x:c r="AE138" s="20"/>
      <x:c r="AF138" s="20"/>
      <x:c r="AG138" s="20"/>
      <x:c r="AH138" s="20"/>
      <x:c r="AI138" s="20"/>
      <x:c r="AJ138" s="20"/>
      <x:c r="AK138" s="20" t="n">
        <x:v>125.05</x:v>
      </x:c>
      <x:c r="AL138" s="20" t="n">
        <x:v>185</x:v>
      </x:c>
      <x:c r="AM138" s="20" t="n">
        <x:v>437.53</x:v>
      </x:c>
      <x:c r="AN138" s="20" t="n">
        <x:v>1426</x:v>
      </x:c>
      <x:c r="AO138" s="20"/>
      <x:c r="AP138" s="20"/>
      <x:c r="AQ138" s="20"/>
      <x:c r="AR138" s="20" t="str">
        <x:v>Variant unresolved — PriceCharting retained</x:v>
      </x:c>
      <x:c r="AS138" s="20" t="str">
        <x:v>PSA separates #114 Zekrom into black-background and gray-background populations. The physical copy was not explicitly identified as either variant, so no PSA variant was substituted.</x:v>
      </x:c>
      <x:c r="AT138" s="20"/>
      <x:c r="AU138" s="20"/>
      <x:c r="AV138" s="20"/>
      <x:c r="AW138" s="20"/>
      <x:c r="AX138" s="20"/>
      <x:c r="AY138" s="20"/>
      <x:c r="AZ138" s="20" t="str">
        <x:v>https://www.psacard.com/Pop</x:v>
      </x:c>
      <x:c r="BA138" s="20" t="str">
        <x:v>Intentionally blank: PSA separates Zekrom #114 background variants, and the physical copy's exact background variant has not been identified.</x:v>
      </x:c>
    </x:row>
    <x:row r="139">
      <x:c r="A139" t="str">
        <x:v>A — Priority</x:v>
      </x:c>
      <x:c r="B139" t="n">
        <x:f>'All Physical Cards'!A856</x:f>
        <x:v>856</x:v>
      </x:c>
      <x:c r="C139" t="str">
        <x:f>'All Physical Cards'!C856</x:f>
        <x:v>Zekrom</x:v>
      </x:c>
      <x:c r="D139" t="str">
        <x:f>'All Physical Cards'!D856</x:f>
        <x:v>114/114</x:v>
      </x:c>
      <x:c r="E139" t="str">
        <x:f>'All Physical Cards'!E856</x:f>
        <x:v>Black &amp; White</x:v>
      </x:c>
      <x:c r="F139" t="n">
        <x:f>'All Physical Cards'!F856</x:f>
        <x:v>2011</x:v>
      </x:c>
      <x:c r="G139" t="str">
        <x:f>'All Physical Cards'!G856</x:f>
        <x:v>Full Art Holo Ultra Rare</x:v>
      </x:c>
      <x:c r="H139" t="str">
        <x:f>'All Physical Cards'!H856</x:f>
        <x:v>4 of 4</x:v>
      </x:c>
      <x:c r="I139" t="n">
        <x:f>'All Physical Cards'!I856</x:f>
        <x:v>90</x:v>
      </x:c>
      <x:c r="J139" t="n">
        <x:f>'All Physical Cards'!J856</x:f>
        <x:v>180</x:v>
      </x:c>
      <x:c r="K139" t="n">
        <x:f>'All Physical Cards'!K856</x:f>
        <x:v>135</x:v>
      </x:c>
      <x:c r="L139" t="n">
        <x:f>'All Physical Cards'!S856</x:f>
        <x:v>135</x:v>
      </x:c>
      <x:c r="M139" t="str">
        <x:f>'All Physical Cards'!P856</x:f>
        <x:v>Condition not yet reviewed</x:v>
      </x:c>
      <x:c r="N139" t="str">
        <x:v>High raw value; grading can materially improve liquidity/value; Full Art collector demand; Popular Pokémon demand</x:v>
      </x:c>
      <x:c r="O139" t="str">
        <x:v>Inspect closely. Submit if roughly PSA 8/9+ caliber; 9/10 is ideal.</x:v>
      </x:c>
      <x:c r="P139" t="str">
        <x:v>Pre-grade now; submit when a cheaper PSA tier/special is available unless the card is an obvious high-grade outlier.</x:v>
      </x:c>
      <x:c r="Q139" t="str">
        <x:v>Not inspected — new physical copy from updated Collection.pdf</x:v>
      </x:c>
      <x:c r="R139" t="str">
        <x:v>Undecided</x:v>
      </x:c>
      <x:c r="S139" t="str">
        <x:f>'All Physical Cards'!W856</x:f>
        <x:v>https://www.pricecharting.com/game/pokemon-black-%26-white/zekrom-114</x:v>
      </x:c>
      <x:c r="T139" s="20"/>
      <x:c r="U139" s="20"/>
      <x:c r="V139" s="20"/>
      <x:c r="W139" s="20"/>
      <x:c r="X139" s="20"/>
      <x:c r="Y139" s="20"/>
      <x:c r="Z139" s="20"/>
      <x:c r="AA139" s="20"/>
      <x:c r="AB139" s="20"/>
      <x:c r="AC139" s="20" t="str">
        <x:v>Reconciled grade value: PriceCharting baseline + exact PSA cert/sales-history cross-check where sufficiently useful. Recent PSA sale medians override PriceCharting when multiple exact sales were available; thin PSA data are flagged rather than extrapolated.</x:v>
      </x:c>
      <x:c r="AD139" s="20" t="str">
        <x:v>https://www.pricecharting.com/game/pokemon-black-%26-white/zekrom-114</x:v>
      </x:c>
      <x:c r="AE139" s="20"/>
      <x:c r="AF139" s="20"/>
      <x:c r="AG139" s="20"/>
      <x:c r="AH139" s="20"/>
      <x:c r="AI139" s="20"/>
      <x:c r="AJ139" s="20"/>
      <x:c r="AK139" s="20" t="n">
        <x:v>125.05</x:v>
      </x:c>
      <x:c r="AL139" s="20" t="n">
        <x:v>185</x:v>
      </x:c>
      <x:c r="AM139" s="20" t="n">
        <x:v>437.53</x:v>
      </x:c>
      <x:c r="AN139" s="20" t="n">
        <x:v>1426</x:v>
      </x:c>
      <x:c r="AO139" s="20"/>
      <x:c r="AP139" s="20"/>
      <x:c r="AQ139" s="20"/>
      <x:c r="AR139" s="20" t="str">
        <x:v>Variant unresolved — PriceCharting retained</x:v>
      </x:c>
      <x:c r="AS139" s="20" t="str">
        <x:v>PSA separates #114 Zekrom into black-background and gray-background populations. The physical copy was not explicitly identified as either variant, so no PSA variant was substituted.</x:v>
      </x:c>
      <x:c r="AT139" s="20"/>
      <x:c r="AU139" s="20"/>
      <x:c r="AV139" s="20"/>
      <x:c r="AW139" s="20"/>
      <x:c r="AX139" s="20"/>
      <x:c r="AY139" s="20"/>
      <x:c r="AZ139" s="20" t="str">
        <x:v>https://www.psacard.com/Pop</x:v>
      </x:c>
      <x:c r="BA139" s="20" t="str">
        <x:v>Intentionally blank: PSA separates Zekrom #114 background variants, and the physical copy's exact background variant has not been identified.</x:v>
      </x:c>
    </x:row>
    <x:row r="140">
      <x:c r="A140" t="str">
        <x:v>A — Priority</x:v>
      </x:c>
      <x:c r="B140" t="n">
        <x:f>'All Physical Cards'!A857</x:f>
        <x:v>857</x:v>
      </x:c>
      <x:c r="C140" t="str">
        <x:f>'All Physical Cards'!C857</x:f>
        <x:v>Charizard-EX</x:v>
      </x:c>
      <x:c r="D140" t="str">
        <x:f>'All Physical Cards'!D857</x:f>
        <x:v>100/106</x:v>
      </x:c>
      <x:c r="E140" t="str">
        <x:f>'All Physical Cards'!E857</x:f>
        <x:v>XY—Flashfire</x:v>
      </x:c>
      <x:c r="F140" t="n">
        <x:f>'All Physical Cards'!F857</x:f>
        <x:v>2014</x:v>
      </x:c>
      <x:c r="G140" t="str">
        <x:f>'All Physical Cards'!G857</x:f>
        <x:v>Full Art Holo Ultra Rare</x:v>
      </x:c>
      <x:c r="H140" t="str">
        <x:f>'All Physical Cards'!H857</x:f>
        <x:v>2 of 2</x:v>
      </x:c>
      <x:c r="I140" t="n">
        <x:f>'All Physical Cards'!I857</x:f>
        <x:v>100</x:v>
      </x:c>
      <x:c r="J140" t="n">
        <x:f>'All Physical Cards'!J857</x:f>
        <x:v>180</x:v>
      </x:c>
      <x:c r="K140" t="n">
        <x:f>'All Physical Cards'!K857</x:f>
        <x:v>140</x:v>
      </x:c>
      <x:c r="L140" t="n">
        <x:f>'All Physical Cards'!S857</x:f>
        <x:v>140</x:v>
      </x:c>
      <x:c r="M140" t="str">
        <x:f>'All Physical Cards'!P857</x:f>
        <x:v>Condition not yet reviewed</x:v>
      </x:c>
      <x:c r="N140" t="str">
        <x:v>High raw value; grading can materially improve liquidity/value; Full Art collector demand; Popular Pokémon demand</x:v>
      </x:c>
      <x:c r="O140" t="str">
        <x:v>Inspect closely. Submit if roughly PSA 8/9+ caliber; 9/10 is ideal.</x:v>
      </x:c>
      <x:c r="P140" t="str">
        <x:v>Pre-grade now; submit when a cheaper PSA tier/special is available unless the card is an obvious high-grade outlier.</x:v>
      </x:c>
      <x:c r="Q140" t="str">
        <x:v>Not inspected — new physical copy from updated Collection.pdf</x:v>
      </x:c>
      <x:c r="R140" t="str">
        <x:v>Undecided</x:v>
      </x:c>
      <x:c r="S140" t="str">
        <x:f>'All Physical Cards'!W857</x:f>
        <x:v>https://www.pricecharting.com/game/pokemon-flashfire/charizard-ex-100</x:v>
      </x:c>
      <x:c r="T140" s="20"/>
      <x:c r="U140" s="20"/>
      <x:c r="V140" s="20"/>
      <x:c r="W140" s="20"/>
      <x:c r="X140" s="20"/>
      <x:c r="Y140" s="20"/>
      <x:c r="Z140" s="20"/>
      <x:c r="AA140" s="20"/>
      <x:c r="AB140" s="20"/>
      <x:c r="AC140" s="20" t="str">
        <x:v>Reconciled grade value: PriceCharting baseline + exact PSA cert/sales-history cross-check where sufficiently useful. Recent PSA sale medians override PriceCharting when multiple exact sales were available; thin PSA data are flagged rather than extrapolated.</x:v>
      </x:c>
      <x:c r="AD140" s="20" t="str">
        <x:v>https://www.pricecharting.com/game/pokemon-flashfire/charizard-ex-100</x:v>
      </x:c>
      <x:c r="AE140" s="20"/>
      <x:c r="AF140" s="20"/>
      <x:c r="AG140" s="20"/>
      <x:c r="AH140" s="20"/>
      <x:c r="AI140" s="20"/>
      <x:c r="AJ140" s="20"/>
      <x:c r="AK140" s="20" t="n">
        <x:v>250.4</x:v>
      </x:c>
      <x:c r="AL140" s="20" t="n">
        <x:v>375</x:v>
      </x:c>
      <x:c r="AM140" s="20" t="n">
        <x:v>810</x:v>
      </x:c>
      <x:c r="AN140" s="20" t="n">
        <x:v>8600</x:v>
      </x:c>
      <x:c r="AO140" s="20"/>
      <x:c r="AP140" s="20"/>
      <x:c r="AQ140" s="20"/>
      <x:c r="AR140" s="20" t="str">
        <x:v>PSA sales verified — PSA 8/9/10</x:v>
      </x:c>
      <x:c r="AS140" s="20" t="str">
        <x:v>Exact Flashfire #100. Recent PSA sales support ~375 / 810 / 8,600 for grades 8/9/10. PSA 7 retains PriceCharting. Sources: https://www.psacard.com/cert/65826214 and https://www.psacard.com/cert/51990528 and https://www.psacard.com/cert/26932354</x:v>
      </x:c>
      <x:c r="AT140" s="20" t="n">
        <x:v>452</x:v>
      </x:c>
      <x:c r="AU140" s="20" t="n">
        <x:v>832</x:v>
      </x:c>
      <x:c r="AV140" s="20" t="n">
        <x:v>1088</x:v>
      </x:c>
      <x:c r="AW140" s="20" t="n">
        <x:v>1012</x:v>
      </x:c>
      <x:c r="AX140" s="20" t="n">
        <x:v>184</x:v>
      </x:c>
      <x:c r="AY140" s="20"/>
      <x:c r="AZ140" s="20" t="str">
        <x:v>https://www.psacard.com/cert/131916206/psa | https://www.psacard.com/cert/42024680/psa | https://www.psacard.com/cert/26932354/psa</x:v>
      </x:c>
      <x:c r="BA140" s="20" t="str">
        <x:v>PSA direct cert populations; PSA 8/9 were separately checked on PSA during this audit. PSA 10 direct cert.</x:v>
      </x:c>
    </x:row>
    <x:row r="141">
      <x:c r="A141" t="str">
        <x:v>A — Priority</x:v>
      </x:c>
      <x:c r="B141" t="n">
        <x:f>'All Physical Cards'!A858</x:f>
        <x:v>858</x:v>
      </x:c>
      <x:c r="C141" t="str">
        <x:f>'All Physical Cards'!C858</x:f>
        <x:v>Latios-EX</x:v>
      </x:c>
      <x:c r="D141" t="str">
        <x:f>'All Physical Cards'!D858</x:f>
        <x:v>113/116</x:v>
      </x:c>
      <x:c r="E141" t="str">
        <x:f>'All Physical Cards'!E858</x:f>
        <x:v>Plasma Freeze</x:v>
      </x:c>
      <x:c r="F141" t="n">
        <x:f>'All Physical Cards'!F858</x:f>
        <x:v>2013</x:v>
      </x:c>
      <x:c r="G141" t="str">
        <x:f>'All Physical Cards'!G858</x:f>
        <x:v>Full Art Holo Ultra Rare</x:v>
      </x:c>
      <x:c r="H141" t="str">
        <x:f>'All Physical Cards'!H858</x:f>
        <x:v>2 of 2</x:v>
      </x:c>
      <x:c r="I141" t="n">
        <x:f>'All Physical Cards'!I858</x:f>
        <x:v>120</x:v>
      </x:c>
      <x:c r="J141" t="n">
        <x:f>'All Physical Cards'!J858</x:f>
        <x:v>230</x:v>
      </x:c>
      <x:c r="K141" t="n">
        <x:f>'All Physical Cards'!K858</x:f>
        <x:v>175</x:v>
      </x:c>
      <x:c r="L141" t="n">
        <x:f>'All Physical Cards'!S858</x:f>
        <x:v>175</x:v>
      </x:c>
      <x:c r="M141" t="str">
        <x:f>'All Physical Cards'!P858</x:f>
        <x:v>Condition not yet reviewed</x:v>
      </x:c>
      <x:c r="N141" t="str">
        <x:v>High raw value; grading can materially improve liquidity/value; Full Art collector demand; Popular Pokémon demand</x:v>
      </x:c>
      <x:c r="O141" t="str">
        <x:v>Inspect closely. Submit if roughly PSA 8/9+ caliber; 9/10 is ideal.</x:v>
      </x:c>
      <x:c r="P141" t="str">
        <x:v>Pre-grade now; submit when a cheaper PSA tier/special is available unless the card is an obvious high-grade outlier.</x:v>
      </x:c>
      <x:c r="Q141" t="str">
        <x:v>Not inspected — new physical copy from updated Collection.pdf</x:v>
      </x:c>
      <x:c r="R141" t="str">
        <x:v>Undecided</x:v>
      </x:c>
      <x:c r="S141" t="str">
        <x:f>'All Physical Cards'!W858</x:f>
        <x:v>https://www.pricecharting.com/game/pokemon-plasma-freeze/latios-ex-113</x:v>
      </x:c>
      <x:c r="T141" s="20"/>
      <x:c r="U141" s="20"/>
      <x:c r="V141" s="20"/>
      <x:c r="W141" s="20"/>
      <x:c r="X141" s="20"/>
      <x:c r="Y141" s="20"/>
      <x:c r="Z141" s="20"/>
      <x:c r="AA141" s="20"/>
      <x:c r="AB141" s="20"/>
      <x:c r="AC141" s="20" t="str">
        <x:v>Reconciled grade value: PriceCharting baseline + exact PSA cert/sales-history cross-check where sufficiently useful. Recent PSA sale medians override PriceCharting when multiple exact sales were available; thin PSA data are flagged rather than extrapolated.</x:v>
      </x:c>
      <x:c r="AD141" s="20" t="str">
        <x:v>https://www.pricecharting.com/game/pokemon-plasma-freeze/latios-ex-113</x:v>
      </x:c>
      <x:c r="AE141" s="20"/>
      <x:c r="AF141" s="20"/>
      <x:c r="AG141" s="20"/>
      <x:c r="AH141" s="20"/>
      <x:c r="AI141" s="20"/>
      <x:c r="AJ141" s="20"/>
      <x:c r="AK141" s="20" t="n">
        <x:v>295.65</x:v>
      </x:c>
      <x:c r="AL141" s="20" t="n">
        <x:v>450</x:v>
      </x:c>
      <x:c r="AM141" s="20" t="n">
        <x:v>932</x:v>
      </x:c>
      <x:c r="AN141" s="20" t="n">
        <x:v>4450</x:v>
      </x:c>
      <x:c r="AO141" s="20"/>
      <x:c r="AP141" s="20"/>
      <x:c r="AQ141" s="20"/>
      <x:c r="AR141" s="20" t="str">
        <x:v>PSA sales verified — PSA 8/9/10</x:v>
      </x:c>
      <x:c r="AS141" s="20" t="str">
        <x:v>Exact Plasma Freeze #113. PSA 8 recent median ~$450; PSA 9 current PSA estimate ~$932; PSA 10 recent median ~$4,450. PSA 7 retains PriceCharting. Sources: https://www.psacard.com/cert/146223357 and https://www.psacard.com/cert/89565481 and https://www.psacard.com/cert/66907974</x:v>
      </x:c>
      <x:c r="AT141" s="20"/>
      <x:c r="AU141" s="20"/>
      <x:c r="AV141" s="20" t="n">
        <x:v>202</x:v>
      </x:c>
      <x:c r="AW141" s="20" t="n">
        <x:v>142</x:v>
      </x:c>
      <x:c r="AX141" s="20" t="n">
        <x:v>45</x:v>
      </x:c>
      <x:c r="AY141" s="20"/>
      <x:c r="AZ141" s="20" t="str">
        <x:v>https://www.psacard.com/cert/66893668 | https://www.psacard.com/cert/133591162/psa</x:v>
      </x:c>
      <x:c r="BA141" s="20" t="str">
        <x:v>PSA direct cert populations. PSA 10 equals PSA 9 Pop Higher. PSA 6/7 not directly resolved.</x:v>
      </x:c>
    </x:row>
    <x:row r="142">
      <x:c r="A142" t="str">
        <x:v>A — Priority</x:v>
      </x:c>
      <x:c r="B142" t="n">
        <x:f>'All Physical Cards'!A859</x:f>
        <x:v>859</x:v>
      </x:c>
      <x:c r="C142" t="str">
        <x:f>'All Physical Cards'!C859</x:f>
        <x:v>Primal Kyogre-EX</x:v>
      </x:c>
      <x:c r="D142" t="str">
        <x:f>'All Physical Cards'!D859</x:f>
        <x:v>96/98</x:v>
      </x:c>
      <x:c r="E142" t="str">
        <x:f>'All Physical Cards'!E859</x:f>
        <x:v>Ancient Origins</x:v>
      </x:c>
      <x:c r="F142" t="n">
        <x:f>'All Physical Cards'!F859</x:f>
        <x:v>2015</x:v>
      </x:c>
      <x:c r="G142" t="str">
        <x:f>'All Physical Cards'!G859</x:f>
        <x:v>Shiny Full Art Holo Secret Rare</x:v>
      </x:c>
      <x:c r="H142" t="str">
        <x:f>'All Physical Cards'!H859</x:f>
        <x:v>2 of 2</x:v>
      </x:c>
      <x:c r="I142" t="n">
        <x:f>'All Physical Cards'!I859</x:f>
        <x:v>180</x:v>
      </x:c>
      <x:c r="J142" t="n">
        <x:f>'All Physical Cards'!J859</x:f>
        <x:v>450</x:v>
      </x:c>
      <x:c r="K142" t="n">
        <x:f>'All Physical Cards'!K859</x:f>
        <x:v>315</x:v>
      </x:c>
      <x:c r="L142" t="n">
        <x:f>'All Physical Cards'!S859</x:f>
        <x:v>315</x:v>
      </x:c>
      <x:c r="M142" t="str">
        <x:f>'All Physical Cards'!P859</x:f>
        <x:v>Condition not yet reviewed</x:v>
      </x:c>
      <x:c r="N142" t="str">
        <x:v>High raw value; grading can materially improve liquidity/value; Secret/Shiny premium printing; Popular Pokémon demand</x:v>
      </x:c>
      <x:c r="O142" t="str">
        <x:v>Inspect closely. Submit if roughly PSA 8/9+ caliber; 9/10 is ideal.</x:v>
      </x:c>
      <x:c r="P142" t="str">
        <x:v>Pre-grade now; submit when a cheaper PSA tier/special is available unless the card is an obvious high-grade outlier.</x:v>
      </x:c>
      <x:c r="Q142" t="str">
        <x:v>Not inspected — new physical copy from updated Collection.pdf</x:v>
      </x:c>
      <x:c r="R142" t="str">
        <x:v>Undecided</x:v>
      </x:c>
      <x:c r="S142" t="str">
        <x:f>'All Physical Cards'!W859</x:f>
        <x:v>https://www.pricecharting.com/game/pokemon-ancient-origins/primal-kyogre-ex-96</x:v>
      </x:c>
      <x:c r="T142" s="20"/>
      <x:c r="U142" s="20"/>
      <x:c r="V142" s="20"/>
      <x:c r="W142" s="20"/>
      <x:c r="X142" s="20"/>
      <x:c r="Y142" s="20"/>
      <x:c r="Z142" s="20"/>
      <x:c r="AA142" s="20"/>
      <x:c r="AB142" s="20"/>
      <x:c r="AC142" s="20" t="str">
        <x:v>Reconciled grade value: PriceCharting baseline + exact PSA cert/sales-history cross-check where sufficiently useful. Recent PSA sale medians override PriceCharting when multiple exact sales were available; thin PSA data are flagged rather than extrapolated.</x:v>
      </x:c>
      <x:c r="AD142" s="20" t="str">
        <x:v>https://www.pricecharting.com/game/pokemon-ancient-origins/primal-kyogre-ex-96</x:v>
      </x:c>
      <x:c r="AE142" s="20"/>
      <x:c r="AF142" s="20"/>
      <x:c r="AG142" s="20"/>
      <x:c r="AH142" s="20"/>
      <x:c r="AI142" s="20"/>
      <x:c r="AJ142" s="20"/>
      <x:c r="AK142" s="20" t="n">
        <x:v>355</x:v>
      </x:c>
      <x:c r="AL142" s="20" t="n">
        <x:v>489.5</x:v>
      </x:c>
      <x:c r="AM142" s="20" t="n">
        <x:v>755.02</x:v>
      </x:c>
      <x:c r="AN142" s="20" t="n">
        <x:v>4750</x:v>
      </x:c>
      <x:c r="AO142" s="20"/>
      <x:c r="AP142" s="20"/>
      <x:c r="AQ142" s="20"/>
      <x:c r="AR142" s="20" t="str">
        <x:v>PSA sales verified — PSA 7/8/9/10</x:v>
      </x:c>
      <x:c r="AS142" s="20" t="str">
        <x:v>Exact Ancient Origins #96. Reconciled to recent PSA sales: 7 ~$355; 8 ~$489.50; 9 ~$755; 10 ~$4,750. PSA cert sources include https://www.psacard.com/cert/143408189 and https://www.psacard.com/cert/112508817 and https://www.psacard.com/cert/122827154 and https://www.psacard.com/cert/73226133</x:v>
      </x:c>
      <x:c r="AT142" s="20"/>
      <x:c r="AU142" s="20" t="n">
        <x:v>497</x:v>
      </x:c>
      <x:c r="AV142" s="20" t="n">
        <x:v>605</x:v>
      </x:c>
      <x:c r="AW142" s="20" t="n">
        <x:v>834</x:v>
      </x:c>
      <x:c r="AX142" s="20" t="n">
        <x:v>512</x:v>
      </x:c>
      <x:c r="AY142" s="20"/>
      <x:c r="AZ142" s="20" t="str">
        <x:v>https://www.psacard.com/cert/143408189/psa | https://www.psacard.com/cert/112508817 | https://www.psacard.com/cert/122827154/psa</x:v>
      </x:c>
      <x:c r="BA142" s="20" t="str">
        <x:v>PSA direct cert populations. PSA 10 equals the PSA 9 page's Pop Higher. PSA 6 not directly resolved.</x:v>
      </x:c>
    </x:row>
    <x:row r="143" ht="26.399999618530273" customHeight="1">
      <x:c r="A143" t="str">
        <x:v>D — Gem-Mint Only</x:v>
      </x:c>
      <x:c r="B143" t="n">
        <x:f>'All Physical Cards'!A165</x:f>
        <x:v>164</x:v>
      </x:c>
      <x:c r="C143" t="str">
        <x:f>'All Physical Cards'!C165</x:f>
        <x:v>Dratini</x:v>
      </x:c>
      <x:c r="D143" t="str">
        <x:f>'All Physical Cards'!D165</x:f>
        <x:v>2/20</x:v>
      </x:c>
      <x:c r="E143" t="str">
        <x:f>'All Physical Cards'!E165</x:f>
        <x:v>Dragon Vault</x:v>
      </x:c>
      <x:c r="F143" t="n">
        <x:f>'All Physical Cards'!F165</x:f>
        <x:v>2012</x:v>
      </x:c>
      <x:c r="G143" t="str">
        <x:f>'All Physical Cards'!G165</x:f>
        <x:v>Holo</x:v>
      </x:c>
      <x:c r="H143" t="str">
        <x:f>'All Physical Cards'!H165</x:f>
        <x:v>1 of 6</x:v>
      </x:c>
      <x:c r="I143" t="n">
        <x:f>'All Physical Cards'!I165</x:f>
        <x:v>14</x:v>
      </x:c>
      <x:c r="J143" t="n">
        <x:f>'All Physical Cards'!J165</x:f>
        <x:v>15</x:v>
      </x:c>
      <x:c r="K143" t="n">
        <x:f>'All Physical Cards'!K165</x:f>
        <x:v>14.5</x:v>
      </x:c>
      <x:c r="L143" t="n">
        <x:f>'All Physical Cards'!S165</x:f>
        <x:v>14.5</x:v>
      </x:c>
      <x:c r="M143" t="str">
        <x:f>'All Physical Cards'!P165</x:f>
        <x:v>Manual pre-grade: PSA 9 most likely</x:v>
      </x:c>
      <x:c r="N143" t="str">
        <x:v>Dragon Vault holo with modest raw value; grading economics depend on PSA 9/10. Exact PSA 10 population is only 22, so high-grade upside is meaningful but difficult.</x:v>
      </x:c>
      <x:c r="O143" t="str">
        <x:v>Grade only if the manual screen supports PSA 9+; visible edge/corner wear can quickly make the submission uneconomic.</x:v>
      </x:c>
      <x:c r="P143" t="str">
        <x:v>Use a cheap PSA Value/special tier only. Prioritize the strongest copies rather than submitting the entire group.</x:v>
      </x:c>
      <x:c r="Q143" t="str">
        <x:v>PSA 9 most likely; PSA 8 downside</x:v>
      </x:c>
      <x:c r="R143" t="str">
        <x:v>Conditional grade — PSA 9 play; wait for cheap PSA tier</x:v>
      </x:c>
      <x:c r="S143" t="str">
        <x:v>https://www.pricecharting.com/game/pokemon-dragon-vault/dratini-2</x:v>
      </x:c>
      <x:c r="T143" t="str">
        <x:v>PSA 9 — centering app: 57/43 L-R and 54/46 T-B</x:v>
      </x:c>
      <x:c r="U143" t="str">
        <x:v>PSA 9 — small reverse corner fleck/whitening; front corners strong</x:v>
      </x:c>
      <x:c r="V143" t="str">
        <x:v>PSA 8–9 — repeated light roughness/flecks along the reverse right edge</x:v>
      </x:c>
      <x:c r="W143" t="str">
        <x:v>PSA 9–10 — no obvious dent, crease or major scrape; micro-surface risk remains photo-limited</x:v>
      </x:c>
      <x:c r="X143" t="str">
        <x:v>9 / 9 / 8–9 / 9–10 → PSA 9 favorite</x:v>
      </x:c>
      <x:c r="Y143" t="str">
        <x:v>PSA 9 most likely; PSA 8 meaningful downside</x:v>
      </x:c>
      <x:c r="Z143" t="str">
        <x:v>PSA 8 ~35% | PSA 9 ~64% | PSA 10 ~1%</x:v>
      </x:c>
      <x:c r="AA143" t="str">
        <x:v>Dragon Vault Dratini 2/20 session copy #1, mapped to collection copy 1 of 6 for tracking. Front centering measured 57/43 L-R and 54/46 T-B, so centering is PSA-9 level rather than a clean 10. Reverse bottom-left has a small fleck and the reverse right edge shows repeated light roughness/flecks. Surface otherwise appears clean. Grade as a PSA 9 play, not a PSA 10 play.</x:v>
      </x:c>
      <x:c r="AB143" t="str">
        <x:v>PSA 9 baseline ~$51.49; PSA 10 PSA estimate ~$1,728</x:v>
      </x:c>
      <x:c r="AC143" t="str">
        <x:v>PSA 10 uses recent direct-sales median; PSA 7–9 remain PriceCharting fallbacks.</x:v>
      </x:c>
      <x:c r="AD143" t="str">
        <x:v>https://www.psacard.com/cert/56089904/psa | https://www.pricecharting.com/game/pokemon-dragon-vault/dratini-2</x:v>
      </x:c>
      <x:c r="AE143" t="n">
        <x:v>0</x:v>
      </x:c>
      <x:c r="AF143" t="n">
        <x:v>0</x:v>
      </x:c>
      <x:c r="AG143" t="n">
        <x:v>0.35</x:v>
      </x:c>
      <x:c r="AH143" t="n">
        <x:v>0.64</x:v>
      </x:c>
      <x:c r="AI143" t="n">
        <x:v>0.01</x:v>
      </x:c>
      <x:c r="AJ143"/>
      <x:c r="AK143" t="n">
        <x:v>18.2</x:v>
      </x:c>
      <x:c r="AL143" t="n">
        <x:v>21.5</x:v>
      </x:c>
      <x:c r="AM143" t="n">
        <x:v>51.49</x:v>
      </x:c>
      <x:c r="AN143" t="n">
        <x:v>1825</x:v>
      </x:c>
      <x:c r="AO143" t="n">
        <x:f>SUMPRODUCT(AE143:AI143,AJ143:AN143)+IFERROR(BB143*BC143,0)</x:f>
        <x:v>58.7286</x:v>
      </x:c>
      <x:c r="AP143" t="n">
        <x:f>K143</x:f>
        <x:v>14.5</x:v>
      </x:c>
      <x:c r="AQ143" t="n">
        <x:f>AO143-AP143</x:f>
        <x:v>44.2286</x:v>
      </x:c>
      <x:c r="AR143" t="str">
        <x:v>PSA direct median — PSA 10; PriceCharting fallback — PSA 7/8/9</x:v>
      </x:c>
      <x:c r="AS143" t="str">
        <x:v>Exact Dragon Vault Dratini-Holo #2. PSA 10 latest five direct sales: $1,890, $4,950, $1,825, $1,426, $971.99 → median $1,825. There is not enough current exact-grade PSA sales evidence for PSA 7–9, so the existing PriceCharting values remain the fallback for those grades.</x:v>
      </x:c>
      <x:c r="AT143"/>
      <x:c r="AU143"/>
      <x:c r="AV143"/>
      <x:c r="AW143"/>
      <x:c r="AX143" t="n">
        <x:v>22</x:v>
      </x:c>
      <x:c r="AY143"/>
      <x:c r="AZ143" t="str">
        <x:v>https://www.psacard.com/cert/56089904/psa | https://www.pricecharting.com/game/pokemon-dragon-vault/dratini-2</x:v>
      </x:c>
      <x:c r="BA143" t="str">
        <x:v>Graded-value hierarchy applied 2026-08-18: PSA recent exact-grade sales median when 3+ usable comps; otherwise PSA Estimate; otherwise PriceCharting fallback.</x:v>
      </x:c>
    </x:row>
    <x:row r="144" ht="26.399999618530273" customHeight="1">
      <x:c r="A144" t="str">
        <x:v>D — Gem-Mint Only</x:v>
      </x:c>
      <x:c r="B144" t="n">
        <x:f>'All Physical Cards'!A166</x:f>
        <x:v>165</x:v>
      </x:c>
      <x:c r="C144" t="str">
        <x:f>'All Physical Cards'!C166</x:f>
        <x:v>Dratini</x:v>
      </x:c>
      <x:c r="D144" t="str">
        <x:f>'All Physical Cards'!D166</x:f>
        <x:v>2/20</x:v>
      </x:c>
      <x:c r="E144" t="str">
        <x:f>'All Physical Cards'!E166</x:f>
        <x:v>Dragon Vault</x:v>
      </x:c>
      <x:c r="F144" t="n">
        <x:f>'All Physical Cards'!F166</x:f>
        <x:v>2012</x:v>
      </x:c>
      <x:c r="G144" t="str">
        <x:f>'All Physical Cards'!G166</x:f>
        <x:v>Holo</x:v>
      </x:c>
      <x:c r="H144" t="str">
        <x:f>'All Physical Cards'!H166</x:f>
        <x:v>2 of 6</x:v>
      </x:c>
      <x:c r="I144" t="n">
        <x:f>'All Physical Cards'!I166</x:f>
        <x:v>14</x:v>
      </x:c>
      <x:c r="J144" t="n">
        <x:f>'All Physical Cards'!J166</x:f>
        <x:v>15</x:v>
      </x:c>
      <x:c r="K144" t="n">
        <x:f>'All Physical Cards'!K166</x:f>
        <x:v>14.5</x:v>
      </x:c>
      <x:c r="L144" t="n">
        <x:f>'All Physical Cards'!S166</x:f>
        <x:v>14.5</x:v>
      </x:c>
      <x:c r="M144" t="str">
        <x:f>'All Physical Cards'!P166</x:f>
        <x:v>Manual pre-grade: PSA 8 most likely</x:v>
      </x:c>
      <x:c r="N144" t="str">
        <x:v>Dragon Vault holo with modest raw value; grading economics depend on PSA 9/10. Exact PSA 10 population is only 22, so high-grade upside is meaningful but difficult.</x:v>
      </x:c>
      <x:c r="O144" t="str">
        <x:v>Grade only if the manual screen supports PSA 9+; visible edge/corner wear can quickly make the submission uneconomic.</x:v>
      </x:c>
      <x:c r="P144" t="str">
        <x:v>Use a cheap PSA Value/special tier only. Prioritize the strongest copies rather than submitting the entire group.</x:v>
      </x:c>
      <x:c r="Q144" t="str">
        <x:v>PSA 8 most likely; PSA 9 close upside</x:v>
      </x:c>
      <x:c r="R144" t="str">
        <x:v>Hold raw / borderline — likely PSA 8</x:v>
      </x:c>
      <x:c r="S144" t="str">
        <x:v>https://www.pricecharting.com/game/pokemon-dragon-vault/dratini-2</x:v>
      </x:c>
      <x:c r="T144" t="str">
        <x:v>PSA 9–10 — visually acceptable; not app-measured in this session</x:v>
      </x:c>
      <x:c r="U144" t="str">
        <x:v>PSA 8 — visible whitening/chip at the back bottom-right corner</x:v>
      </x:c>
      <x:c r="V144" t="str">
        <x:v>PSA 8–9 — bottom-right corner damage carries into the edge, with smaller imperfections elsewhere</x:v>
      </x:c>
      <x:c r="W144" t="str">
        <x:v>PSA 9–10 — no obvious major scratch, dent or crease in supplied angles</x:v>
      </x:c>
      <x:c r="X144" t="str">
        <x:v>9–10 / 8 / 8–9 / 9–10 → PSA 8 slight favorite</x:v>
      </x:c>
      <x:c r="Y144" t="str">
        <x:v>PSA 8 most likely; PSA 9 close upside</x:v>
      </x:c>
      <x:c r="Z144" t="str">
        <x:v>PSA 7 ~5% | PSA 8 ~52% | PSA 9 ~41% | PSA 10 ~2%</x:v>
      </x:c>
      <x:c r="AA144" t="str">
        <x:v>Dragon Vault Dratini 2/20 session copy #2, mapped to collection copy 2 of 6 for tracking. Clear white wear/chipping is visible at the reverse bottom-right corner and carries into the adjoining edge. That defect materially lowers the card despite otherwise clean presentation. PSA 8 is the conservative baseline; PSA 9 remains possible.</x:v>
      </x:c>
      <x:c r="AB144" t="str">
        <x:v>PSA 9 baseline ~$51.49; PSA 10 PSA estimate ~$1,728</x:v>
      </x:c>
      <x:c r="AC144" t="str">
        <x:v>PSA 10 uses recent direct-sales median; PSA 7–9 remain PriceCharting fallbacks.</x:v>
      </x:c>
      <x:c r="AD144" t="str">
        <x:v>https://www.psacard.com/cert/56089904/psa | https://www.pricecharting.com/game/pokemon-dragon-vault/dratini-2</x:v>
      </x:c>
      <x:c r="AE144" t="n">
        <x:v>0</x:v>
      </x:c>
      <x:c r="AF144" t="n">
        <x:v>0.05</x:v>
      </x:c>
      <x:c r="AG144" t="n">
        <x:v>0.52</x:v>
      </x:c>
      <x:c r="AH144" t="n">
        <x:v>0.41</x:v>
      </x:c>
      <x:c r="AI144" t="n">
        <x:v>0.02</x:v>
      </x:c>
      <x:c r="AJ144"/>
      <x:c r="AK144" t="n">
        <x:v>18.2</x:v>
      </x:c>
      <x:c r="AL144" t="n">
        <x:v>21.5</x:v>
      </x:c>
      <x:c r="AM144" t="n">
        <x:v>51.49</x:v>
      </x:c>
      <x:c r="AN144" t="n">
        <x:v>1825</x:v>
      </x:c>
      <x:c r="AO144" t="n">
        <x:f>SUMPRODUCT(AE144:AI144,AJ144:AN144)+IFERROR(BB144*BC144,0)</x:f>
        <x:v>69.7009</x:v>
      </x:c>
      <x:c r="AP144" t="n">
        <x:f>K144</x:f>
        <x:v>14.5</x:v>
      </x:c>
      <x:c r="AQ144" t="n">
        <x:f>AO144-AP144</x:f>
        <x:v>55.200900000000004</x:v>
      </x:c>
      <x:c r="AR144" t="str">
        <x:v>PSA direct median — PSA 10; PriceCharting fallback — PSA 7/8/9</x:v>
      </x:c>
      <x:c r="AS144" t="str">
        <x:v>Exact Dragon Vault Dratini-Holo #2. PSA 10 latest five direct sales: $1,890, $4,950, $1,825, $1,426, $971.99 → median $1,825. There is not enough current exact-grade PSA sales evidence for PSA 7–9, so the existing PriceCharting values remain the fallback for those grades.</x:v>
      </x:c>
      <x:c r="AT144"/>
      <x:c r="AU144"/>
      <x:c r="AV144"/>
      <x:c r="AW144"/>
      <x:c r="AX144" t="n">
        <x:v>22</x:v>
      </x:c>
      <x:c r="AY144"/>
      <x:c r="AZ144" t="str">
        <x:v>https://www.psacard.com/cert/56089904/psa | https://www.pricecharting.com/game/pokemon-dragon-vault/dratini-2</x:v>
      </x:c>
      <x:c r="BA144" t="str">
        <x:v>Graded-value hierarchy applied 2026-08-18: PSA recent exact-grade sales median when 3+ usable comps; otherwise PSA Estimate; otherwise PriceCharting fallback.</x:v>
      </x:c>
    </x:row>
    <x:row r="145" ht="26.399999618530273" customHeight="1">
      <x:c r="A145" t="str">
        <x:v>D — Gem-Mint Only</x:v>
      </x:c>
      <x:c r="B145" t="n">
        <x:f>'All Physical Cards'!A167</x:f>
        <x:v>166</x:v>
      </x:c>
      <x:c r="C145" t="str">
        <x:f>'All Physical Cards'!C167</x:f>
        <x:v>Dratini</x:v>
      </x:c>
      <x:c r="D145" t="str">
        <x:f>'All Physical Cards'!D167</x:f>
        <x:v>2/20</x:v>
      </x:c>
      <x:c r="E145" t="str">
        <x:f>'All Physical Cards'!E167</x:f>
        <x:v>Dragon Vault</x:v>
      </x:c>
      <x:c r="F145" t="n">
        <x:f>'All Physical Cards'!F167</x:f>
        <x:v>2012</x:v>
      </x:c>
      <x:c r="G145" t="str">
        <x:f>'All Physical Cards'!G167</x:f>
        <x:v>Holo</x:v>
      </x:c>
      <x:c r="H145" t="str">
        <x:f>'All Physical Cards'!H167</x:f>
        <x:v>3 of 6</x:v>
      </x:c>
      <x:c r="I145" t="n">
        <x:f>'All Physical Cards'!I167</x:f>
        <x:v>14</x:v>
      </x:c>
      <x:c r="J145" t="n">
        <x:f>'All Physical Cards'!J167</x:f>
        <x:v>15</x:v>
      </x:c>
      <x:c r="K145" t="n">
        <x:f>'All Physical Cards'!K167</x:f>
        <x:v>14.5</x:v>
      </x:c>
      <x:c r="L145" t="n">
        <x:f>'All Physical Cards'!S167</x:f>
        <x:v>14.5</x:v>
      </x:c>
      <x:c r="M145" t="str">
        <x:f>'All Physical Cards'!P167</x:f>
        <x:v>Manual pre-grade: PSA 9 most likely</x:v>
      </x:c>
      <x:c r="N145" t="str">
        <x:v>Dragon Vault holo with modest raw value; grading economics depend on PSA 9/10. Exact PSA 10 population is only 22, so high-grade upside is meaningful but difficult.</x:v>
      </x:c>
      <x:c r="O145" t="str">
        <x:v>Grade only if the manual screen supports PSA 9+; visible edge/corner wear can quickly make the submission uneconomic.</x:v>
      </x:c>
      <x:c r="P145" t="str">
        <x:v>Use a cheap PSA Value/special tier only. Prioritize the strongest copies rather than submitting the entire group.</x:v>
      </x:c>
      <x:c r="Q145" t="str">
        <x:v>PSA 9 most likely; PSA 8 downside</x:v>
      </x:c>
      <x:c r="R145" t="str">
        <x:v>Grade candidate — PSA 9 favorite; cheap PSA tier</x:v>
      </x:c>
      <x:c r="S145" t="str">
        <x:v>https://www.pricecharting.com/game/pokemon-dragon-vault/dratini-2</x:v>
      </x:c>
      <x:c r="T145" t="str">
        <x:v>PSA 9 — centering app: 50/50 L-R and 40/60 T-B</x:v>
      </x:c>
      <x:c r="U145" t="str">
        <x:v>PSA 9–10 — corners look strong with no major whitening visible</x:v>
      </x:c>
      <x:c r="V145" t="str">
        <x:v>PSA 9–10 — edges are comparatively clean with only tiny possible touches</x:v>
      </x:c>
      <x:c r="W145" t="str">
        <x:v>PSA 9–10 — no obvious major dent, crease, scrape or holo damage in supplied angles</x:v>
      </x:c>
      <x:c r="X145" t="str">
        <x:v>9 / 9–10 / 9–10 / 9–10 → PSA 9 clear favorite</x:v>
      </x:c>
      <x:c r="Y145" t="str">
        <x:v>PSA 9 clear favorite</x:v>
      </x:c>
      <x:c r="Z145" t="str">
        <x:v>PSA 8 ~18% | PSA 9 ~77% | PSA 10 ~5%</x:v>
      </x:c>
      <x:c r="AA145" t="str">
        <x:v>Dragon Vault Dratini 2/20 session copy #3, mapped to collection copy 3 of 6 for tracking. Centering app measured 50/50 left-right but 40/60 top-bottom, placing front centering at PSA-9 territory rather than PSA 10. Corners, edges and surface otherwise present strongly. This remains a good PSA 9 candidate.</x:v>
      </x:c>
      <x:c r="AB145" t="str">
        <x:v>PSA 9 baseline ~$51.49; PSA 10 PSA estimate ~$1,728</x:v>
      </x:c>
      <x:c r="AC145" t="str">
        <x:v>PSA 10 uses recent direct-sales median; PSA 7–9 remain PriceCharting fallbacks.</x:v>
      </x:c>
      <x:c r="AD145" t="str">
        <x:v>https://www.psacard.com/cert/56089904/psa | https://www.pricecharting.com/game/pokemon-dragon-vault/dratini-2</x:v>
      </x:c>
      <x:c r="AE145" t="n">
        <x:v>0</x:v>
      </x:c>
      <x:c r="AF145" t="n">
        <x:v>0</x:v>
      </x:c>
      <x:c r="AG145" t="n">
        <x:v>0.18</x:v>
      </x:c>
      <x:c r="AH145" t="n">
        <x:v>0.77</x:v>
      </x:c>
      <x:c r="AI145" t="n">
        <x:v>0.05</x:v>
      </x:c>
      <x:c r="AJ145"/>
      <x:c r="AK145" t="n">
        <x:v>18.2</x:v>
      </x:c>
      <x:c r="AL145" t="n">
        <x:v>21.5</x:v>
      </x:c>
      <x:c r="AM145" t="n">
        <x:v>51.49</x:v>
      </x:c>
      <x:c r="AN145" t="n">
        <x:v>1825</x:v>
      </x:c>
      <x:c r="AO145" t="n">
        <x:f>SUMPRODUCT(AE145:AI145,AJ145:AN145)+IFERROR(BB145*BC145,0)</x:f>
        <x:v>134.7673</x:v>
      </x:c>
      <x:c r="AP145" t="n">
        <x:f>K145</x:f>
        <x:v>14.5</x:v>
      </x:c>
      <x:c r="AQ145" t="n">
        <x:f>AO145-AP145</x:f>
        <x:v>120.2673</x:v>
      </x:c>
      <x:c r="AR145" t="str">
        <x:v>PSA direct median — PSA 10; PriceCharting fallback — PSA 7/8/9</x:v>
      </x:c>
      <x:c r="AS145" t="str">
        <x:v>Exact Dragon Vault Dratini-Holo #2. PSA 10 latest five direct sales: $1,890, $4,950, $1,825, $1,426, $971.99 → median $1,825. There is not enough current exact-grade PSA sales evidence for PSA 7–9, so the existing PriceCharting values remain the fallback for those grades.</x:v>
      </x:c>
      <x:c r="AT145"/>
      <x:c r="AU145"/>
      <x:c r="AV145"/>
      <x:c r="AW145"/>
      <x:c r="AX145" t="n">
        <x:v>22</x:v>
      </x:c>
      <x:c r="AY145"/>
      <x:c r="AZ145" t="str">
        <x:v>https://www.psacard.com/cert/56089904/psa | https://www.pricecharting.com/game/pokemon-dragon-vault/dratini-2</x:v>
      </x:c>
      <x:c r="BA145" t="str">
        <x:v>Graded-value hierarchy applied 2026-08-18: PSA recent exact-grade sales median when 3+ usable comps; otherwise PSA Estimate; otherwise PriceCharting fallback.</x:v>
      </x:c>
    </x:row>
    <x:row r="146" ht="26.399999618530273" customHeight="1">
      <x:c r="A146" t="str">
        <x:v>D — Gem-Mint Only</x:v>
      </x:c>
      <x:c r="B146" t="n">
        <x:f>'All Physical Cards'!A168</x:f>
        <x:v>167</x:v>
      </x:c>
      <x:c r="C146" t="str">
        <x:f>'All Physical Cards'!C168</x:f>
        <x:v>Dratini</x:v>
      </x:c>
      <x:c r="D146" t="str">
        <x:f>'All Physical Cards'!D168</x:f>
        <x:v>2/20</x:v>
      </x:c>
      <x:c r="E146" t="str">
        <x:f>'All Physical Cards'!E168</x:f>
        <x:v>Dragon Vault</x:v>
      </x:c>
      <x:c r="F146" t="n">
        <x:f>'All Physical Cards'!F168</x:f>
        <x:v>2012</x:v>
      </x:c>
      <x:c r="G146" t="str">
        <x:f>'All Physical Cards'!G168</x:f>
        <x:v>Holo</x:v>
      </x:c>
      <x:c r="H146" t="str">
        <x:f>'All Physical Cards'!H168</x:f>
        <x:v>4 of 6</x:v>
      </x:c>
      <x:c r="I146" t="n">
        <x:f>'All Physical Cards'!I168</x:f>
        <x:v>14</x:v>
      </x:c>
      <x:c r="J146" t="n">
        <x:f>'All Physical Cards'!J168</x:f>
        <x:v>15</x:v>
      </x:c>
      <x:c r="K146" t="n">
        <x:f>'All Physical Cards'!K168</x:f>
        <x:v>14.5</x:v>
      </x:c>
      <x:c r="L146" t="n">
        <x:f>'All Physical Cards'!S168</x:f>
        <x:v>14.5</x:v>
      </x:c>
      <x:c r="M146" t="str">
        <x:f>'All Physical Cards'!P168</x:f>
        <x:v>Manual pre-grade: PSA 9 most likely</x:v>
      </x:c>
      <x:c r="N146" t="str">
        <x:v>Dragon Vault holo with modest raw value; grading economics depend on PSA 9/10. Exact PSA 10 population is only 22, so high-grade upside is meaningful but difficult.</x:v>
      </x:c>
      <x:c r="O146" t="str">
        <x:v>Grade only if the manual screen supports PSA 9+; visible edge/corner wear can quickly make the submission uneconomic.</x:v>
      </x:c>
      <x:c r="P146" t="str">
        <x:v>Use a cheap PSA Value/special tier only. Prioritize the strongest copies rather than submitting the entire group.</x:v>
      </x:c>
      <x:c r="Q146" t="str">
        <x:v>PSA 9 most likely; PSA 8 downside</x:v>
      </x:c>
      <x:c r="R146" t="str">
        <x:v>Grade candidate — strongest Dratini in this session; cheap PSA tier</x:v>
      </x:c>
      <x:c r="S146" t="str">
        <x:v>https://www.pricecharting.com/game/pokemon-dragon-vault/dratini-2</x:v>
      </x:c>
      <x:c r="T146" t="str">
        <x:v>PSA 10 — centering app: 49/51 L-R and 45/55 T-B</x:v>
      </x:c>
      <x:c r="U146" t="str">
        <x:v>PSA 8–9 — small visible nicks at both reverse top-left and top-right corners</x:v>
      </x:c>
      <x:c r="V146" t="str">
        <x:v>PSA 9 — reverse perimeter otherwise fairly clean; corner nicks are the main edge-adjacent concern</x:v>
      </x:c>
      <x:c r="W146" t="str">
        <x:v>PSA 9–10 — no obvious major scrape, dent, crease or holo damage in supplied angles</x:v>
      </x:c>
      <x:c r="X146" t="str">
        <x:v>10 / 8–9 / 9 / 9–10 → PSA 9 favorite</x:v>
      </x:c>
      <x:c r="Y146" t="str">
        <x:v>PSA 9 most likely; strongest Dratini copy</x:v>
      </x:c>
      <x:c r="Z146" t="str">
        <x:v>PSA 8 ~25% | PSA 9 ~73% | PSA 10 ~2%</x:v>
      </x:c>
      <x:c r="AA146" t="str">
        <x:v>Dragon Vault Dratini 2/20 session copy #4, mapped to collection copy 4 of 6 for tracking. Centering app measured 49/51 L-R and 45/55 T-B, a PSA-10-level centering result. However, small real nicks are visible at both reverse top corners, preventing a clean 10 profile. Overall this is the strongest Dratini in the session and a solid PSA 9 candidate.</x:v>
      </x:c>
      <x:c r="AB146" t="str">
        <x:v>PSA 9 baseline ~$51.49; PSA 10 PSA estimate ~$1,728</x:v>
      </x:c>
      <x:c r="AC146" t="str">
        <x:v>PSA 10 uses recent direct-sales median; PSA 7–9 remain PriceCharting fallbacks.</x:v>
      </x:c>
      <x:c r="AD146" t="str">
        <x:v>https://www.psacard.com/cert/56089904/psa | https://www.pricecharting.com/game/pokemon-dragon-vault/dratini-2</x:v>
      </x:c>
      <x:c r="AE146" t="n">
        <x:v>0</x:v>
      </x:c>
      <x:c r="AF146" t="n">
        <x:v>0</x:v>
      </x:c>
      <x:c r="AG146" t="n">
        <x:v>0.25</x:v>
      </x:c>
      <x:c r="AH146" t="n">
        <x:v>0.73</x:v>
      </x:c>
      <x:c r="AI146" t="n">
        <x:v>0.02</x:v>
      </x:c>
      <x:c r="AJ146"/>
      <x:c r="AK146" t="n">
        <x:v>18.2</x:v>
      </x:c>
      <x:c r="AL146" t="n">
        <x:v>21.5</x:v>
      </x:c>
      <x:c r="AM146" t="n">
        <x:v>51.49</x:v>
      </x:c>
      <x:c r="AN146" t="n">
        <x:v>1825</x:v>
      </x:c>
      <x:c r="AO146" t="n">
        <x:f>SUMPRODUCT(AE146:AI146,AJ146:AN146)+IFERROR(BB146*BC146,0)</x:f>
        <x:v>79.4627</x:v>
      </x:c>
      <x:c r="AP146" t="n">
        <x:f>K146</x:f>
        <x:v>14.5</x:v>
      </x:c>
      <x:c r="AQ146" t="n">
        <x:f>AO146-AP146</x:f>
        <x:v>64.9627</x:v>
      </x:c>
      <x:c r="AR146" t="str">
        <x:v>PSA direct median — PSA 10; PriceCharting fallback — PSA 7/8/9</x:v>
      </x:c>
      <x:c r="AS146" t="str">
        <x:v>Exact Dragon Vault Dratini-Holo #2. PSA 10 latest five direct sales: $1,890, $4,950, $1,825, $1,426, $971.99 → median $1,825. There is not enough current exact-grade PSA sales evidence for PSA 7–9, so the existing PriceCharting values remain the fallback for those grades.</x:v>
      </x:c>
      <x:c r="AT146"/>
      <x:c r="AU146"/>
      <x:c r="AV146"/>
      <x:c r="AW146"/>
      <x:c r="AX146" t="n">
        <x:v>22</x:v>
      </x:c>
      <x:c r="AY146"/>
      <x:c r="AZ146" t="str">
        <x:v>https://www.psacard.com/cert/56089904/psa | https://www.pricecharting.com/game/pokemon-dragon-vault/dratini-2</x:v>
      </x:c>
      <x:c r="BA146" t="str">
        <x:v>Graded-value hierarchy applied 2026-08-18: PSA recent exact-grade sales median when 3+ usable comps; otherwise PSA Estimate; otherwise PriceCharting fallback.</x:v>
      </x:c>
    </x:row>
    <x:row r="147" ht="26.399999618530273" customHeight="1">
      <x:c r="A147" t="str">
        <x:v>D — Gem-Mint Only</x:v>
      </x:c>
      <x:c r="B147" t="n">
        <x:f>'All Physical Cards'!A169</x:f>
        <x:v>168</x:v>
      </x:c>
      <x:c r="C147" t="str">
        <x:f>'All Physical Cards'!C169</x:f>
        <x:v>Dratini</x:v>
      </x:c>
      <x:c r="D147" t="str">
        <x:f>'All Physical Cards'!D169</x:f>
        <x:v>2/20</x:v>
      </x:c>
      <x:c r="E147" t="str">
        <x:f>'All Physical Cards'!E169</x:f>
        <x:v>Dragon Vault</x:v>
      </x:c>
      <x:c r="F147" t="n">
        <x:f>'All Physical Cards'!F169</x:f>
        <x:v>2012</x:v>
      </x:c>
      <x:c r="G147" t="str">
        <x:f>'All Physical Cards'!G169</x:f>
        <x:v>Holo</x:v>
      </x:c>
      <x:c r="H147" t="str">
        <x:f>'All Physical Cards'!H169</x:f>
        <x:v>5 of 6</x:v>
      </x:c>
      <x:c r="I147" t="n">
        <x:f>'All Physical Cards'!I169</x:f>
        <x:v>14</x:v>
      </x:c>
      <x:c r="J147" t="n">
        <x:f>'All Physical Cards'!J169</x:f>
        <x:v>15</x:v>
      </x:c>
      <x:c r="K147" t="n">
        <x:f>'All Physical Cards'!K169</x:f>
        <x:v>14.5</x:v>
      </x:c>
      <x:c r="L147" t="n">
        <x:f>'All Physical Cards'!S169</x:f>
        <x:v>14.5</x:v>
      </x:c>
      <x:c r="M147" t="str">
        <x:f>'All Physical Cards'!P169</x:f>
        <x:v>Do not grade: front surface scrape</x:v>
      </x:c>
      <x:c r="N147" t="str">
        <x:v>Dragon Vault holo with modest raw value; grading economics depend on PSA 9/10. Exact PSA 10 population is only 22, so high-grade upside is meaningful but difficult.</x:v>
      </x:c>
      <x:c r="O147" t="str">
        <x:v>Grade only if the manual screen supports PSA 9+; visible edge/corner wear can quickly make the submission uneconomic.</x:v>
      </x:c>
      <x:c r="P147" t="str">
        <x:v>Use a cheap PSA Value/special tier only. Prioritize the strongest copies rather than submitting the entire group.</x:v>
      </x:c>
      <x:c r="Q147" t="str">
        <x:v>Skip grading — visible front surface scrape</x:v>
      </x:c>
      <x:c r="R147" t="str">
        <x:v>Do not grade</x:v>
      </x:c>
      <x:c r="S147" t="str">
        <x:v>https://www.pricecharting.com/game/pokemon-dragon-vault/dratini-2</x:v>
      </x:c>
      <x:c r="T147" t="str">
        <x:v>Not measured</x:v>
      </x:c>
      <x:c r="U147" t="str">
        <x:v>Not fully assessed after surface stopper</x:v>
      </x:c>
      <x:c r="V147" t="str">
        <x:v>Not fully assessed after surface stopper</x:v>
      </x:c>
      <x:c r="W147" t="str">
        <x:v>Submission stopper — visible scrape across the front surface</x:v>
      </x:c>
      <x:c r="X147" t="str">
        <x:v>Surface defect overrides the rest → skip PSA submission</x:v>
      </x:c>
      <x:c r="Y147" t="str">
        <x:v>Do not grade — front surface scrape</x:v>
      </x:c>
      <x:c r="Z147" t="str">
        <x:v>No full grade distribution assigned; removed from submission consideration</x:v>
      </x:c>
      <x:c r="AA147" t="str">
        <x:v>Dragon Vault Dratini 2/20 session copy #5, mapped to collection copy 5 of 6 for tracking. User identified a visible scrape across the front surface before a full grading pass. Because that defect is already sufficient to remove the card from the submission pool, the other criteria were not fully scored. Collection copy 6 of 6 remains uninspected in this session.</x:v>
      </x:c>
      <x:c r="AB147" t="str">
        <x:v>PSA 9 baseline ~$51.49; PSA 10 PSA estimate ~$1,728</x:v>
      </x:c>
      <x:c r="AC147" t="str">
        <x:v>PSA 10 uses recent direct-sales median; PSA 7–9 remain PriceCharting fallbacks.</x:v>
      </x:c>
      <x:c r="AD147" t="str">
        <x:v>https://www.psacard.com/cert/56089904/psa | https://www.pricecharting.com/game/pokemon-dragon-vault/dratini-2</x:v>
      </x:c>
      <x:c r="AE147"/>
      <x:c r="AF147"/>
      <x:c r="AG147"/>
      <x:c r="AH147"/>
      <x:c r="AI147"/>
      <x:c r="AJ147"/>
      <x:c r="AK147" t="n">
        <x:v>18.2</x:v>
      </x:c>
      <x:c r="AL147" t="n">
        <x:v>21.5</x:v>
      </x:c>
      <x:c r="AM147" t="n">
        <x:v>51.49</x:v>
      </x:c>
      <x:c r="AN147" t="n">
        <x:v>1825</x:v>
      </x:c>
      <x:c r="AO147" t="n">
        <x:f>SUMPRODUCT(AE147:AI147,AJ147:AN147)+IFERROR(BB147*BC147,0)</x:f>
        <x:v>0</x:v>
      </x:c>
      <x:c r="AP147" t="n">
        <x:f>K147</x:f>
        <x:v>14.5</x:v>
      </x:c>
      <x:c r="AQ147" t="n">
        <x:f>AO147-AP147</x:f>
        <x:v>-14.5</x:v>
      </x:c>
      <x:c r="AR147" t="str">
        <x:v>PSA direct median — PSA 10; PriceCharting fallback — PSA 7/8/9</x:v>
      </x:c>
      <x:c r="AS147" t="str">
        <x:v>Exact Dragon Vault Dratini-Holo #2. PSA 10 latest five direct sales: $1,890, $4,950, $1,825, $1,426, $971.99 → median $1,825. There is not enough current exact-grade PSA sales evidence for PSA 7–9, so the existing PriceCharting values remain the fallback for those grades.</x:v>
      </x:c>
      <x:c r="AT147"/>
      <x:c r="AU147"/>
      <x:c r="AV147"/>
      <x:c r="AW147"/>
      <x:c r="AX147" t="n">
        <x:v>22</x:v>
      </x:c>
      <x:c r="AY147"/>
      <x:c r="AZ147" t="str">
        <x:v>https://www.psacard.com/cert/56089904/psa | https://www.pricecharting.com/game/pokemon-dragon-vault/dratini-2</x:v>
      </x:c>
      <x:c r="BA147" t="str">
        <x:v>Graded-value hierarchy applied 2026-08-18: PSA recent exact-grade sales median when 3+ usable comps; otherwise PSA Estimate; otherwise PriceCharting fallback.</x:v>
      </x:c>
    </x:row>
    <x:row r="148">
      <x:c r="A148" t="str">
        <x:v>A — Priority</x:v>
      </x:c>
      <x:c r="B148" t="n">
        <x:v>656</x:v>
      </x:c>
      <x:c r="C148" t="str">
        <x:v>Rayquaza-EX</x:v>
      </x:c>
      <x:c r="D148" t="str">
        <x:v>BW47</x:v>
      </x:c>
      <x:c r="E148" t="str">
        <x:v>Black &amp; White Promos</x:v>
      </x:c>
      <x:c r="F148" t="n">
        <x:v>2012</x:v>
      </x:c>
      <x:c r="G148" t="str">
        <x:v>Holo Black Star Promo EX</x:v>
      </x:c>
      <x:c r="H148" t="str">
        <x:v>1 of 2</x:v>
      </x:c>
      <x:c r="I148" t="n">
        <x:v>35</x:v>
      </x:c>
      <x:c r="J148" t="n">
        <x:v>45</x:v>
      </x:c>
      <x:c r="K148" t="n">
        <x:v>40</x:v>
      </x:c>
      <x:c r="L148" t="n">
        <x:v>40</x:v>
      </x:c>
      <x:c r="M148" t="str">
        <x:v>Manual pre-grade: PSA 8 most likely</x:v>
      </x:c>
      <x:c r="N148" t="str">
        <x:v>Popular Rayquaza Black Star Promo with very large graded-value upside; current copy is visually strong except for cumulative reverse edge/corner wear.</x:v>
      </x:c>
      <x:c r="O148" t="str">
        <x:v>Submit if PSA 8 economics work; PSA 9 is upside, not the baseline.</x:v>
      </x:c>
      <x:c r="P148" t="str">
        <x:v>Pre-grade now; prioritize for a future PSA Value/special submission.</x:v>
      </x:c>
      <x:c r="Q148" t="str">
        <x:v>PSA 8 most likely; PSA 7 downside</x:v>
      </x:c>
      <x:c r="R148" t="str">
        <x:v>Yes — grade; submit/valuate expecting PSA 8.</x:v>
      </x:c>
      <x:c r="S148" t="str">
        <x:v>https://www.pricecharting.com/game/pokemon-promo/rayquaza-ex-bw47</x:v>
      </x:c>
      <x:c r="T148" t="str">
        <x:v>PSA 10 — centering app: 52/48 L-R and 53.4/46.6 T-B</x:v>
      </x:c>
      <x:c r="U148" t="str">
        <x:v>PSA 8–9 — small reverse corner touches/whitening, especially lower corners; no crushed corner</x:v>
      </x:c>
      <x:c r="V148" t="str">
        <x:v>PSA 8 — repeated whitening/chipping across the reverse bottom edge plus several smaller side-edge touches</x:v>
      </x:c>
      <x:c r="W148" t="str">
        <x:v>PSA 9 — surface presents well in angled shots; no obvious dent, crease, deep scratch, or major scuff</x:v>
      </x:c>
      <x:c r="X148" t="str">
        <x:v>10 / 8–9 / 8 / 9 → PSA 8 most likely</x:v>
      </x:c>
      <x:c r="Y148" t="str">
        <x:v>PSA 8 most likely</x:v>
      </x:c>
      <x:c r="Z148" t="str">
        <x:v>PSA 7 ~24% | PSA 8 ~72% | PSA 9 ~4% | PSA 10 ~0%</x:v>
      </x:c>
      <x:c r="AA148" t="str">
        <x:v>Rayquaza-EX BW47 copy 1 of 2. Front centering measured 52/48 L-R and 53.4/46.6 T-B, which is PSA-10-level centering. The reverse is the limiter: several visible white chips/flecks run across the bottom edge with smaller touches on the side edges and minor corner whitening. The front/surface looks strong and no structural defect is visible. Because PSA 9 is a Mint grade and this copy shows multiple distinct perimeter defects, PSA 8 is used as the strict baseline and PSA 9 only as low-probability upside.</x:v>
      </x:c>
      <x:c r="AB148" t="str">
        <x:v>PSA 8 baseline ~$100; PSA 9 upside ~$400+</x:v>
      </x:c>
      <x:c r="AC148" t="str">
        <x:v>PSA recent exact-grade sales medians used for 6/9; PriceCharting fills 7/8/10.</x:v>
      </x:c>
      <x:c r="AD148" t="str">
        <x:v>https://www.pricecharting.com/game/pokemon-promo/rayquaza-ex-bw47</x:v>
      </x:c>
      <x:c r="AE148" t="n">
        <x:v>0</x:v>
      </x:c>
      <x:c r="AF148" t="n">
        <x:v>0.24</x:v>
      </x:c>
      <x:c r="AG148" t="n">
        <x:v>0.72</x:v>
      </x:c>
      <x:c r="AH148" t="n">
        <x:v>0.04</x:v>
      </x:c>
      <x:c r="AI148" t="n">
        <x:v>0</x:v>
      </x:c>
      <x:c r="AJ148" t="n">
        <x:v>26.81</x:v>
      </x:c>
      <x:c r="AK148" t="n">
        <x:v>52</x:v>
      </x:c>
      <x:c r="AL148" t="n">
        <x:v>99.97</x:v>
      </x:c>
      <x:c r="AM148" t="n">
        <x:v>1000</x:v>
      </x:c>
      <x:c r="AN148" t="n">
        <x:v>3857.71</x:v>
      </x:c>
      <x:c r="AO148" t="n">
        <x:f>SUMPRODUCT(AE148:AI148,AJ148:AN148)+IFERROR(BB148*BC148,0)</x:f>
        <x:v>124.4584</x:v>
      </x:c>
      <x:c r="AP148" t="n">
        <x:v>40</x:v>
      </x:c>
      <x:c r="AQ148" t="n">
        <x:f>AO148-AP148</x:f>
        <x:v>84.4584</x:v>
      </x:c>
      <x:c r="AR148" t="str">
        <x:v>PSA direct medians — PSA 6/9; PriceCharting fallback — 7/8/10</x:v>
      </x:c>
      <x:c r="AS148" t="str">
        <x:v>Exact BW47 promo. PSA 6 latest three 2026 direct sales: $26.81, $50.00, $26.55 → median $26.81. PSA 9 latest five direct sales: $1,850, $1,230, $390.33, $1,000, $405 → median $1,000. PSA 7, PSA 8 and PSA 10 do not currently have enough direct exact-grade PSA comps located for the 3-sale rule, so PriceCharting remains the fallback.</x:v>
      </x:c>
      <x:c r="AT148"/>
      <x:c r="AU148"/>
      <x:c r="AV148"/>
      <x:c r="AW148" t="n">
        <x:v>49</x:v>
      </x:c>
      <x:c r="AX148" t="n">
        <x:v>10</x:v>
      </x:c>
      <x:c r="AY148"/>
      <x:c r="AZ148" t="str">
        <x:v>https://www.psacard.com/cert/94048639/psa | https://www.psacard.com/en-CA/cert/46907481/psa | https://www.pricecharting.com/game/pokemon-promo/rayquaza-ex-bw47</x:v>
      </x:c>
      <x:c r="BA148" t="str">
        <x:v>Graded-value hierarchy applied 2026-08-18: PSA recent exact-grade sales median when 3+ usable comps; otherwise PSA Estimate; otherwise PriceCharting fallback.</x:v>
      </x:c>
      <x:c r="BB148" t="n">
        <x:v>0</x:v>
      </x:c>
      <x:c r="BC148" t="n">
        <x:v>23</x:v>
      </x:c>
    </x:row>
    <x:row r="149">
      <x:c r="A149" t="str">
        <x:v>A — Priority</x:v>
      </x:c>
      <x:c r="B149" t="n">
        <x:v>657</x:v>
      </x:c>
      <x:c r="C149" t="str">
        <x:v>Rayquaza-EX</x:v>
      </x:c>
      <x:c r="D149" t="str">
        <x:v>BW47</x:v>
      </x:c>
      <x:c r="E149" t="str">
        <x:v>Black &amp; White Promos</x:v>
      </x:c>
      <x:c r="F149" t="n">
        <x:v>2012</x:v>
      </x:c>
      <x:c r="G149" t="str">
        <x:v>Holo Black Star Promo EX</x:v>
      </x:c>
      <x:c r="H149" t="str">
        <x:v>2 of 2</x:v>
      </x:c>
      <x:c r="I149" t="n">
        <x:v>35</x:v>
      </x:c>
      <x:c r="J149" t="n">
        <x:v>45</x:v>
      </x:c>
      <x:c r="K149" t="n">
        <x:v>40</x:v>
      </x:c>
      <x:c r="L149" t="n">
        <x:v>40</x:v>
      </x:c>
      <x:c r="M149" t="str">
        <x:v>Manual pre-grade: PSA 6 most likely</x:v>
      </x:c>
      <x:c r="N149" t="str">
        <x:v>Popular Rayquaza Black Star Promo with major high-grade upside in theory, but this physical copy has extensive reverse perimeter wear.</x:v>
      </x:c>
      <x:c r="O149" t="str">
        <x:v>Condition fails the PSA 8+ grading gate; only grade for sentimental/slab preference.</x:v>
      </x:c>
      <x:c r="P149" t="str">
        <x:v>Do not pay grading fees for value purposes; keep raw unless a low-grade slab is specifically wanted.</x:v>
      </x:c>
      <x:c r="Q149" t="str">
        <x:v>PSA 6 most likely; PSA 5 downside / PSA 7 outside chance</x:v>
      </x:c>
      <x:c r="R149" t="str">
        <x:v>Do not grade — expected PSA 6 economics do not beat raw value plus grading cost.</x:v>
      </x:c>
      <x:c r="S149" t="str">
        <x:v>https://www.pricecharting.com/game/pokemon-promo/rayquaza-ex-bw47</x:v>
      </x:c>
      <x:c r="T149" t="str">
        <x:v>PSA 9 provisional — visually acceptable centering, but no app measurement supplied for copy #2</x:v>
      </x:c>
      <x:c r="U149" t="str">
        <x:v>PSA 7 — visible wear/whitening at several reverse corners, with lower-corner wear most obvious</x:v>
      </x:c>
      <x:c r="V149" t="str">
        <x:v>PSA 6 — heavy cumulative reverse perimeter whitening/chipping: bottom edge is the worst, with repeated top/side flecks as well</x:v>
      </x:c>
      <x:c r="W149" t="str">
        <x:v>PSA 9 — front/surface presents strongly; no obvious crease, dent, or major scratch in the supplied angled photos</x:v>
      </x:c>
      <x:c r="X149" t="str">
        <x:v>9 / 7 / 6 / 9 → PSA 6 most likely</x:v>
      </x:c>
      <x:c r="Y149" t="str">
        <x:v>PSA 6 most likely</x:v>
      </x:c>
      <x:c r="Z149" t="str">
        <x:v>PSA 5 ~25% | PSA 6 ~55% | PSA 7 ~18% | PSA 8 ~2% | PSA 9/10 ~0%</x:v>
      </x:c>
      <x:c r="AA149" t="str">
        <x:v>Rayquaza-EX BW47 copy 2 of 2. The reverse perimeter is substantially rougher than copy #1: the bottom edge has a near-continuous run of small white chips/whitening and the top and side edges add multiple more flecks. Several corner transitions also show wear. The front remains attractive and no structural crease/dent is visible, so this is not a low-grade surface card; the grade is being driven down by cumulative edge/corner wear. Exact PSA 6 cert 144482609 provides a useful calibration point; its reverse is actually cleaner in places, which keeps PSA 5 as meaningful downside.</x:v>
      </x:c>
      <x:c r="AB149" t="str">
        <x:v>PSA 6 recent sales ~$27–$50</x:v>
      </x:c>
      <x:c r="AC149" t="str">
        <x:v>PSA recent exact-grade sales medians used for 6/9; PriceCharting fills 7/8/10.</x:v>
      </x:c>
      <x:c r="AD149" t="str">
        <x:v>https://www.pricecharting.com/game/pokemon-promo/rayquaza-ex-bw47</x:v>
      </x:c>
      <x:c r="AE149" t="n">
        <x:v>0.55</x:v>
      </x:c>
      <x:c r="AF149" t="n">
        <x:v>0.18</x:v>
      </x:c>
      <x:c r="AG149" t="n">
        <x:v>0.02</x:v>
      </x:c>
      <x:c r="AH149" t="n">
        <x:v>0</x:v>
      </x:c>
      <x:c r="AI149" t="n">
        <x:v>0</x:v>
      </x:c>
      <x:c r="AJ149" t="n">
        <x:v>26.81</x:v>
      </x:c>
      <x:c r="AK149" t="n">
        <x:v>52</x:v>
      </x:c>
      <x:c r="AL149" t="n">
        <x:v>99.97</x:v>
      </x:c>
      <x:c r="AM149" t="n">
        <x:v>1000</x:v>
      </x:c>
      <x:c r="AN149" t="n">
        <x:v>3857.71</x:v>
      </x:c>
      <x:c r="AO149" t="n">
        <x:f>SUMPRODUCT(AE149:AI149,AJ149:AN149)+IFERROR(BB149*BC149,0)</x:f>
        <x:v>31.8549</x:v>
      </x:c>
      <x:c r="AP149" t="n">
        <x:v>40</x:v>
      </x:c>
      <x:c r="AQ149" t="n">
        <x:f>AO149-AP149</x:f>
        <x:v>-8.1451</x:v>
      </x:c>
      <x:c r="AR149" t="str">
        <x:v>PSA direct medians — PSA 6/9; PriceCharting fallback — 7/8/10</x:v>
      </x:c>
      <x:c r="AS149" t="str">
        <x:v>Exact BW47 promo. PSA 6 latest three 2026 direct sales: $26.81, $50.00, $26.55 → median $26.81. PSA 9 latest five direct sales: $1,850, $1,230, $390.33, $1,000, $405 → median $1,000. PSA 7, PSA 8 and PSA 10 do not currently have enough direct exact-grade PSA comps located for the 3-sale rule, so PriceCharting remains the fallback.</x:v>
      </x:c>
      <x:c r="AT149" t="n">
        <x:v>32</x:v>
      </x:c>
      <x:c r="AU149"/>
      <x:c r="AV149"/>
      <x:c r="AW149"/>
      <x:c r="AX149"/>
      <x:c r="AY149"/>
      <x:c r="AZ149" t="str">
        <x:v>https://www.psacard.com/cert/94048639/psa | https://www.psacard.com/en-CA/cert/46907481/psa | https://www.pricecharting.com/game/pokemon-promo/rayquaza-ex-bw47</x:v>
      </x:c>
      <x:c r="BA149" t="str">
        <x:v>Graded-value hierarchy applied 2026-08-18: PSA recent exact-grade sales median when 3+ usable comps; otherwise PSA Estimate; otherwise PriceCharting fallback.</x:v>
      </x:c>
      <x:c r="BB149" t="n">
        <x:v>0.25</x:v>
      </x:c>
      <x:c r="BC149" t="n">
        <x:v>23</x:v>
      </x:c>
    </x:row>
    <x:row r="150" ht="26.399999618530273" customHeight="1">
      <x:c r="A150" t="str">
        <x:v>C — Conditional</x:v>
      </x:c>
      <x:c r="B150" t="n">
        <x:v>860</x:v>
      </x:c>
      <x:c r="C150" t="str">
        <x:v>Rayquaza</x:v>
      </x:c>
      <x:c r="D150" t="str">
        <x:v>11/20</x:v>
      </x:c>
      <x:c r="E150" t="str">
        <x:v>Dragon Vault</x:v>
      </x:c>
      <x:c r="F150" t="n">
        <x:v>2012</x:v>
      </x:c>
      <x:c r="G150" t="str">
        <x:v>Normal Holo</x:v>
      </x:c>
      <x:c r="H150" t="str">
        <x:v>3 of 3</x:v>
      </x:c>
      <x:c r="I150" t="n">
        <x:v>35</x:v>
      </x:c>
      <x:c r="J150" t="n">
        <x:v>50</x:v>
      </x:c>
      <x:c r="K150" t="n">
        <x:v>42.5</x:v>
      </x:c>
      <x:c r="L150" t="n">
        <x:v>42.5</x:v>
      </x:c>
      <x:c r="M150" t="str">
        <x:v>Manual pre-grade: PSA 8 most likely</x:v>
      </x:c>
      <x:c r="N150" t="str">
        <x:v>Meaningful raw value; popular Rayquaza; regular Dragon Vault holo. This copy has near-limit PSA-9 centering plus cumulative reverse perimeter wear.</x:v>
      </x:c>
      <x:c r="O150" t="str">
        <x:v>Submit only if PSA 8 economics are acceptable; PSA 9 is upside rather than the baseline.</x:v>
      </x:c>
      <x:c r="P150" t="str">
        <x:v>Grade on a value/special tier if submitting.</x:v>
      </x:c>
      <x:c r="Q150" t="str">
        <x:v>PSA 8 most likely; PSA 9 upside</x:v>
      </x:c>
      <x:c r="R150" t="str">
        <x:v>Yes — grade if PSA 8 economics work; value it as an 8.</x:v>
      </x:c>
      <x:c r="S150" t="str">
        <x:v>https://www.pricecharting.com/game/pokemon-dragon-vault/rayquaza-11</x:v>
      </x:c>
      <x:c r="T150" t="str">
        <x:v>PSA 9 — centering app: 59/41 L-R and 57/43 T-B; essentially at PSA-9 centering limits and outside PSA-10 range</x:v>
      </x:c>
      <x:c r="U150" t="str">
        <x:v>PSA 8–9 — small reverse corner whitening/touches; no crushed or heavily rounded corner</x:v>
      </x:c>
      <x:c r="V150" t="str">
        <x:v>PSA 8 — repeated small white chips/flecks along the reverse bottom edge plus smaller perimeter touches</x:v>
      </x:c>
      <x:c r="W150" t="str">
        <x:v>PSA 9–10 — holo/surface appears clean in angled shots; no obvious dent, crease, major scratch, or scrape</x:v>
      </x:c>
      <x:c r="X150" t="str">
        <x:v>9 / 8–9 / 8 / 9–10 → PSA 8 most likely</x:v>
      </x:c>
      <x:c r="Y150" t="str">
        <x:v>PSA 8 most likely; PSA 9 upside</x:v>
      </x:c>
      <x:c r="Z150" t="str">
        <x:v>PSA 7 ~4% | PSA 8 ~76% | PSA 9 ~20% | PSA 10 ~0%</x:v>
      </x:c>
      <x:c r="AA150" t="str">
        <x:v>Rayquaza 11/20 regular Dragon Vault holo copy 3 of 3. Front centering measured 59/41 L-R and 57/43 T-B, which is still within PSA-9 territory but sits near the 60/40 Mint boundary. The reverse shows multiple small white chips/flecks, concentrated along the bottom edge, plus minor corner/perimeter touches. Surface/holo looks strong and no structural defect is visible. The combination of near-limit centering and cumulative edge wear makes PSA 8 the strict baseline, with PSA 9 as meaningful but secondary upside.</x:v>
      </x:c>
      <x:c r="AB150" t="str">
        <x:v>PSA 8 recent median ~$144.50; PSA 9 recent median ~$725</x:v>
      </x:c>
      <x:c r="AC150" t="str">
        <x:v>PSA recent exact-grade sales medians used for 8/9; PriceCharting only fills 7/10.</x:v>
      </x:c>
      <x:c r="AD150" t="str">
        <x:v>https://www.pricecharting.com/game/pokemon-dragon-vault/rayquaza-11</x:v>
      </x:c>
      <x:c r="AE150" t="n">
        <x:v>0</x:v>
      </x:c>
      <x:c r="AF150" t="n">
        <x:v>0.04</x:v>
      </x:c>
      <x:c r="AG150" t="n">
        <x:v>0.76</x:v>
      </x:c>
      <x:c r="AH150" t="n">
        <x:v>0.2</x:v>
      </x:c>
      <x:c r="AI150" t="n">
        <x:v>0</x:v>
      </x:c>
      <x:c r="AJ150" t="n">
        <x:v>0</x:v>
      </x:c>
      <x:c r="AK150" t="n">
        <x:v>59.07</x:v>
      </x:c>
      <x:c r="AL150" t="n">
        <x:v>144.5</x:v>
      </x:c>
      <x:c r="AM150" t="n">
        <x:v>679.99</x:v>
      </x:c>
      <x:c r="AN150" t="n">
        <x:v>10825</x:v>
      </x:c>
      <x:c r="AO150" t="n">
        <x:f>SUMPRODUCT(AE150:AI150,AJ150:AN150)+IFERROR(BB150*BC150,0)</x:f>
        <x:v>248.18080000000003</x:v>
      </x:c>
      <x:c r="AP150" t="n">
        <x:v>42.5</x:v>
      </x:c>
      <x:c r="AQ150" t="n">
        <x:f>AO150-AP150</x:f>
        <x:v>205.68080000000003</x:v>
      </x:c>
      <x:c r="AR150" t="str">
        <x:v>PSA direct medians — PSA 8/9; PriceCharting fallback — 7/10</x:v>
      </x:c>
      <x:c r="AS15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150"/>
      <x:c r="AU150"/>
      <x:c r="AV150" t="n">
        <x:v>209</x:v>
      </x:c>
      <x:c r="AW150" t="n">
        <x:v>212</x:v>
      </x:c>
      <x:c r="AX150" t="n">
        <x:v>25</x:v>
      </x:c>
      <x:c r="AY150"/>
      <x:c r="AZ150" t="str">
        <x:v>https://www.psacard.com/cert/59704495/psa | https://www.psacard.com/cert/54067310/psa | https://www.pricecharting.com/game/pokemon-dragon-vault/rayquaza-11</x:v>
      </x:c>
      <x:c r="BA150" t="str">
        <x:v>Graded-value hierarchy applied 2026-08-18: PSA recent exact-grade sales median when 3+ usable comps; otherwise PSA Estimate; otherwise PriceCharting fallback.</x:v>
      </x:c>
      <x:c r="BB150"/>
      <x:c r="BC150"/>
    </x:row>
    <x:row r="151">
      <x:c r="A151" t="str">
        <x:v>B — Strong</x:v>
      </x:c>
      <x:c r="B151" t="n">
        <x:v>861</x:v>
      </x:c>
      <x:c r="C151" t="str">
        <x:v>Rayquaza</x:v>
      </x:c>
      <x:c r="D151" t="str">
        <x:v>93/113</x:v>
      </x:c>
      <x:c r="E151" t="str">
        <x:v>Legendary Treasures</x:v>
      </x:c>
      <x:c r="F151" t="n">
        <x:v>2013</x:v>
      </x:c>
      <x:c r="G151" t="str">
        <x:v>Holo Rare</x:v>
      </x:c>
      <x:c r="H151" t="str">
        <x:v>1 of 1</x:v>
      </x:c>
      <x:c r="I151" t="n">
        <x:v>22.53</x:v>
      </x:c>
      <x:c r="J151" t="n">
        <x:v>43.94</x:v>
      </x:c>
      <x:c r="K151" t="n">
        <x:v>33.235</x:v>
      </x:c>
      <x:c r="L151" t="n">
        <x:v>33.235</x:v>
      </x:c>
      <x:c r="M151" t="str">
        <x:v>Manual pre-grade: PSA 8 most likely</x:v>
      </x:c>
      <x:c r="N151" t="str">
        <x:v>Popular Rayquaza holo with meaningful PSA 9 premium; current copy is held back by near-limit centering plus cumulative reverse edge wear.</x:v>
      </x:c>
      <x:c r="O151" t="str">
        <x:v>Submit only if PSA 8 economics work; PSA 9 is upside rather than the baseline.</x:v>
      </x:c>
      <x:c r="P151" t="str">
        <x:v>Use a cheap PSA Value/special tier if submitting.</x:v>
      </x:c>
      <x:c r="Q151" t="str">
        <x:v>PSA 8 most likely; PSA 9 upside</x:v>
      </x:c>
      <x:c r="R151" t="str">
        <x:v>Conditional grade — value as PSA 8; submit only on a cheap tier.</x:v>
      </x:c>
      <x:c r="S151" t="str">
        <x:v>https://www.pricecharting.com/game/pokemon-legendary-treasures/rayquaza-93</x:v>
      </x:c>
      <x:c r="T151" t="str">
        <x:v>PSA 9 — centering app: 51.1/48.9 L-R and 59.3/40.7 T-B; essentially at the Mint 9 centering boundary</x:v>
      </x:c>
      <x:c r="U151" t="str">
        <x:v>PSA 8–9 — small reverse corner whitening/touches, especially lower corners; no crushed corner</x:v>
      </x:c>
      <x:c r="V151" t="str">
        <x:v>PSA 8 — multiple small reverse bottom-edge chips/flecks plus a few smaller perimeter touches</x:v>
      </x:c>
      <x:c r="W151" t="str">
        <x:v>PSA 9–10 — holo/surface appears clean in angled shots; no obvious dent, crease, major scratch, or scrape</x:v>
      </x:c>
      <x:c r="X151" t="str">
        <x:v>9 / 8–9 / 8 / 9–10 → PSA 8 most likely</x:v>
      </x:c>
      <x:c r="Y151" t="str">
        <x:v>PSA 8 most likely; PSA 9 upside</x:v>
      </x:c>
      <x:c r="Z151" t="str">
        <x:v>PSA 7 ~3% | PSA 8 ~72% | PSA 9 ~25% | PSA 10 ~0%</x:v>
      </x:c>
      <x:c r="AA151" t="str">
        <x:v>Legendary Treasures Rayquaza 93/113 holo. Front centering measured 51.1/48.9 L-R and 59.3/40.7 T-B. That is effectively at PSA's 60/40 Mint-9 limit, so centering already consumes most of the Mint tolerance. The reverse also shows multiple small white chips/flecks, concentrated along the bottom edge, plus minor corner/perimeter touches. Surface/holo presents strongly. Because PSA 9 calls for a mint card with sharp corners/no major flaws and no worse than 60/40 centering, the combination of near-limit centering and cumulative edge wear makes PSA 8 the strict baseline.</x:v>
      </x:c>
      <x:c r="AB151" t="str">
        <x:v>PSA 8 ~$117; PSA 9 ~$413; PSA 10 ~$1,200</x:v>
      </x:c>
      <x:c r="AC151" t="str">
        <x:v>PSA recent exact-grade sales medians used for 8/9; PriceCharting fills unresolved grades.</x:v>
      </x:c>
      <x:c r="AD151" t="str">
        <x:v>https://www.pricecharting.com/game/pokemon-legendary-treasures/rayquaza-93</x:v>
      </x:c>
      <x:c r="AE151" t="n">
        <x:v>0</x:v>
      </x:c>
      <x:c r="AF151" t="n">
        <x:v>0.03</x:v>
      </x:c>
      <x:c r="AG151" t="n">
        <x:v>0.72</x:v>
      </x:c>
      <x:c r="AH151" t="n">
        <x:v>0.25</x:v>
      </x:c>
      <x:c r="AI151" t="n">
        <x:v>0</x:v>
      </x:c>
      <x:c r="AJ151" t="n">
        <x:v>50</x:v>
      </x:c>
      <x:c r="AK151" t="n">
        <x:v>69.35</x:v>
      </x:c>
      <x:c r="AL151" t="n">
        <x:v>140</x:v>
      </x:c>
      <x:c r="AM151" t="n">
        <x:v>355</x:v>
      </x:c>
      <x:c r="AN151" t="n">
        <x:v>1199.99</x:v>
      </x:c>
      <x:c r="AO151" t="n">
        <x:f>SUMPRODUCT(AE151:AI151,AJ151:AN151)+IFERROR(BB151*BC151,0)</x:f>
        <x:v>191.63049999999998</x:v>
      </x:c>
      <x:c r="AP151" t="n">
        <x:v>33.235</x:v>
      </x:c>
      <x:c r="AQ151" t="n">
        <x:f>AO151-AP151</x:f>
        <x:v>158.39549999999997</x:v>
      </x:c>
      <x:c r="AR151" t="str">
        <x:v>PSA direct medians — PSA 8/9; PriceCharting fallback — 6/7/10</x:v>
      </x:c>
      <x:c r="AS151" t="str">
        <x:v>Exact Legendary Treasures Rayquaza-Holo #93. PSA 8 latest five direct sales: $140, $94, $140.71, $187.80, $140 → median $140. PSA 9 latest five direct sales: $435, $363, $355, $355, $330 → median $355. PSA 6, PSA 7 and PSA 10 remain PriceCharting fallbacks due insufficient current direct exact-grade PSA comps.</x:v>
      </x:c>
      <x:c r="AT151" t="n">
        <x:v>35</x:v>
      </x:c>
      <x:c r="AU151" t="n">
        <x:v>68</x:v>
      </x:c>
      <x:c r="AV151" t="n">
        <x:v>176</x:v>
      </x:c>
      <x:c r="AW151" t="n">
        <x:v>149</x:v>
      </x:c>
      <x:c r="AX151" t="n">
        <x:v>31</x:v>
      </x:c>
      <x:c r="AY151" t="n">
        <x:v>459</x:v>
      </x:c>
      <x:c r="AZ151" t="str">
        <x:v>https://www.psacard.com/cert/42714437/psa | https://www.psacard.com/cert/73701691/psa | https://www.pricecharting.com/game/pokemon-legendary-treasures/rayquaza-93</x:v>
      </x:c>
      <x:c r="BA151" t="str">
        <x:v>Graded-value hierarchy applied 2026-08-18: PSA recent exact-grade sales median when 3+ usable comps; otherwise PSA Estimate; otherwise PriceCharting fallback.</x:v>
      </x:c>
      <x:c r="BB151" t="n">
        <x:v>0</x:v>
      </x:c>
      <x:c r="BC151" t="n">
        <x:v>40</x:v>
      </x:c>
    </x:row>
  </x:sheetData>
  <x:mergeCells>
    <x:mergeCell ref="A1:S1"/>
    <x:mergeCell ref="A7:S7"/>
    <x:mergeCell ref="A111:AQ111"/>
  </x:mergeCells>
  <x:conditionalFormatting sqref="L10:L106">
    <x:cfRule type="expression" dxfId="6" priority="1">
      <x:formula>AND($L10&lt;&gt;"",$K10&lt;&gt;"",$L10&lt;$K10*0.80)</x:formula>
    </x:cfRule>
  </x:conditionalFormatting>
  <x:conditionalFormatting sqref="AB10:AB106">
    <x:cfRule type="expression" dxfId="7" priority="2">
      <x:formula>AB10&lt;&gt;""</x:formula>
    </x:cfRule>
  </x:conditionalFormatting>
  <x:dataValidations count="2">
    <x:dataValidation type="list" sqref="Q10:Q106">
      <x:formula1>"Not inspected,PSA 10 candidate,PSA 9–10,PSA 8–9,Below 8"</x:formula1>
    </x:dataValidation>
    <x:dataValidation type="list" sqref="R10:R106">
      <x:formula1>"Undecided,Grade,Hold raw,Do not grade,Submitted"</x:formula1>
    </x:dataValidation>
  </x:dataValidations>
  <x:pageMargins left="0.7" right="0.7" top="0.75" bottom="0.75" header="0.3" footer="0.3"/>
  <x:tableParts count="1">
    <x:tablePart xmlns:r="http://schemas.openxmlformats.org/officeDocument/2006/relationships" r:id="R7a6efeb378174651"/>
  </x:tableParts>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24" hidden="0" customWidth="1"/>
    <x:col min="4" max="4" width="8" hidden="0" customWidth="1"/>
    <x:col min="5" max="5" width="14" hidden="0" customWidth="1"/>
    <x:col min="6" max="6" width="14" hidden="0" customWidth="1"/>
    <x:col min="7" max="7" width="22" hidden="0" customWidth="1"/>
    <x:col min="8" max="8" width="12" hidden="0" customWidth="1"/>
    <x:col min="9" max="9" width="16" hidden="0" customWidth="1"/>
    <x:col min="10" max="10" width="16" hidden="0" customWidth="1"/>
    <x:col min="11" max="11" width="16" hidden="0" customWidth="1"/>
    <x:col min="12" max="12" width="56" hidden="0" customWidth="1"/>
    <x:col min="13" max="13" width="44" hidden="0" customWidth="1"/>
    <x:col min="14" max="14" width="18" hidden="0" customWidth="1"/>
    <x:col min="15" max="15" width="36" hidden="0" customWidth="1"/>
  </x:cols>
  <x:sheetData>
    <x:row r="1">
      <x:c r="A1" s="152" t="str">
        <x:v>PDF Page</x:v>
      </x:c>
      <x:c r="B1" s="152" t="str">
        <x:v>Listing</x:v>
      </x:c>
      <x:c r="C1" s="152" t="str">
        <x:v>Set</x:v>
      </x:c>
      <x:c r="D1" s="152" t="str">
        <x:v>Qty</x:v>
      </x:c>
      <x:c r="E1" s="152" t="str">
        <x:v>PDF Row Value</x:v>
      </x:c>
      <x:c r="F1" s="152" t="str">
        <x:v>Per-Card Value</x:v>
      </x:c>
      <x:c r="G1" s="152" t="str">
        <x:v>Master IDs Added</x:v>
      </x:c>
      <x:c r="H1" s="152" t="str">
        <x:v>Status</x:v>
      </x:c>
      <x:c r="I1" s="166" t="str">
        <x:v>External Clean Low</x:v>
      </x:c>
      <x:c r="J1" s="166" t="str">
        <x:v>External Clean High</x:v>
      </x:c>
      <x:c r="K1" s="166" t="str">
        <x:v>External Clean Mid</x:v>
      </x:c>
      <x:c r="L1" s="166" t="str">
        <x:v>External Check Basis</x:v>
      </x:c>
      <x:c r="M1" s="166" t="str">
        <x:v>Research URL</x:v>
      </x:c>
      <x:c r="N1" t="str">
        <x:v>TCGplayer NM Market</x:v>
      </x:c>
      <x:c r="O1" t="str">
        <x:v>Approved Pricing Sources</x:v>
      </x:c>
    </x:row>
    <x:row r="2">
      <x:c r="A2" s="20" t="n">
        <x:v>2</x:v>
      </x:c>
      <x:c r="B2" s="20" t="str">
        <x:v>Rayquaza EX #BW47</x:v>
      </x:c>
      <x:c r="C2" s="20" t="str">
        <x:v>Promo</x:v>
      </x:c>
      <x:c r="D2" s="20" t="n">
        <x:v>2</x:v>
      </x:c>
      <x:c r="E2" s="153" t="n">
        <x:v>23</x:v>
      </x:c>
      <x:c r="F2" s="153" t="n">
        <x:v>11.5</x:v>
      </x:c>
      <x:c r="G2" s="20" t="str">
        <x:v>656, 657</x:v>
      </x:c>
      <x:c r="H2" s="20" t="str">
        <x:v>Imported</x:v>
      </x:c>
      <x:c r="I2" s="61" t="n">
        <x:v>35</x:v>
      </x:c>
      <x:c r="J2" s="61" t="n">
        <x:v>45</x:v>
      </x:c>
      <x:c r="K2" s="61" t="n">
        <x:v>40</x:v>
      </x:c>
      <x:c r="L2" s="20" t="str">
        <x:v>TCGplayer/PokeScope market around $41; working range centered on current holo market.</x:v>
      </x:c>
      <x:c r="M2" s="20" t="str">
        <x:v>https://www.tcgplayer.com/search/pokemon/product?q=Rayquaza+EX+%23BW47+Promo</x:v>
      </x:c>
      <x:c r="N2"/>
      <x:c r="O2"/>
    </x:row>
    <x:row r="3">
      <x:c r="A3" s="20" t="n">
        <x:v>2</x:v>
      </x:c>
      <x:c r="B3" s="20" t="str">
        <x:v>Crobat #84</x:v>
      </x:c>
      <x:c r="C3" s="20" t="str">
        <x:v>Unleashed</x:v>
      </x:c>
      <x:c r="D3" s="20" t="n">
        <x:v>1</x:v>
      </x:c>
      <x:c r="E3" s="153" t="n">
        <x:v>48.5</x:v>
      </x:c>
      <x:c r="F3" s="153" t="n">
        <x:v>48.5</x:v>
      </x:c>
      <x:c r="G3" s="20" t="str">
        <x:v>658</x:v>
      </x:c>
      <x:c r="H3" s="20" t="str">
        <x:v>Imported</x:v>
      </x:c>
      <x:c r="I3" s="61" t="n">
        <x:v>55</x:v>
      </x:c>
      <x:c r="J3" s="61" t="n">
        <x:v>80</x:v>
      </x:c>
      <x:c r="K3" s="61" t="n">
        <x:v>67.5</x:v>
      </x:c>
      <x:c r="L3" s="20" t="str">
        <x:v>TCGplayer market about $61; recent NM sale near $85; working range avoids anchoring to one sale.</x:v>
      </x:c>
      <x:c r="M3" s="20" t="str">
        <x:v>https://www.tcgplayer.com/search/pokemon/product?q=Crobat+%2384+Unleashed</x:v>
      </x:c>
      <x:c r="N3"/>
      <x:c r="O3"/>
    </x:row>
    <x:row r="4">
      <x:c r="A4" s="20" t="n">
        <x:v>2</x:v>
      </x:c>
      <x:c r="B4" s="20" t="str">
        <x:v>Darkrai LV. X #104</x:v>
      </x:c>
      <x:c r="C4" s="20" t="str">
        <x:v>Great Encounters</x:v>
      </x:c>
      <x:c r="D4" s="20" t="n">
        <x:v>1</x:v>
      </x:c>
      <x:c r="E4" s="153" t="n">
        <x:v>50</x:v>
      </x:c>
      <x:c r="F4" s="153" t="n">
        <x:v>50</x:v>
      </x:c>
      <x:c r="G4" s="20" t="str">
        <x:v>659</x:v>
      </x:c>
      <x:c r="H4" s="20" t="str">
        <x:v>Imported</x:v>
      </x:c>
      <x:c r="I4" s="61" t="n">
        <x:v>60</x:v>
      </x:c>
      <x:c r="J4" s="61" t="n">
        <x:v>130</x:v>
      </x:c>
      <x:c r="K4" s="61" t="n">
        <x:v>95</x:v>
      </x:c>
      <x:c r="L4" s="20" t="str">
        <x:v>Market is unusually split: TCGplayer headline near $184, other current cross-market signals around the low-$60s; deliberately wide range.</x:v>
      </x:c>
      <x:c r="M4" s="20" t="str">
        <x:v>https://www.tcgplayer.com/search/pokemon/product?q=Darkrai+LV.+X+%23104+Great+Encounters</x:v>
      </x:c>
      <x:c r="N4"/>
      <x:c r="O4"/>
    </x:row>
    <x:row r="5">
      <x:c r="A5" s="20" t="n">
        <x:v>2</x:v>
      </x:c>
      <x:c r="B5" s="20" t="str">
        <x:v>Krookodile EX #XY25</x:v>
      </x:c>
      <x:c r="C5" s="20" t="str">
        <x:v>Promo</x:v>
      </x:c>
      <x:c r="D5" s="20" t="n">
        <x:v>1</x:v>
      </x:c>
      <x:c r="E5" s="153" t="n">
        <x:v>3.99</x:v>
      </x:c>
      <x:c r="F5" s="153" t="n">
        <x:v>3.99</x:v>
      </x:c>
      <x:c r="G5" s="20" t="str">
        <x:v>660</x:v>
      </x:c>
      <x:c r="H5" s="20" t="str">
        <x:v>Imported</x:v>
      </x:c>
      <x:c r="I5" s="61" t="n">
        <x:v>9</x:v>
      </x:c>
      <x:c r="J5" s="61" t="n">
        <x:v>13</x:v>
      </x:c>
      <x:c r="K5" s="61" t="n">
        <x:v>11</x:v>
      </x:c>
      <x:c r="L5" s="20" t="str">
        <x:v>Current TCGplayer/PokeScope signals roughly $10–13.</x:v>
      </x:c>
      <x:c r="M5" s="20" t="str">
        <x:v>https://www.tcgplayer.com/search/pokemon/product?q=Krookodile+EX+%23XY25+Promo</x:v>
      </x:c>
      <x:c r="N5"/>
      <x:c r="O5"/>
    </x:row>
    <x:row r="6">
      <x:c r="A6" s="20" t="n">
        <x:v>2</x:v>
      </x:c>
      <x:c r="B6" s="20" t="str">
        <x:v>Articuno #16</x:v>
      </x:c>
      <x:c r="C6" s="20" t="str">
        <x:v>Supreme Victors</x:v>
      </x:c>
      <x:c r="D6" s="20" t="n">
        <x:v>1</x:v>
      </x:c>
      <x:c r="E6" s="153" t="n">
        <x:v>9</x:v>
      </x:c>
      <x:c r="F6" s="153" t="n">
        <x:v>9</x:v>
      </x:c>
      <x:c r="G6" s="20" t="str">
        <x:v>661</x:v>
      </x:c>
      <x:c r="H6" s="20" t="str">
        <x:v>Imported</x:v>
      </x:c>
      <x:c r="I6" s="61" t="n">
        <x:v>9</x:v>
      </x:c>
      <x:c r="J6" s="61" t="n">
        <x:v>13</x:v>
      </x:c>
      <x:c r="K6" s="61" t="n">
        <x:v>11</x:v>
      </x:c>
      <x:c r="L6" s="20" t="str">
        <x:v>Current TCGplayer/PokeScope/PokeData signals roughly $10–12.</x:v>
      </x:c>
      <x:c r="M6" s="20" t="str">
        <x:v>https://www.tcgplayer.com/search/pokemon/product?q=Articuno+%2316+Supreme+Victors</x:v>
      </x:c>
      <x:c r="N6"/>
      <x:c r="O6"/>
    </x:row>
    <x:row r="7">
      <x:c r="A7" s="20" t="n">
        <x:v>2</x:v>
      </x:c>
      <x:c r="B7" s="20" t="str">
        <x:v>Registeel EX #81</x:v>
      </x:c>
      <x:c r="C7" s="20" t="str">
        <x:v>Dragons Exalted</x:v>
      </x:c>
      <x:c r="D7" s="20" t="n">
        <x:v>1</x:v>
      </x:c>
      <x:c r="E7" s="153" t="n">
        <x:v>7.81</x:v>
      </x:c>
      <x:c r="F7" s="153" t="n">
        <x:v>7.81</x:v>
      </x:c>
      <x:c r="G7" s="20" t="str">
        <x:v>662</x:v>
      </x:c>
      <x:c r="H7" s="20" t="str">
        <x:v>Imported</x:v>
      </x:c>
      <x:c r="I7" s="61" t="n">
        <x:v>11</x:v>
      </x:c>
      <x:c r="J7" s="61" t="n">
        <x:v>15</x:v>
      </x:c>
      <x:c r="K7" s="61" t="n">
        <x:v>13</x:v>
      </x:c>
      <x:c r="L7" s="20" t="str">
        <x:v>Current TCGplayer/PokeScope roughly $12–14.</x:v>
      </x:c>
      <x:c r="M7" s="20" t="str">
        <x:v>https://www.tcgplayer.com/search/pokemon/product?q=Registeel+EX+%2381+Dragons+Exalted</x:v>
      </x:c>
      <x:c r="N7"/>
      <x:c r="O7"/>
    </x:row>
    <x:row r="8">
      <x:c r="A8" s="20" t="n">
        <x:v>3</x:v>
      </x:c>
      <x:c r="B8" s="20" t="str">
        <x:v>Charizard #20</x:v>
      </x:c>
      <x:c r="C8" s="20" t="str">
        <x:v>Boundaries Crossed</x:v>
      </x:c>
      <x:c r="D8" s="20" t="n">
        <x:v>1</x:v>
      </x:c>
      <x:c r="E8" s="153" t="n">
        <x:v>25.13</x:v>
      </x:c>
      <x:c r="F8" s="153" t="n">
        <x:v>25.13</x:v>
      </x:c>
      <x:c r="G8" s="20" t="str">
        <x:v>663</x:v>
      </x:c>
      <x:c r="H8" s="20" t="str">
        <x:v>Imported</x:v>
      </x:c>
      <x:c r="I8" s="61" t="n">
        <x:v>35</x:v>
      </x:c>
      <x:c r="J8" s="61" t="n">
        <x:v>55</x:v>
      </x:c>
      <x:c r="K8" s="61" t="n">
        <x:v>45</x:v>
      </x:c>
      <x:c r="L8" s="20" t="str">
        <x:v>Current TCGplayer market in the low/mid-$40s with recent NM sales spanning roughly $30–65.</x:v>
      </x:c>
      <x:c r="M8" s="20" t="str">
        <x:v>https://www.tcgplayer.com/search/pokemon/product?q=Charizard+%2320+Boundaries+Crossed</x:v>
      </x:c>
      <x:c r="N8"/>
      <x:c r="O8"/>
    </x:row>
    <x:row r="9">
      <x:c r="A9" s="20" t="n">
        <x:v>3</x:v>
      </x:c>
      <x:c r="B9" s="20" t="str">
        <x:v>Kingdra #8</x:v>
      </x:c>
      <x:c r="C9" s="20" t="str">
        <x:v>Neo Genesis</x:v>
      </x:c>
      <x:c r="D9" s="20" t="n">
        <x:v>1</x:v>
      </x:c>
      <x:c r="E9" s="153" t="n">
        <x:v>15.6</x:v>
      </x:c>
      <x:c r="F9" s="153" t="n">
        <x:v>15.6</x:v>
      </x:c>
      <x:c r="G9" s="20" t="str">
        <x:v>664</x:v>
      </x:c>
      <x:c r="H9" s="20" t="str">
        <x:v>Imported</x:v>
      </x:c>
      <x:c r="I9" s="61" t="n">
        <x:v>18</x:v>
      </x:c>
      <x:c r="J9" s="61" t="n">
        <x:v>28</x:v>
      </x:c>
      <x:c r="K9" s="61" t="n">
        <x:v>23</x:v>
      </x:c>
      <x:c r="L9" s="20" t="str">
        <x:v>Recent NM sales and current secondary-market checks cluster around low/mid-$20s.</x:v>
      </x:c>
      <x:c r="M9" s="20" t="str">
        <x:v>https://www.tcgplayer.com/search/pokemon/product?q=Kingdra+%238+Neo+Genesis</x:v>
      </x:c>
      <x:c r="N9"/>
      <x:c r="O9"/>
    </x:row>
    <x:row r="10">
      <x:c r="A10" s="20" t="n">
        <x:v>3</x:v>
      </x:c>
      <x:c r="B10" s="20" t="str">
        <x:v>Light Togetic #15</x:v>
      </x:c>
      <x:c r="C10" s="20" t="str">
        <x:v>Neo Destiny</x:v>
      </x:c>
      <x:c r="D10" s="20" t="n">
        <x:v>1</x:v>
      </x:c>
      <x:c r="E10" s="153" t="n">
        <x:v>71</x:v>
      </x:c>
      <x:c r="F10" s="153" t="n">
        <x:v>71</x:v>
      </x:c>
      <x:c r="G10" s="20" t="str">
        <x:v>665</x:v>
      </x:c>
      <x:c r="H10" s="20" t="str">
        <x:v>Imported</x:v>
      </x:c>
      <x:c r="I10" s="61" t="n">
        <x:v>55</x:v>
      </x:c>
      <x:c r="J10" s="61" t="n">
        <x:v>85</x:v>
      </x:c>
      <x:c r="K10" s="61" t="n">
        <x:v>70</x:v>
      </x:c>
      <x:c r="L10" s="20" t="str">
        <x:v>Current market near $70 with recent raw sales roughly $60–100; range trimmed for clean/NM.</x:v>
      </x:c>
      <x:c r="M10" s="20" t="str">
        <x:v>https://www.tcgplayer.com/search/pokemon/product?q=Light+Togetic+%2315+Neo+Destiny</x:v>
      </x:c>
      <x:c r="N10"/>
      <x:c r="O10"/>
    </x:row>
    <x:row r="11">
      <x:c r="A11" s="20" t="n">
        <x:v>3</x:v>
      </x:c>
      <x:c r="B11" s="20" t="str">
        <x:v>Palkia #19</x:v>
      </x:c>
      <x:c r="C11" s="20" t="str">
        <x:v>Call of Legends</x:v>
      </x:c>
      <x:c r="D11" s="20" t="n">
        <x:v>1</x:v>
      </x:c>
      <x:c r="E11" s="153" t="n">
        <x:v>10</x:v>
      </x:c>
      <x:c r="F11" s="153" t="n">
        <x:v>10</x:v>
      </x:c>
      <x:c r="G11" s="20" t="str">
        <x:v>666</x:v>
      </x:c>
      <x:c r="H11" s="20" t="str">
        <x:v>Imported</x:v>
      </x:c>
      <x:c r="I11" s="61" t="n">
        <x:v>12</x:v>
      </x:c>
      <x:c r="J11" s="61" t="n">
        <x:v>22</x:v>
      </x:c>
      <x:c r="K11" s="61" t="n">
        <x:v>17</x:v>
      </x:c>
      <x:c r="L11" s="20" t="str">
        <x:v>Current TCGplayer/PokeScope market around $19 with recent sales in the low-to-high teens.</x:v>
      </x:c>
      <x:c r="M11" s="20" t="str">
        <x:v>https://www.tcgplayer.com/search/pokemon/product?q=Palkia+%2319+Call+of+Legends</x:v>
      </x:c>
      <x:c r="N11"/>
      <x:c r="O11"/>
    </x:row>
    <x:row r="12">
      <x:c r="A12" s="20" t="n">
        <x:v>3</x:v>
      </x:c>
      <x:c r="B12" s="20" t="str">
        <x:v>Jirachi #11</x:v>
      </x:c>
      <x:c r="C12" s="20" t="str">
        <x:v>Call of Legends</x:v>
      </x:c>
      <x:c r="D12" s="20" t="n">
        <x:v>1</x:v>
      </x:c>
      <x:c r="E12" s="153" t="n">
        <x:v>21.43</x:v>
      </x:c>
      <x:c r="F12" s="153" t="n">
        <x:v>21.43</x:v>
      </x:c>
      <x:c r="G12" s="20" t="str">
        <x:v>667</x:v>
      </x:c>
      <x:c r="H12" s="20" t="str">
        <x:v>Imported</x:v>
      </x:c>
      <x:c r="I12" s="61" t="n">
        <x:v>28</x:v>
      </x:c>
      <x:c r="J12" s="61" t="n">
        <x:v>40</x:v>
      </x:c>
      <x:c r="K12" s="61" t="n">
        <x:v>34</x:v>
      </x:c>
      <x:c r="L12" s="20" t="str">
        <x:v>Current TCGplayer/PokeScope market around mid-$30s; recent NM sales roughly $22–45.</x:v>
      </x:c>
      <x:c r="M12" s="20" t="str">
        <x:v>https://www.tcgplayer.com/search/pokemon/product?q=Jirachi+%2311+Call+of+Legends</x:v>
      </x:c>
      <x:c r="N12"/>
      <x:c r="O12"/>
    </x:row>
    <x:row r="13">
      <x:c r="A13" s="20" t="n">
        <x:v>3</x:v>
      </x:c>
      <x:c r="B13" s="20" t="str">
        <x:v>Noctowl BREAK #XY136</x:v>
      </x:c>
      <x:c r="C13" s="20" t="str">
        <x:v>Promo</x:v>
      </x:c>
      <x:c r="D13" s="20" t="n">
        <x:v>1</x:v>
      </x:c>
      <x:c r="E13" s="153" t="n">
        <x:v>9.24</x:v>
      </x:c>
      <x:c r="F13" s="153" t="n">
        <x:v>9.24</x:v>
      </x:c>
      <x:c r="G13" s="20" t="str">
        <x:v>668</x:v>
      </x:c>
      <x:c r="H13" s="20" t="str">
        <x:v>Imported</x:v>
      </x:c>
      <x:c r="I13" s="61" t="n">
        <x:v>10</x:v>
      </x:c>
      <x:c r="J13" s="61" t="n">
        <x:v>16</x:v>
      </x:c>
      <x:c r="K13" s="61" t="n">
        <x:v>13</x:v>
      </x:c>
      <x:c r="L13" s="20" t="str">
        <x:v>Current TCGplayer holo market around mid-teens.</x:v>
      </x:c>
      <x:c r="M13" s="20" t="str">
        <x:v>https://www.tcgplayer.com/search/pokemon/product?q=Noctowl+BREAK+%23XY136+Promo</x:v>
      </x:c>
      <x:c r="N13"/>
      <x:c r="O13"/>
    </x:row>
    <x:row r="14">
      <x:c r="A14" s="20" t="n">
        <x:v>3</x:v>
      </x:c>
      <x:c r="B14" s="20" t="str">
        <x:v>Garchomp EX #XY09</x:v>
      </x:c>
      <x:c r="C14" s="20" t="str">
        <x:v>Promo</x:v>
      </x:c>
      <x:c r="D14" s="20" t="n">
        <x:v>1</x:v>
      </x:c>
      <x:c r="E14" s="153" t="n">
        <x:v>4.5</x:v>
      </x:c>
      <x:c r="F14" s="153" t="n">
        <x:v>4.5</x:v>
      </x:c>
      <x:c r="G14" s="20" t="str">
        <x:v>669</x:v>
      </x:c>
      <x:c r="H14" s="20" t="str">
        <x:v>Imported</x:v>
      </x:c>
      <x:c r="I14" s="61" t="n">
        <x:v>8</x:v>
      </x:c>
      <x:c r="J14" s="61" t="n">
        <x:v>15</x:v>
      </x:c>
      <x:c r="K14" s="61" t="n">
        <x:v>11.5</x:v>
      </x:c>
      <x:c r="L14" s="20" t="str">
        <x:v>Current TCGplayer and secondary checks roughly $8–15.</x:v>
      </x:c>
      <x:c r="M14" s="20" t="str">
        <x:v>https://www.tcgplayer.com/search/pokemon/product?q=Garchomp+EX+%23XY09+Promo</x:v>
      </x:c>
      <x:c r="N14"/>
      <x:c r="O14"/>
    </x:row>
    <x:row r="15">
      <x:c r="A15" s="20" t="n">
        <x:v>4</x:v>
      </x:c>
      <x:c r="B15" s="20" t="str">
        <x:v>Chandelure EX #77</x:v>
      </x:c>
      <x:c r="C15" s="20" t="str">
        <x:v>Legendary Treasures</x:v>
      </x:c>
      <x:c r="D15" s="20" t="n">
        <x:v>1</x:v>
      </x:c>
      <x:c r="E15" s="153" t="n">
        <x:v>9.54</x:v>
      </x:c>
      <x:c r="F15" s="153" t="n">
        <x:v>9.54</x:v>
      </x:c>
      <x:c r="G15" s="20" t="str">
        <x:v>670</x:v>
      </x:c>
      <x:c r="H15" s="20" t="str">
        <x:v>Imported</x:v>
      </x:c>
      <x:c r="I15" s="61" t="n">
        <x:v>9</x:v>
      </x:c>
      <x:c r="J15" s="61" t="n">
        <x:v>12</x:v>
      </x:c>
      <x:c r="K15" s="61" t="n">
        <x:v>10.5</x:v>
      </x:c>
      <x:c r="L15" s="20" t="str">
        <x:v>Current PokeScope/TCGplayer market around $10–11.</x:v>
      </x:c>
      <x:c r="M15" s="20" t="str">
        <x:v>https://www.tcgplayer.com/search/pokemon/product?q=Chandelure+EX+%2377+Legendary+Treasures</x:v>
      </x:c>
      <x:c r="N15"/>
      <x:c r="O15"/>
    </x:row>
    <x:row r="16">
      <x:c r="A16" s="20" t="n">
        <x:v>4</x:v>
      </x:c>
      <x:c r="B16" s="20" t="str">
        <x:v>Kyurem EX #BW37</x:v>
      </x:c>
      <x:c r="C16" s="20" t="str">
        <x:v>Promo</x:v>
      </x:c>
      <x:c r="D16" s="20" t="n">
        <x:v>1</x:v>
      </x:c>
      <x:c r="E16" s="153" t="n">
        <x:v>5.56</x:v>
      </x:c>
      <x:c r="F16" s="153" t="n">
        <x:v>5.56</x:v>
      </x:c>
      <x:c r="G16" s="20" t="str">
        <x:v>671</x:v>
      </x:c>
      <x:c r="H16" s="20" t="str">
        <x:v>Imported</x:v>
      </x:c>
      <x:c r="I16" s="61" t="n">
        <x:v>4.5</x:v>
      </x:c>
      <x:c r="J16" s="61" t="n">
        <x:v>7</x:v>
      </x:c>
      <x:c r="K16" s="61" t="n">
        <x:v>5.75</x:v>
      </x:c>
      <x:c r="L16" s="20" t="str">
        <x:v>Current TCGplayer/PokeScope around $5–6.</x:v>
      </x:c>
      <x:c r="M16" s="20" t="str">
        <x:v>https://www.tcgplayer.com/search/pokemon/product?q=Kyurem+EX+%23BW37+Promo</x:v>
      </x:c>
      <x:c r="N16"/>
      <x:c r="O16"/>
    </x:row>
    <x:row r="17">
      <x:c r="A17" s="20" t="n">
        <x:v>4</x:v>
      </x:c>
      <x:c r="B17" s="20" t="str">
        <x:v>Dialga #DP49</x:v>
      </x:c>
      <x:c r="C17" s="20" t="str">
        <x:v>Promo</x:v>
      </x:c>
      <x:c r="D17" s="20" t="n">
        <x:v>1</x:v>
      </x:c>
      <x:c r="E17" s="153" t="n">
        <x:v>12</x:v>
      </x:c>
      <x:c r="F17" s="153" t="n">
        <x:v>12</x:v>
      </x:c>
      <x:c r="G17" s="20" t="str">
        <x:v>672</x:v>
      </x:c>
      <x:c r="H17" s="20" t="str">
        <x:v>Imported</x:v>
      </x:c>
      <x:c r="I17" s="61" t="n">
        <x:v>10</x:v>
      </x:c>
      <x:c r="J17" s="61" t="n">
        <x:v>18</x:v>
      </x:c>
      <x:c r="K17" s="61" t="n">
        <x:v>14</x:v>
      </x:c>
      <x:c r="L17" s="20" t="str">
        <x:v>Current TCGplayer market mid-teens; recent NM sale data can run higher.</x:v>
      </x:c>
      <x:c r="M17" s="20" t="str">
        <x:v>https://www.tcgplayer.com/search/pokemon/product?q=Dialga+%23DP49+Promo</x:v>
      </x:c>
      <x:c r="N17"/>
      <x:c r="O17"/>
    </x:row>
    <x:row r="18">
      <x:c r="A18" s="20" t="n">
        <x:v>4</x:v>
      </x:c>
      <x:c r="B18" s="20" t="str">
        <x:v>Thundurus EX #38</x:v>
      </x:c>
      <x:c r="C18" s="20" t="str">
        <x:v>Plasma Freeze</x:v>
      </x:c>
      <x:c r="D18" s="20" t="n">
        <x:v>1</x:v>
      </x:c>
      <x:c r="E18" s="153" t="n">
        <x:v>9.02</x:v>
      </x:c>
      <x:c r="F18" s="153" t="n">
        <x:v>9.02</x:v>
      </x:c>
      <x:c r="G18" s="20" t="str">
        <x:v>673</x:v>
      </x:c>
      <x:c r="H18" s="20" t="str">
        <x:v>Imported</x:v>
      </x:c>
      <x:c r="I18" s="61" t="n">
        <x:v>10</x:v>
      </x:c>
      <x:c r="J18" s="61" t="n">
        <x:v>16</x:v>
      </x:c>
      <x:c r="K18" s="61" t="n">
        <x:v>13</x:v>
      </x:c>
      <x:c r="L18" s="20" t="str">
        <x:v>Current TCGplayer/PokeScope around $14.</x:v>
      </x:c>
      <x:c r="M18" s="20" t="str">
        <x:v>https://www.tcgplayer.com/search/pokemon/product?q=Thundurus+EX+%2338+Plasma+Freeze</x:v>
      </x:c>
      <x:c r="N18"/>
      <x:c r="O18"/>
    </x:row>
    <x:row r="19">
      <x:c r="A19" s="20" t="n">
        <x:v>4</x:v>
      </x:c>
      <x:c r="B19" s="20" t="str">
        <x:v>Zapdos EX #48</x:v>
      </x:c>
      <x:c r="C19" s="20" t="str">
        <x:v>Plasma Storm</x:v>
      </x:c>
      <x:c r="D19" s="20" t="n">
        <x:v>1</x:v>
      </x:c>
      <x:c r="E19" s="153" t="n">
        <x:v>10.09</x:v>
      </x:c>
      <x:c r="F19" s="153" t="n">
        <x:v>10.09</x:v>
      </x:c>
      <x:c r="G19" s="20" t="str">
        <x:v>674</x:v>
      </x:c>
      <x:c r="H19" s="20" t="str">
        <x:v>Imported</x:v>
      </x:c>
      <x:c r="I19" s="61" t="n">
        <x:v>10</x:v>
      </x:c>
      <x:c r="J19" s="61" t="n">
        <x:v>14</x:v>
      </x:c>
      <x:c r="K19" s="61" t="n">
        <x:v>12</x:v>
      </x:c>
      <x:c r="L19" s="20" t="str">
        <x:v>Current TCGplayer/PokeScope around $11–12; recent NM sales roughly $10–14.</x:v>
      </x:c>
      <x:c r="M19" s="20" t="str">
        <x:v>https://www.tcgplayer.com/search/pokemon/product?q=Zapdos+EX+%2348+Plasma+Storm</x:v>
      </x:c>
      <x:c r="N19"/>
      <x:c r="O19"/>
    </x:row>
    <x:row r="20">
      <x:c r="A20" s="20" t="n">
        <x:v>4</x:v>
      </x:c>
      <x:c r="B20" s="20" t="str">
        <x:v>Terrakion EX #71</x:v>
      </x:c>
      <x:c r="C20" s="20" t="str">
        <x:v>Dragons Exalted</x:v>
      </x:c>
      <x:c r="D20" s="20" t="n">
        <x:v>1</x:v>
      </x:c>
      <x:c r="E20" s="153" t="n">
        <x:v>6</x:v>
      </x:c>
      <x:c r="F20" s="153" t="n">
        <x:v>6</x:v>
      </x:c>
      <x:c r="G20" s="20" t="str">
        <x:v>675</x:v>
      </x:c>
      <x:c r="H20" s="20" t="str">
        <x:v>Imported</x:v>
      </x:c>
      <x:c r="I20" s="61" t="n">
        <x:v>5.5</x:v>
      </x:c>
      <x:c r="J20" s="61" t="n">
        <x:v>8</x:v>
      </x:c>
      <x:c r="K20" s="61" t="n">
        <x:v>6.75</x:v>
      </x:c>
      <x:c r="L20" s="20" t="str">
        <x:v>Current TCGplayer market around $6.8–7.</x:v>
      </x:c>
      <x:c r="M20" s="20" t="str">
        <x:v>https://www.tcgplayer.com/search/pokemon/product?q=Terrakion+EX+%2371+Dragons+Exalted</x:v>
      </x:c>
      <x:c r="N20"/>
      <x:c r="O20"/>
    </x:row>
    <x:row r="21">
      <x:c r="A21" s="20" t="n">
        <x:v>4</x:v>
      </x:c>
      <x:c r="B21" s="20" t="str">
        <x:v>Beeheyem BREAK #XY135</x:v>
      </x:c>
      <x:c r="C21" s="20" t="str">
        <x:v>Promo</x:v>
      </x:c>
      <x:c r="D21" s="20" t="n">
        <x:v>1</x:v>
      </x:c>
      <x:c r="E21" s="153" t="n">
        <x:v>0.99</x:v>
      </x:c>
      <x:c r="F21" s="153" t="n">
        <x:v>0.99</x:v>
      </x:c>
      <x:c r="G21" s="20" t="str">
        <x:v>676</x:v>
      </x:c>
      <x:c r="H21" s="20" t="str">
        <x:v>Imported</x:v>
      </x:c>
      <x:c r="I21" s="61" t="n">
        <x:v>8</x:v>
      </x:c>
      <x:c r="J21" s="61" t="n">
        <x:v>13</x:v>
      </x:c>
      <x:c r="K21" s="61" t="n">
        <x:v>10.5</x:v>
      </x:c>
      <x:c r="L21" s="20" t="str">
        <x:v>Current TCGplayer/search and PokeScope signals around $9–12; PDF value was materially stale.</x:v>
      </x:c>
      <x:c r="M21" s="20" t="str">
        <x:v>https://www.tcgplayer.com/search/pokemon/product?q=Beeheyem+BREAK+%23XY135+Promo</x:v>
      </x:c>
      <x:c r="N21"/>
      <x:c r="O21"/>
    </x:row>
    <x:row r="22">
      <x:c r="A22" s="20" t="n">
        <x:v>5</x:v>
      </x:c>
      <x:c r="B22" s="20" t="str">
        <x:v>Black Kyurem EX #100</x:v>
      </x:c>
      <x:c r="C22" s="20" t="str">
        <x:v>Legendary Treasures</x:v>
      </x:c>
      <x:c r="D22" s="20" t="n">
        <x:v>1</x:v>
      </x:c>
      <x:c r="E22" s="153" t="n">
        <x:v>6.25</x:v>
      </x:c>
      <x:c r="F22" s="153" t="n">
        <x:v>6.25</x:v>
      </x:c>
      <x:c r="G22" s="20" t="str">
        <x:v>677</x:v>
      </x:c>
      <x:c r="H22" s="20" t="str">
        <x:v>Imported</x:v>
      </x:c>
      <x:c r="I22" s="61" t="n">
        <x:v>5.5</x:v>
      </x:c>
      <x:c r="J22" s="61" t="n">
        <x:v>8</x:v>
      </x:c>
      <x:c r="K22" s="61" t="n">
        <x:v>6.75</x:v>
      </x:c>
      <x:c r="L22" s="20" t="str">
        <x:v>Current TCGplayer/PokeScope around $6–7.</x:v>
      </x:c>
      <x:c r="M22" s="20" t="str">
        <x:v>https://www.tcgplayer.com/search/pokemon/product?q=Black+Kyurem+EX+%23100+Legendary+Treasures</x:v>
      </x:c>
      <x:c r="N22"/>
      <x:c r="O22"/>
    </x:row>
    <x:row r="23">
      <x:c r="A23" s="20" t="n">
        <x:v>5</x:v>
      </x:c>
      <x:c r="B23" s="20" t="str">
        <x:v>Reshiram EX #22</x:v>
      </x:c>
      <x:c r="C23" s="20" t="str">
        <x:v>Next Destinies</x:v>
      </x:c>
      <x:c r="D23" s="20" t="n">
        <x:v>1</x:v>
      </x:c>
      <x:c r="E23" s="153" t="n">
        <x:v>12.47</x:v>
      </x:c>
      <x:c r="F23" s="153" t="n">
        <x:v>12.47</x:v>
      </x:c>
      <x:c r="G23" s="20" t="str">
        <x:v>678</x:v>
      </x:c>
      <x:c r="H23" s="20" t="str">
        <x:v>Imported</x:v>
      </x:c>
      <x:c r="I23" s="61" t="n">
        <x:v>16</x:v>
      </x:c>
      <x:c r="J23" s="61" t="n">
        <x:v>22</x:v>
      </x:c>
      <x:c r="K23" s="61" t="n">
        <x:v>19</x:v>
      </x:c>
      <x:c r="L23" s="20" t="str">
        <x:v>Current TCGplayer/PokeScope roughly $18–20; recent NM sales around high teens/low $20s.</x:v>
      </x:c>
      <x:c r="M23" s="20" t="str">
        <x:v>https://www.tcgplayer.com/search/pokemon/product?q=Reshiram+EX+%2322+Next+Destinies</x:v>
      </x:c>
      <x:c r="N23"/>
      <x:c r="O23"/>
    </x:row>
    <x:row r="24">
      <x:c r="A24" s="20" t="n">
        <x:v>5</x:v>
      </x:c>
      <x:c r="B24" s="20" t="str">
        <x:v>Keldeo EX #49</x:v>
      </x:c>
      <x:c r="C24" s="20" t="str">
        <x:v>Boundaries Crossed</x:v>
      </x:c>
      <x:c r="D24" s="20" t="n">
        <x:v>1</x:v>
      </x:c>
      <x:c r="E24" s="153" t="n">
        <x:v>1.92</x:v>
      </x:c>
      <x:c r="F24" s="153" t="n">
        <x:v>1.92</x:v>
      </x:c>
      <x:c r="G24" s="20" t="str">
        <x:v>679</x:v>
      </x:c>
      <x:c r="H24" s="20" t="str">
        <x:v>Imported</x:v>
      </x:c>
      <x:c r="I24" s="61" t="n">
        <x:v>1.25</x:v>
      </x:c>
      <x:c r="J24" s="61" t="n">
        <x:v>2.5</x:v>
      </x:c>
      <x:c r="K24" s="61" t="n">
        <x:v>1.875</x:v>
      </x:c>
      <x:c r="L24" s="20" t="str">
        <x:v>Current TCGplayer market around $1.7–2.</x:v>
      </x:c>
      <x:c r="M24" s="20" t="str">
        <x:v>https://www.tcgplayer.com/search/pokemon/product?q=Keldeo+EX+%2349+Boundaries+Crossed</x:v>
      </x:c>
      <x:c r="N24"/>
      <x:c r="O24"/>
    </x:row>
    <x:row r="25">
      <x:c r="A25" s="20" t="n">
        <x:v>5</x:v>
      </x:c>
      <x:c r="B25" s="20" t="str">
        <x:v>Eevee #51</x:v>
      </x:c>
      <x:c r="C25" s="20" t="str">
        <x:v>Jungle</x:v>
      </x:c>
      <x:c r="D25" s="20" t="n">
        <x:v>1</x:v>
      </x:c>
      <x:c r="E25" s="153" t="n">
        <x:v>2.05</x:v>
      </x:c>
      <x:c r="F25" s="153" t="n">
        <x:v>2.05</x:v>
      </x:c>
      <x:c r="G25" s="20" t="str">
        <x:v>680</x:v>
      </x:c>
      <x:c r="H25" s="20" t="str">
        <x:v>Imported</x:v>
      </x:c>
      <x:c r="I25" s="61" t="n">
        <x:v>1.5</x:v>
      </x:c>
      <x:c r="J25" s="61" t="n">
        <x:v>3</x:v>
      </x:c>
      <x:c r="K25" s="61" t="n">
        <x:v>2.25</x:v>
      </x:c>
      <x:c r="L25" s="20" t="str">
        <x:v>Current TCGplayer/PokeScope/PokeData around $2–3 for unlimited.</x:v>
      </x:c>
      <x:c r="M25" s="20" t="str">
        <x:v>https://www.tcgplayer.com/search/pokemon/product?q=Eevee+%2351+Jungle</x:v>
      </x:c>
      <x:c r="N25"/>
      <x:c r="O25"/>
    </x:row>
    <x:row r="26">
      <x:c r="A26" s="20" t="n">
        <x:v>5</x:v>
      </x:c>
      <x:c r="B26" s="20" t="str">
        <x:v>M Charizard EX #13</x:v>
      </x:c>
      <x:c r="C26" s="20" t="str">
        <x:v>Evolutions</x:v>
      </x:c>
      <x:c r="D26" s="20" t="n">
        <x:v>1</x:v>
      </x:c>
      <x:c r="E26" s="153" t="n">
        <x:v>39.73</x:v>
      </x:c>
      <x:c r="F26" s="153" t="n">
        <x:v>39.73</x:v>
      </x:c>
      <x:c r="G26" s="20" t="str">
        <x:v>681</x:v>
      </x:c>
      <x:c r="H26" s="20" t="str">
        <x:v>Imported</x:v>
      </x:c>
      <x:c r="I26" s="61" t="n">
        <x:v>40</x:v>
      </x:c>
      <x:c r="J26" s="61" t="n">
        <x:v>55</x:v>
      </x:c>
      <x:c r="K26" s="61" t="n">
        <x:v>47.5</x:v>
      </x:c>
      <x:c r="L26" s="20" t="str">
        <x:v>Current TCGplayer/PokemonWizard low-$40s to low-$50s; recent NM sales can run higher.</x:v>
      </x:c>
      <x:c r="M26" s="20" t="str">
        <x:v>https://www.tcgplayer.com/search/pokemon/product?q=M+Charizard+EX+%2313+Evolutions</x:v>
      </x:c>
      <x:c r="N26"/>
      <x:c r="O26"/>
    </x:row>
    <x:row r="27">
      <x:c r="A27" s="20" t="n">
        <x:v>5</x:v>
      </x:c>
      <x:c r="B27" s="20" t="str">
        <x:v>Chesnaught EX #XY18</x:v>
      </x:c>
      <x:c r="C27" s="20" t="str">
        <x:v>Promo</x:v>
      </x:c>
      <x:c r="D27" s="20" t="n">
        <x:v>1</x:v>
      </x:c>
      <x:c r="E27" s="153" t="n">
        <x:v>4.4</x:v>
      </x:c>
      <x:c r="F27" s="153" t="n">
        <x:v>4.4</x:v>
      </x:c>
      <x:c r="G27" s="20" t="str">
        <x:v>682</x:v>
      </x:c>
      <x:c r="H27" s="20" t="str">
        <x:v>Imported</x:v>
      </x:c>
      <x:c r="I27" s="61" t="n">
        <x:v>4</x:v>
      </x:c>
      <x:c r="J27" s="61" t="n">
        <x:v>6</x:v>
      </x:c>
      <x:c r="K27" s="61" t="n">
        <x:v>5</x:v>
      </x:c>
      <x:c r="L27" s="20" t="str">
        <x:v>Current TCGplayer/PokeScope around $5–5.5.</x:v>
      </x:c>
      <x:c r="M27" s="20" t="str">
        <x:v>https://www.tcgplayer.com/search/pokemon/product?q=Chesnaught+EX+%23XY18+Promo</x:v>
      </x:c>
      <x:c r="N27"/>
      <x:c r="O27"/>
    </x:row>
    <x:row r="28">
      <x:c r="A28" s="20" t="n">
        <x:v>5</x:v>
      </x:c>
      <x:c r="B28" s="20" t="str">
        <x:v>Victini EX #24</x:v>
      </x:c>
      <x:c r="C28" s="20" t="str">
        <x:v>Legendary Treasures</x:v>
      </x:c>
      <x:c r="D28" s="20" t="n">
        <x:v>1</x:v>
      </x:c>
      <x:c r="E28" s="153" t="n">
        <x:v>6</x:v>
      </x:c>
      <x:c r="F28" s="153" t="n">
        <x:v>6</x:v>
      </x:c>
      <x:c r="G28" s="20" t="str">
        <x:v>683</x:v>
      </x:c>
      <x:c r="H28" s="20" t="str">
        <x:v>Imported</x:v>
      </x:c>
      <x:c r="I28" s="61" t="n">
        <x:v>6.5</x:v>
      </x:c>
      <x:c r="J28" s="61" t="n">
        <x:v>9.5</x:v>
      </x:c>
      <x:c r="K28" s="61" t="n">
        <x:v>8</x:v>
      </x:c>
      <x:c r="L28" s="20" t="str">
        <x:v>Current TCGplayer/PokeScope around $8–9.</x:v>
      </x:c>
      <x:c r="M28" s="20" t="str">
        <x:v>https://www.tcgplayer.com/search/pokemon/product?q=Victini+EX+%2324+Legendary+Treasures</x:v>
      </x:c>
      <x:c r="N28"/>
      <x:c r="O28"/>
    </x:row>
    <x:row r="29">
      <x:c r="A29" s="20" t="n">
        <x:v>6</x:v>
      </x:c>
      <x:c r="B29" s="20" t="str">
        <x:v>Shaymin EX #5</x:v>
      </x:c>
      <x:c r="C29" s="20" t="str">
        <x:v>Next Destinies</x:v>
      </x:c>
      <x:c r="D29" s="20" t="n">
        <x:v>1</x:v>
      </x:c>
      <x:c r="E29" s="153" t="n">
        <x:v>8.05</x:v>
      </x:c>
      <x:c r="F29" s="153" t="n">
        <x:v>8.05</x:v>
      </x:c>
      <x:c r="G29" s="20" t="str">
        <x:v>684</x:v>
      </x:c>
      <x:c r="H29" s="20" t="str">
        <x:v>Imported</x:v>
      </x:c>
      <x:c r="I29" s="61" t="n">
        <x:v>8</x:v>
      </x:c>
      <x:c r="J29" s="61" t="n">
        <x:v>12</x:v>
      </x:c>
      <x:c r="K29" s="61" t="n">
        <x:v>10</x:v>
      </x:c>
      <x:c r="L29" s="20" t="str">
        <x:v>Current TCGplayer/PokeScope around $10–11.</x:v>
      </x:c>
      <x:c r="M29" s="20" t="str">
        <x:v>https://www.tcgplayer.com/search/pokemon/product?q=Shaymin+EX+%235+Next+Destinies</x:v>
      </x:c>
      <x:c r="N29"/>
      <x:c r="O29"/>
    </x:row>
    <x:row r="30">
      <x:c r="A30" s="20" t="n">
        <x:v>6</x:v>
      </x:c>
      <x:c r="B30" s="20" t="str">
        <x:v>Zekrom EX #BW38</x:v>
      </x:c>
      <x:c r="C30" s="20" t="str">
        <x:v>Promo</x:v>
      </x:c>
      <x:c r="D30" s="20" t="n">
        <x:v>1</x:v>
      </x:c>
      <x:c r="E30" s="153" t="n">
        <x:v>5.95</x:v>
      </x:c>
      <x:c r="F30" s="153" t="n">
        <x:v>5.95</x:v>
      </x:c>
      <x:c r="G30" s="20" t="str">
        <x:v>685</x:v>
      </x:c>
      <x:c r="H30" s="20" t="str">
        <x:v>Imported</x:v>
      </x:c>
      <x:c r="I30" s="61" t="n">
        <x:v>7</x:v>
      </x:c>
      <x:c r="J30" s="61" t="n">
        <x:v>10.5</x:v>
      </x:c>
      <x:c r="K30" s="61" t="n">
        <x:v>8.75</x:v>
      </x:c>
      <x:c r="L30" s="20" t="str">
        <x:v>Current TCGplayer market around $8.5–9.</x:v>
      </x:c>
      <x:c r="M30" s="20" t="str">
        <x:v>https://www.tcgplayer.com/search/pokemon/product?q=Zekrom+EX+%23BW38+Promo</x:v>
      </x:c>
      <x:c r="N30"/>
      <x:c r="O30"/>
    </x:row>
    <x:row r="31">
      <x:c r="A31" s="20" t="n">
        <x:v>6</x:v>
      </x:c>
      <x:c r="B31" s="20" t="str">
        <x:v>Reshiram EX #29</x:v>
      </x:c>
      <x:c r="C31" s="20" t="str">
        <x:v>Legendary Treasures</x:v>
      </x:c>
      <x:c r="D31" s="20" t="n">
        <x:v>1</x:v>
      </x:c>
      <x:c r="E31" s="153" t="n">
        <x:v>11.55</x:v>
      </x:c>
      <x:c r="F31" s="153" t="n">
        <x:v>11.55</x:v>
      </x:c>
      <x:c r="G31" s="20" t="str">
        <x:v>686</x:v>
      </x:c>
      <x:c r="H31" s="20" t="str">
        <x:v>Imported</x:v>
      </x:c>
      <x:c r="I31" s="61" t="n">
        <x:v>9</x:v>
      </x:c>
      <x:c r="J31" s="61" t="n">
        <x:v>14</x:v>
      </x:c>
      <x:c r="K31" s="61" t="n">
        <x:v>11.5</x:v>
      </x:c>
      <x:c r="L31" s="20" t="str">
        <x:v>Current Legendary Treasures market around $11–12.</x:v>
      </x:c>
      <x:c r="M31" s="20" t="str">
        <x:v>https://www.tcgplayer.com/search/pokemon/product?q=Reshiram+EX+%2329+Legendary+Treasures</x:v>
      </x:c>
      <x:c r="N31"/>
      <x:c r="O31"/>
    </x:row>
    <x:row r="32">
      <x:c r="A32" s="20" t="n">
        <x:v>6</x:v>
      </x:c>
      <x:c r="B32" s="20" t="str">
        <x:v>Empoleon BREAK #XY134</x:v>
      </x:c>
      <x:c r="C32" s="20" t="str">
        <x:v>Promo</x:v>
      </x:c>
      <x:c r="D32" s="20" t="n">
        <x:v>1</x:v>
      </x:c>
      <x:c r="E32" s="153" t="n">
        <x:v>12.96</x:v>
      </x:c>
      <x:c r="F32" s="153" t="n">
        <x:v>12.96</x:v>
      </x:c>
      <x:c r="G32" s="20" t="str">
        <x:v>687</x:v>
      </x:c>
      <x:c r="H32" s="20" t="str">
        <x:v>Imported</x:v>
      </x:c>
      <x:c r="I32" s="61" t="n">
        <x:v>15</x:v>
      </x:c>
      <x:c r="J32" s="61" t="n">
        <x:v>22</x:v>
      </x:c>
      <x:c r="K32" s="61" t="n">
        <x:v>18.5</x:v>
      </x:c>
      <x:c r="L32" s="20" t="str">
        <x:v>Current standard-size TCGplayer promo market around $19; jumbo excluded.</x:v>
      </x:c>
      <x:c r="M32" s="20" t="str">
        <x:v>https://www.tcgplayer.com/search/pokemon/product?q=Empoleon+BREAK+%23XY134+Promo</x:v>
      </x:c>
      <x:c r="N32"/>
      <x:c r="O32"/>
    </x:row>
    <x:row r="33">
      <x:c r="A33" s="20" t="n">
        <x:v>6</x:v>
      </x:c>
      <x:c r="B33" s="20" t="str">
        <x:v>Marowak BREAK #79</x:v>
      </x:c>
      <x:c r="C33" s="20" t="str">
        <x:v>BREAKthrough</x:v>
      </x:c>
      <x:c r="D33" s="20" t="n">
        <x:v>1</x:v>
      </x:c>
      <x:c r="E33" s="153" t="n">
        <x:v>4.14</x:v>
      </x:c>
      <x:c r="F33" s="153" t="n">
        <x:v>4.14</x:v>
      </x:c>
      <x:c r="G33" s="20" t="str">
        <x:v>688</x:v>
      </x:c>
      <x:c r="H33" s="20" t="str">
        <x:v>Imported</x:v>
      </x:c>
      <x:c r="I33" s="61" t="n">
        <x:v>4.5</x:v>
      </x:c>
      <x:c r="J33" s="61" t="n">
        <x:v>7</x:v>
      </x:c>
      <x:c r="K33" s="61" t="n">
        <x:v>5.75</x:v>
      </x:c>
      <x:c r="L33" s="20" t="str">
        <x:v>Current TCGplayer/PokeScope roughly $5.5–6.5.</x:v>
      </x:c>
      <x:c r="M33" s="20" t="str">
        <x:v>https://www.tcgplayer.com/search/pokemon/product?q=Marowak+BREAK+%2379+BREAKthrough</x:v>
      </x:c>
      <x:c r="N33"/>
      <x:c r="O33"/>
    </x:row>
    <x:row r="34">
      <x:c r="A34" s="20" t="n">
        <x:v>6</x:v>
      </x:c>
      <x:c r="B34" s="20" t="str">
        <x:v>Magnezone EX #35</x:v>
      </x:c>
      <x:c r="C34" s="20" t="str">
        <x:v>Flashfire</x:v>
      </x:c>
      <x:c r="D34" s="20" t="n">
        <x:v>1</x:v>
      </x:c>
      <x:c r="E34" s="153" t="n">
        <x:v>2.72</x:v>
      </x:c>
      <x:c r="F34" s="153" t="n">
        <x:v>2.72</x:v>
      </x:c>
      <x:c r="G34" s="20" t="str">
        <x:v>689</x:v>
      </x:c>
      <x:c r="H34" s="20" t="str">
        <x:v>Imported</x:v>
      </x:c>
      <x:c r="I34" s="61" t="n">
        <x:v>2</x:v>
      </x:c>
      <x:c r="J34" s="61" t="n">
        <x:v>3.5</x:v>
      </x:c>
      <x:c r="K34" s="61" t="n">
        <x:v>2.75</x:v>
      </x:c>
      <x:c r="L34" s="20" t="str">
        <x:v>Current TCGplayer/PokeScope around $2.7–2.8.</x:v>
      </x:c>
      <x:c r="M34" s="20" t="str">
        <x:v>https://www.tcgplayer.com/search/pokemon/product?q=Magnezone+EX+%2335+Flashfire</x:v>
      </x:c>
      <x:c r="N34"/>
      <x:c r="O34"/>
    </x:row>
    <x:row r="35">
      <x:c r="A35" s="20" t="n">
        <x:v>6</x:v>
      </x:c>
      <x:c r="B35" s="20" t="str">
        <x:v>Deoxys EX #BW82</x:v>
      </x:c>
      <x:c r="C35" s="20" t="str">
        <x:v>Promo</x:v>
      </x:c>
      <x:c r="D35" s="20" t="n">
        <x:v>1</x:v>
      </x:c>
      <x:c r="E35" s="153" t="n">
        <x:v>14.67</x:v>
      </x:c>
      <x:c r="F35" s="153" t="n">
        <x:v>14.67</x:v>
      </x:c>
      <x:c r="G35" s="20" t="str">
        <x:v>690</x:v>
      </x:c>
      <x:c r="H35" s="20" t="str">
        <x:v>Imported</x:v>
      </x:c>
      <x:c r="I35" s="61" t="n">
        <x:v>15</x:v>
      </x:c>
      <x:c r="J35" s="61" t="n">
        <x:v>25</x:v>
      </x:c>
      <x:c r="K35" s="61" t="n">
        <x:v>20</x:v>
      </x:c>
      <x:c r="L35" s="20" t="str">
        <x:v>Current TCGplayer market around low-$20s; recent raw comps span mid-teens to low-$20s.</x:v>
      </x:c>
      <x:c r="M35" s="20" t="str">
        <x:v>https://www.tcgplayer.com/search/pokemon/product?q=Deoxys+EX+%23BW82+Promo</x:v>
      </x:c>
      <x:c r="N35"/>
      <x:c r="O35"/>
    </x:row>
    <x:row r="36">
      <x:c r="A36" s="20" t="n">
        <x:v>7</x:v>
      </x:c>
      <x:c r="B36" s="20" t="str">
        <x:v>M Kangaskhan EX #79</x:v>
      </x:c>
      <x:c r="C36" s="20" t="str">
        <x:v>Flashfire</x:v>
      </x:c>
      <x:c r="D36" s="20" t="n">
        <x:v>1</x:v>
      </x:c>
      <x:c r="E36" s="153" t="n">
        <x:v>15.06</x:v>
      </x:c>
      <x:c r="F36" s="153" t="n">
        <x:v>15.06</x:v>
      </x:c>
      <x:c r="G36" s="20" t="str">
        <x:v>691</x:v>
      </x:c>
      <x:c r="H36" s="20" t="str">
        <x:v>Imported</x:v>
      </x:c>
      <x:c r="I36" s="61" t="n">
        <x:v>16</x:v>
      </x:c>
      <x:c r="J36" s="61" t="n">
        <x:v>22</x:v>
      </x:c>
      <x:c r="K36" s="61" t="n">
        <x:v>19</x:v>
      </x:c>
      <x:c r="L36" s="20" t="str">
        <x:v>Current TCGplayer/Pallet around $19–20.</x:v>
      </x:c>
      <x:c r="M36" s="20" t="str">
        <x:v>https://www.tcgplayer.com/search/pokemon/product?q=M+Kangaskhan+EX+%2379+Flashfire</x:v>
      </x:c>
      <x:c r="N36"/>
      <x:c r="O36"/>
    </x:row>
    <x:row r="37">
      <x:c r="A37" s="20" t="n">
        <x:v>7</x:v>
      </x:c>
      <x:c r="B37" s="20" t="str">
        <x:v>Meloetta #77</x:v>
      </x:c>
      <x:c r="C37" s="20" t="str">
        <x:v>Boundaries Crossed</x:v>
      </x:c>
      <x:c r="D37" s="20" t="n">
        <x:v>1</x:v>
      </x:c>
      <x:c r="E37" s="153" t="n">
        <x:v>2.99</x:v>
      </x:c>
      <x:c r="F37" s="153" t="n">
        <x:v>2.99</x:v>
      </x:c>
      <x:c r="G37" s="20" t="str">
        <x:v>692</x:v>
      </x:c>
      <x:c r="H37" s="20" t="str">
        <x:v>Imported</x:v>
      </x:c>
      <x:c r="I37" s="61" t="n">
        <x:v>8</x:v>
      </x:c>
      <x:c r="J37" s="61" t="n">
        <x:v>13</x:v>
      </x:c>
      <x:c r="K37" s="61" t="n">
        <x:v>10.5</x:v>
      </x:c>
      <x:c r="L37" s="20" t="str">
        <x:v>Treated as the holo set printing shown/listed; TCGplayer holo market around $10. Normal non-holo/deck variant would be much lower.</x:v>
      </x:c>
      <x:c r="M37" s="20" t="str">
        <x:v>https://www.tcgplayer.com/search/pokemon/product?q=Meloetta+%2377+Boundaries+Crossed</x:v>
      </x:c>
      <x:c r="N37"/>
      <x:c r="O37"/>
    </x:row>
    <x:row r="38">
      <x:c r="A38" s="20" t="n">
        <x:v>7</x:v>
      </x:c>
      <x:c r="B38" s="20" t="str">
        <x:v>Phione [Reverse Holo] #36</x:v>
      </x:c>
      <x:c r="C38" s="20" t="str">
        <x:v>Legendary Treasures</x:v>
      </x:c>
      <x:c r="D38" s="20" t="n">
        <x:v>1</x:v>
      </x:c>
      <x:c r="E38" s="153" t="n">
        <x:v>9.24</x:v>
      </x:c>
      <x:c r="F38" s="153" t="n">
        <x:v>9.24</x:v>
      </x:c>
      <x:c r="G38" s="20" t="str">
        <x:v>693</x:v>
      </x:c>
      <x:c r="H38" s="20" t="str">
        <x:v>Imported</x:v>
      </x:c>
      <x:c r="I38" s="61" t="n">
        <x:v>9</x:v>
      </x:c>
      <x:c r="J38" s="61" t="n">
        <x:v>13</x:v>
      </x:c>
      <x:c r="K38" s="61" t="n">
        <x:v>11</x:v>
      </x:c>
      <x:c r="L38" s="20" t="str">
        <x:v>Current TCGplayer reverse-holo guide around $11.</x:v>
      </x:c>
      <x:c r="M38" s="20" t="str">
        <x:v>https://www.tcgplayer.com/search/pokemon/product?q=Phione+%5BReverse+Holo%5D+%2336+Legendary+Treasures</x:v>
      </x:c>
      <x:c r="N38"/>
      <x:c r="O38"/>
    </x:row>
    <x:row r="39">
      <x:c r="A39" s="20" t="n">
        <x:v>7</x:v>
      </x:c>
      <x:c r="B39" s="20" t="str">
        <x:v>Victini #23</x:v>
      </x:c>
      <x:c r="C39" s="20" t="str">
        <x:v>Legendary Treasures</x:v>
      </x:c>
      <x:c r="D39" s="20" t="n">
        <x:v>1</x:v>
      </x:c>
      <x:c r="E39" s="153" t="n">
        <x:v>4</x:v>
      </x:c>
      <x:c r="F39" s="153" t="n">
        <x:v>4</x:v>
      </x:c>
      <x:c r="G39" s="20" t="str">
        <x:v>694</x:v>
      </x:c>
      <x:c r="H39" s="20" t="str">
        <x:v>Imported</x:v>
      </x:c>
      <x:c r="I39" s="61" t="n">
        <x:v>3</x:v>
      </x:c>
      <x:c r="J39" s="61" t="n">
        <x:v>6</x:v>
      </x:c>
      <x:c r="K39" s="61" t="n">
        <x:v>4.5</x:v>
      </x:c>
      <x:c r="L39" s="20" t="str">
        <x:v>Legendary Treasures holo market roughly low-single digits.</x:v>
      </x:c>
      <x:c r="M39" s="20" t="str">
        <x:v>https://www.tcgplayer.com/search/pokemon/product?q=Victini+%2323+Legendary+Treasures</x:v>
      </x:c>
      <x:c r="N39"/>
      <x:c r="O39"/>
    </x:row>
    <x:row r="40">
      <x:c r="A40" s="20" t="n">
        <x:v>7</x:v>
      </x:c>
      <x:c r="B40" s="20" t="str">
        <x:v>Cobalion #84</x:v>
      </x:c>
      <x:c r="C40" s="20" t="str">
        <x:v>Noble Victories</x:v>
      </x:c>
      <x:c r="D40" s="20" t="n">
        <x:v>1</x:v>
      </x:c>
      <x:c r="E40" s="153" t="n">
        <x:v>1.7</x:v>
      </x:c>
      <x:c r="F40" s="153" t="n">
        <x:v>1.7</x:v>
      </x:c>
      <x:c r="G40" s="20" t="str">
        <x:v>695</x:v>
      </x:c>
      <x:c r="H40" s="20" t="str">
        <x:v>Imported</x:v>
      </x:c>
      <x:c r="I40" s="61" t="n">
        <x:v>1</x:v>
      </x:c>
      <x:c r="J40" s="61" t="n">
        <x:v>2</x:v>
      </x:c>
      <x:c r="K40" s="61" t="n">
        <x:v>1.5</x:v>
      </x:c>
      <x:c r="L40" s="20" t="str">
        <x:v>Current TCGplayer market around $1.5.</x:v>
      </x:c>
      <x:c r="M40" s="20" t="str">
        <x:v>https://www.tcgplayer.com/search/pokemon/product?q=Cobalion+%2384+Noble+Victories</x:v>
      </x:c>
      <x:c r="N40"/>
      <x:c r="O40"/>
    </x:row>
    <x:row r="41">
      <x:c r="A41" s="20" t="n">
        <x:v>7</x:v>
      </x:c>
      <x:c r="B41" s="20" t="str">
        <x:v>Cobalion #77</x:v>
      </x:c>
      <x:c r="C41" s="20" t="str">
        <x:v>Emerging Powers</x:v>
      </x:c>
      <x:c r="D41" s="20" t="n">
        <x:v>1</x:v>
      </x:c>
      <x:c r="E41" s="153" t="n">
        <x:v>1.88</x:v>
      </x:c>
      <x:c r="F41" s="153" t="n">
        <x:v>1.88</x:v>
      </x:c>
      <x:c r="G41" s="20" t="str">
        <x:v>696</x:v>
      </x:c>
      <x:c r="H41" s="20" t="str">
        <x:v>Imported</x:v>
      </x:c>
      <x:c r="I41" s="61" t="n">
        <x:v>1</x:v>
      </x:c>
      <x:c r="J41" s="61" t="n">
        <x:v>2</x:v>
      </x:c>
      <x:c r="K41" s="61" t="n">
        <x:v>1.5</x:v>
      </x:c>
      <x:c r="L41" s="20" t="str">
        <x:v>Current TCGplayer market around $1.5.</x:v>
      </x:c>
      <x:c r="M41" s="20" t="str">
        <x:v>https://www.tcgplayer.com/search/pokemon/product?q=Cobalion+%2377+Emerging+Powers</x:v>
      </x:c>
      <x:c r="N41"/>
      <x:c r="O41"/>
    </x:row>
    <x:row r="42">
      <x:c r="A42" s="20" t="n">
        <x:v>7</x:v>
      </x:c>
      <x:c r="B42" s="20" t="str">
        <x:v>Arceus #AR3</x:v>
      </x:c>
      <x:c r="C42" s="20" t="str">
        <x:v>Arceus</x:v>
      </x:c>
      <x:c r="D42" s="20" t="n">
        <x:v>1</x:v>
      </x:c>
      <x:c r="E42" s="153" t="n">
        <x:v>18.38</x:v>
      </x:c>
      <x:c r="F42" s="153" t="n">
        <x:v>18.38</x:v>
      </x:c>
      <x:c r="G42" s="20" t="str">
        <x:v>697</x:v>
      </x:c>
      <x:c r="H42" s="20" t="str">
        <x:v>Imported</x:v>
      </x:c>
      <x:c r="I42" s="61" t="n">
        <x:v>22</x:v>
      </x:c>
      <x:c r="J42" s="61" t="n">
        <x:v>36</x:v>
      </x:c>
      <x:c r="K42" s="61" t="n">
        <x:v>29</x:v>
      </x:c>
      <x:c r="L42" s="20" t="str">
        <x:v>TCGplayer market about $35–36; TCGIndex lower around $20; range reflects both.</x:v>
      </x:c>
      <x:c r="M42" s="20" t="str">
        <x:v>https://www.tcgplayer.com/search/pokemon/product?q=Arceus+%23AR3+Arceus</x:v>
      </x:c>
      <x:c r="N42"/>
      <x:c r="O42"/>
    </x:row>
    <x:row r="43">
      <x:c r="A43" s="20" t="n">
        <x:v>8</x:v>
      </x:c>
      <x:c r="B43" s="20" t="str">
        <x:v>Ditto [Reverse Holo] #108</x:v>
      </x:c>
      <x:c r="C43" s="20" t="str">
        <x:v>Boundaries Crossed</x:v>
      </x:c>
      <x:c r="D43" s="20" t="n">
        <x:v>1</x:v>
      </x:c>
      <x:c r="E43" s="153" t="n">
        <x:v>70</x:v>
      </x:c>
      <x:c r="F43" s="153" t="n">
        <x:v>70</x:v>
      </x:c>
      <x:c r="G43" s="20" t="str">
        <x:v>698</x:v>
      </x:c>
      <x:c r="H43" s="20" t="str">
        <x:v>Imported</x:v>
      </x:c>
      <x:c r="I43" s="61" t="n">
        <x:v>65</x:v>
      </x:c>
      <x:c r="J43" s="61" t="n">
        <x:v>90</x:v>
      </x:c>
      <x:c r="K43" s="61" t="n">
        <x:v>77.5</x:v>
      </x:c>
      <x:c r="L43" s="20" t="str">
        <x:v>TCGplayer reverse-holo market about $81; recent raw comps around mid-$60s+.</x:v>
      </x:c>
      <x:c r="M43" s="20" t="str">
        <x:v>https://www.tcgplayer.com/search/pokemon/product?q=Ditto+%5BReverse+Holo%5D+%23108+Boundaries+Crossed</x:v>
      </x:c>
      <x:c r="N43"/>
      <x:c r="O43"/>
    </x:row>
    <x:row r="44">
      <x:c r="A44" s="20" t="n">
        <x:v>8</x:v>
      </x:c>
      <x:c r="B44" s="20" t="str">
        <x:v>Ditto #108</x:v>
      </x:c>
      <x:c r="C44" s="20" t="str">
        <x:v>Boundaries Crossed</x:v>
      </x:c>
      <x:c r="D44" s="20" t="n">
        <x:v>1</x:v>
      </x:c>
      <x:c r="E44" s="153" t="n">
        <x:v>34.31</x:v>
      </x:c>
      <x:c r="F44" s="153" t="n">
        <x:v>34.31</x:v>
      </x:c>
      <x:c r="G44" s="20" t="str">
        <x:v>699</x:v>
      </x:c>
      <x:c r="H44" s="20" t="str">
        <x:v>Imported</x:v>
      </x:c>
      <x:c r="I44" s="61" t="n">
        <x:v>35</x:v>
      </x:c>
      <x:c r="J44" s="61" t="n">
        <x:v>50</x:v>
      </x:c>
      <x:c r="K44" s="61" t="n">
        <x:v>42.5</x:v>
      </x:c>
      <x:c r="L44" s="20" t="str">
        <x:v>Boundaries Crossed regular set printing is holo; TCGplayer holo market around $40–42.</x:v>
      </x:c>
      <x:c r="M44" s="20" t="str">
        <x:v>https://www.tcgplayer.com/search/pokemon/product?q=Ditto+%23108+Boundaries+Crossed</x:v>
      </x:c>
      <x:c r="N44"/>
      <x:c r="O44"/>
    </x:row>
    <x:row r="45">
      <x:c r="A45" s="20" t="n">
        <x:v>8</x:v>
      </x:c>
      <x:c r="B45" s="20" t="str">
        <x:v>Light Dragonair #22</x:v>
      </x:c>
      <x:c r="C45" s="20" t="str">
        <x:v>Neo Destiny</x:v>
      </x:c>
      <x:c r="D45" s="20" t="n">
        <x:v>1</x:v>
      </x:c>
      <x:c r="E45" s="153" t="n">
        <x:v>30</x:v>
      </x:c>
      <x:c r="F45" s="153" t="n">
        <x:v>30</x:v>
      </x:c>
      <x:c r="G45" s="20" t="str">
        <x:v>700</x:v>
      </x:c>
      <x:c r="H45" s="20" t="str">
        <x:v>Imported</x:v>
      </x:c>
      <x:c r="I45" s="61" t="n">
        <x:v>30</x:v>
      </x:c>
      <x:c r="J45" s="61" t="n">
        <x:v>60</x:v>
      </x:c>
      <x:c r="K45" s="61" t="n">
        <x:v>45</x:v>
      </x:c>
      <x:c r="L45" s="20" t="str">
        <x:v>Market is split: TCGplayer headline around $84, secondary analytics around high-$20s; conservative cross-market clean range.</x:v>
      </x:c>
      <x:c r="M45" s="20" t="str">
        <x:v>https://www.tcgplayer.com/search/pokemon/product?q=Light+Dragonair+%2322+Neo+Destiny</x:v>
      </x:c>
      <x:c r="N45"/>
      <x:c r="O45"/>
    </x:row>
    <x:row r="46">
      <x:c r="A46" s="20" t="n">
        <x:v>8</x:v>
      </x:c>
      <x:c r="B46" s="20" t="str">
        <x:v>Flareon #12</x:v>
      </x:c>
      <x:c r="C46" s="20" t="str">
        <x:v>Plasma Freeze</x:v>
      </x:c>
      <x:c r="D46" s="20" t="n">
        <x:v>1</x:v>
      </x:c>
      <x:c r="E46" s="153" t="n">
        <x:v>3.98</x:v>
      </x:c>
      <x:c r="F46" s="153" t="n">
        <x:v>3.98</x:v>
      </x:c>
      <x:c r="G46" s="20" t="str">
        <x:v>701</x:v>
      </x:c>
      <x:c r="H46" s="20" t="str">
        <x:v>Imported</x:v>
      </x:c>
      <x:c r="I46" s="61" t="n">
        <x:v>4</x:v>
      </x:c>
      <x:c r="J46" s="61" t="n">
        <x:v>6</x:v>
      </x:c>
      <x:c r="K46" s="61" t="n">
        <x:v>5</x:v>
      </x:c>
      <x:c r="L46" s="20" t="str">
        <x:v>Current TCGplayer/PokeScope/PokemonWizard about $5.</x:v>
      </x:c>
      <x:c r="M46" s="20" t="str">
        <x:v>https://www.tcgplayer.com/search/pokemon/product?q=Flareon+%2312+Plasma+Freeze</x:v>
      </x:c>
      <x:c r="N46"/>
      <x:c r="O46"/>
    </x:row>
    <x:row r="47">
      <x:c r="A47" s="20" t="n">
        <x:v>8</x:v>
      </x:c>
      <x:c r="B47" s="20" t="str">
        <x:v>Gyarados #XY109</x:v>
      </x:c>
      <x:c r="C47" s="20" t="str">
        <x:v>Promo</x:v>
      </x:c>
      <x:c r="D47" s="20" t="n">
        <x:v>1</x:v>
      </x:c>
      <x:c r="E47" s="153" t="n">
        <x:v>46</x:v>
      </x:c>
      <x:c r="F47" s="153" t="n">
        <x:v>46</x:v>
      </x:c>
      <x:c r="G47" s="20" t="str">
        <x:v>702</x:v>
      </x:c>
      <x:c r="H47" s="20" t="str">
        <x:v>Imported</x:v>
      </x:c>
      <x:c r="I47" s="61" t="n">
        <x:v>40</x:v>
      </x:c>
      <x:c r="J47" s="61" t="n">
        <x:v>60</x:v>
      </x:c>
      <x:c r="K47" s="61" t="n">
        <x:v>50</x:v>
      </x:c>
      <x:c r="L47" s="20" t="str">
        <x:v>TCGplayer market roughly $53–55 and PokéPrice high-$40s; one analytics feed is much lower, so range uses primary market.</x:v>
      </x:c>
      <x:c r="M47" s="20" t="str">
        <x:v>https://www.tcgplayer.com/search/pokemon/product?q=Gyarados+%23XY109+Promo</x:v>
      </x:c>
      <x:c r="N47"/>
      <x:c r="O47"/>
    </x:row>
    <x:row r="48">
      <x:c r="A48" s="20" t="n">
        <x:v>8</x:v>
      </x:c>
      <x:c r="B48" s="20" t="str">
        <x:v>Light Machoke [1st Edition] #49</x:v>
      </x:c>
      <x:c r="C48" s="20" t="str">
        <x:v>Neo Destiny</x:v>
      </x:c>
      <x:c r="D48" s="20" t="n">
        <x:v>1</x:v>
      </x:c>
      <x:c r="E48" s="153" t="n">
        <x:v>18.87</x:v>
      </x:c>
      <x:c r="F48" s="153" t="n">
        <x:v>18.87</x:v>
      </x:c>
      <x:c r="G48" s="20" t="str">
        <x:v>703</x:v>
      </x:c>
      <x:c r="H48" s="20" t="str">
        <x:v>Imported</x:v>
      </x:c>
      <x:c r="I48" s="61" t="n">
        <x:v>16</x:v>
      </x:c>
      <x:c r="J48" s="61" t="n">
        <x:v>22</x:v>
      </x:c>
      <x:c r="K48" s="61" t="n">
        <x:v>19</x:v>
      </x:c>
      <x:c r="L48" s="20" t="str">
        <x:v>TCGplayer/Pallet 1st Edition NM market around $19.</x:v>
      </x:c>
      <x:c r="M48" s="20" t="str">
        <x:v>https://www.tcgplayer.com/search/pokemon/product?q=Light+Machoke+%5B1st+Edition%5D+%2349+Neo+Destiny</x:v>
      </x:c>
      <x:c r="N48"/>
      <x:c r="O48"/>
    </x:row>
    <x:row r="49">
      <x:c r="A49" s="20" t="n">
        <x:v>8</x:v>
      </x:c>
      <x:c r="B49" s="20" t="str">
        <x:v>Dratini [1st Edition] #53</x:v>
      </x:c>
      <x:c r="C49" s="20" t="str">
        <x:v>Team Rocket</x:v>
      </x:c>
      <x:c r="D49" s="20" t="n">
        <x:v>1</x:v>
      </x:c>
      <x:c r="E49" s="153" t="n">
        <x:v>3.99</x:v>
      </x:c>
      <x:c r="F49" s="153" t="n">
        <x:v>3.99</x:v>
      </x:c>
      <x:c r="G49" s="20" t="str">
        <x:v>704</x:v>
      </x:c>
      <x:c r="H49" s="20" t="str">
        <x:v>Imported</x:v>
      </x:c>
      <x:c r="I49" s="61" t="n">
        <x:v>3.5</x:v>
      </x:c>
      <x:c r="J49" s="61" t="n">
        <x:v>5</x:v>
      </x:c>
      <x:c r="K49" s="61" t="n">
        <x:v>4.25</x:v>
      </x:c>
      <x:c r="L49" s="20" t="str">
        <x:v>TCGplayer 1st Edition market around $4.</x:v>
      </x:c>
      <x:c r="M49" s="20" t="str">
        <x:v>https://www.tcgplayer.com/search/pokemon/product?q=Dratini+%5B1st+Edition%5D+%2353+Team+Rocket</x:v>
      </x:c>
      <x:c r="N49"/>
      <x:c r="O49"/>
    </x:row>
    <x:row r="50">
      <x:c r="A50" s="20" t="n">
        <x:v>9</x:v>
      </x:c>
      <x:c r="B50" s="20" t="str">
        <x:v>Squirtle [1st Edition] #68</x:v>
      </x:c>
      <x:c r="C50" s="20" t="str">
        <x:v>Team Rocket</x:v>
      </x:c>
      <x:c r="D50" s="20" t="n">
        <x:v>1</x:v>
      </x:c>
      <x:c r="E50" s="153" t="n">
        <x:v>10.8</x:v>
      </x:c>
      <x:c r="F50" s="153" t="n">
        <x:v>10.8</x:v>
      </x:c>
      <x:c r="G50" s="20" t="str">
        <x:v>705</x:v>
      </x:c>
      <x:c r="H50" s="20" t="str">
        <x:v>Imported</x:v>
      </x:c>
      <x:c r="I50" s="61" t="n">
        <x:v>10</x:v>
      </x:c>
      <x:c r="J50" s="61" t="n">
        <x:v>15</x:v>
      </x:c>
      <x:c r="K50" s="61" t="n">
        <x:v>12.5</x:v>
      </x:c>
      <x:c r="L50" s="20" t="str">
        <x:v>TCGplayer 1st Edition market about $13–14; other current checks roughly $11.</x:v>
      </x:c>
      <x:c r="M50" s="20" t="str">
        <x:v>https://www.tcgplayer.com/search/pokemon/product?q=Squirtle+%5B1st+Edition%5D+%2368+Team+Rocket</x:v>
      </x:c>
      <x:c r="N50"/>
      <x:c r="O50"/>
    </x:row>
    <x:row r="51">
      <x:c r="A51" s="20" t="n">
        <x:v>9</x:v>
      </x:c>
      <x:c r="B51" s="20" t="str">
        <x:v>Dark Dragonair [1st Edition] #33</x:v>
      </x:c>
      <x:c r="C51" s="20" t="str">
        <x:v>Team Rocket</x:v>
      </x:c>
      <x:c r="D51" s="20" t="n">
        <x:v>1</x:v>
      </x:c>
      <x:c r="E51" s="153" t="n">
        <x:v>13.58</x:v>
      </x:c>
      <x:c r="F51" s="153" t="n">
        <x:v>13.58</x:v>
      </x:c>
      <x:c r="G51" s="20" t="str">
        <x:v>706</x:v>
      </x:c>
      <x:c r="H51" s="20" t="str">
        <x:v>Imported</x:v>
      </x:c>
      <x:c r="I51" s="61" t="n">
        <x:v>12</x:v>
      </x:c>
      <x:c r="J51" s="61" t="n">
        <x:v>17</x:v>
      </x:c>
      <x:c r="K51" s="61" t="n">
        <x:v>14.5</x:v>
      </x:c>
      <x:c r="L51" s="20" t="str">
        <x:v>TCGplayer/current analytics around $14–15.</x:v>
      </x:c>
      <x:c r="M51" s="20" t="str">
        <x:v>https://www.tcgplayer.com/search/pokemon/product?q=Dark+Dragonair+%5B1st+Edition%5D+%2333+Team+Rocket</x:v>
      </x:c>
      <x:c r="N51"/>
      <x:c r="O51"/>
    </x:row>
    <x:row r="52">
      <x:c r="A52" s="20" t="n">
        <x:v>9</x:v>
      </x:c>
      <x:c r="B52" s="20" t="str">
        <x:v>Dark Charmeleon [1st Edition] #32</x:v>
      </x:c>
      <x:c r="C52" s="20" t="str">
        <x:v>Team Rocket</x:v>
      </x:c>
      <x:c r="D52" s="20" t="n">
        <x:v>1</x:v>
      </x:c>
      <x:c r="E52" s="153" t="n">
        <x:v>19.85</x:v>
      </x:c>
      <x:c r="F52" s="153" t="n">
        <x:v>19.85</x:v>
      </x:c>
      <x:c r="G52" s="20" t="str">
        <x:v>707</x:v>
      </x:c>
      <x:c r="H52" s="20" t="str">
        <x:v>Imported</x:v>
      </x:c>
      <x:c r="I52" s="61" t="n">
        <x:v>20</x:v>
      </x:c>
      <x:c r="J52" s="61" t="n">
        <x:v>27</x:v>
      </x:c>
      <x:c r="K52" s="61" t="n">
        <x:v>23.5</x:v>
      </x:c>
      <x:c r="L52" s="20" t="str">
        <x:v>TCGplayer 1st Edition market about $23–24.</x:v>
      </x:c>
      <x:c r="M52" s="20" t="str">
        <x:v>https://www.tcgplayer.com/search/pokemon/product?q=Dark+Charmeleon+%5B1st+Edition%5D+%2332+Team+Rocket</x:v>
      </x:c>
      <x:c r="N52"/>
      <x:c r="O52"/>
    </x:row>
    <x:row r="53">
      <x:c r="A53" s="20" t="n">
        <x:v>9</x:v>
      </x:c>
      <x:c r="B53" s="20" t="str">
        <x:v>Charmander [1st Edition] #50</x:v>
      </x:c>
      <x:c r="C53" s="20" t="str">
        <x:v>Team Rocket</x:v>
      </x:c>
      <x:c r="D53" s="20" t="n">
        <x:v>1</x:v>
      </x:c>
      <x:c r="E53" s="153" t="n">
        <x:v>10.87</x:v>
      </x:c>
      <x:c r="F53" s="153" t="n">
        <x:v>10.87</x:v>
      </x:c>
      <x:c r="G53" s="20" t="str">
        <x:v>708</x:v>
      </x:c>
      <x:c r="H53" s="20" t="str">
        <x:v>Imported</x:v>
      </x:c>
      <x:c r="I53" s="61" t="n">
        <x:v>8</x:v>
      </x:c>
      <x:c r="J53" s="61" t="n">
        <x:v>14</x:v>
      </x:c>
      <x:c r="K53" s="61" t="n">
        <x:v>11</x:v>
      </x:c>
      <x:c r="L53" s="20" t="str">
        <x:v>Recent/current 1st Edition signals roughly $7–14 depending venue; range centered around low teens.</x:v>
      </x:c>
      <x:c r="M53" s="20" t="str">
        <x:v>https://www.tcgplayer.com/search/pokemon/product?q=Charmander+%5B1st+Edition%5D+%2350+Team+Rocket</x:v>
      </x:c>
      <x:c r="N53"/>
      <x:c r="O53"/>
    </x:row>
    <x:row r="54">
      <x:c r="A54" s="20" t="n">
        <x:v>9</x:v>
      </x:c>
      <x:c r="B54" s="20" t="str">
        <x:v>Darkrai EX #BW46</x:v>
      </x:c>
      <x:c r="C54" s="20" t="str">
        <x:v>Promo</x:v>
      </x:c>
      <x:c r="D54" s="20" t="n">
        <x:v>1</x:v>
      </x:c>
      <x:c r="E54" s="153" t="n">
        <x:v>12</x:v>
      </x:c>
      <x:c r="F54" s="153" t="n">
        <x:v>12</x:v>
      </x:c>
      <x:c r="G54" s="20" t="str">
        <x:v>709</x:v>
      </x:c>
      <x:c r="H54" s="20" t="str">
        <x:v>Imported</x:v>
      </x:c>
      <x:c r="I54" s="61" t="n">
        <x:v>12</x:v>
      </x:c>
      <x:c r="J54" s="61" t="n">
        <x:v>25</x:v>
      </x:c>
      <x:c r="K54" s="61" t="n">
        <x:v>18.5</x:v>
      </x:c>
      <x:c r="L54" s="20" t="str">
        <x:v>Market is split: TCGplayer headline around $29, cross-market/recent raw signals around $10–18; range widened.</x:v>
      </x:c>
      <x:c r="M54" s="20" t="str">
        <x:v>https://www.tcgplayer.com/search/pokemon/product?q=Darkrai+EX+%23BW46+Promo</x:v>
      </x:c>
      <x:c r="N54"/>
      <x:c r="O54"/>
    </x:row>
    <x:row r="55">
      <x:c r="A55" s="20" t="n">
        <x:v>9</x:v>
      </x:c>
      <x:c r="B55" s="20" t="str">
        <x:v>Dialga EX #65</x:v>
      </x:c>
      <x:c r="C55" s="20" t="str">
        <x:v>Plasma Blast</x:v>
      </x:c>
      <x:c r="D55" s="20" t="n">
        <x:v>1</x:v>
      </x:c>
      <x:c r="E55" s="153" t="n">
        <x:v>18.49</x:v>
      </x:c>
      <x:c r="F55" s="153" t="n">
        <x:v>18.49</x:v>
      </x:c>
      <x:c r="G55" s="20" t="str">
        <x:v>710</x:v>
      </x:c>
      <x:c r="H55" s="20" t="str">
        <x:v>Imported</x:v>
      </x:c>
      <x:c r="I55" s="61" t="n">
        <x:v>24</x:v>
      </x:c>
      <x:c r="J55" s="61" t="n">
        <x:v>32</x:v>
      </x:c>
      <x:c r="K55" s="61" t="n">
        <x:v>28</x:v>
      </x:c>
      <x:c r="L55" s="20" t="str">
        <x:v>Current TCGplayer/PokemonWizard around $28–30.</x:v>
      </x:c>
      <x:c r="M55" s="20" t="str">
        <x:v>https://www.tcgplayer.com/search/pokemon/product?q=Dialga+EX+%2365+Plasma+Blast</x:v>
      </x:c>
      <x:c r="N55"/>
      <x:c r="O55"/>
    </x:row>
    <x:row r="56">
      <x:c r="A56" s="20" t="n">
        <x:v>9</x:v>
      </x:c>
      <x:c r="B56" s="20" t="str">
        <x:v>Lugia EX #BW83</x:v>
      </x:c>
      <x:c r="C56" s="20" t="str">
        <x:v>Promo</x:v>
      </x:c>
      <x:c r="D56" s="20" t="n">
        <x:v>1</x:v>
      </x:c>
      <x:c r="E56" s="153" t="n">
        <x:v>29.95</x:v>
      </x:c>
      <x:c r="F56" s="153" t="n">
        <x:v>29.95</x:v>
      </x:c>
      <x:c r="G56" s="20" t="str">
        <x:v>711</x:v>
      </x:c>
      <x:c r="H56" s="20" t="str">
        <x:v>Imported</x:v>
      </x:c>
      <x:c r="I56" s="61" t="n">
        <x:v>30</x:v>
      </x:c>
      <x:c r="J56" s="61" t="n">
        <x:v>40</x:v>
      </x:c>
      <x:c r="K56" s="61" t="n">
        <x:v>35</x:v>
      </x:c>
      <x:c r="L56" s="20" t="str">
        <x:v>Current TCGplayer/PokeScope roughly low/mid-$30s to high-$30s.</x:v>
      </x:c>
      <x:c r="M56" s="20" t="str">
        <x:v>https://www.tcgplayer.com/search/pokemon/product?q=Lugia+EX+%23BW83+Promo</x:v>
      </x:c>
      <x:c r="N56"/>
      <x:c r="O56"/>
    </x:row>
    <x:row r="57">
      <x:c r="A57" s="20" t="n">
        <x:v>10</x:v>
      </x:c>
      <x:c r="B57" s="20" t="str">
        <x:v>Charizard EX #XY17</x:v>
      </x:c>
      <x:c r="C57" s="20" t="str">
        <x:v>Promo</x:v>
      </x:c>
      <x:c r="D57" s="20" t="n">
        <x:v>1</x:v>
      </x:c>
      <x:c r="E57" s="153" t="n">
        <x:v>15.19</x:v>
      </x:c>
      <x:c r="F57" s="153" t="n">
        <x:v>15.19</x:v>
      </x:c>
      <x:c r="G57" s="20" t="str">
        <x:v>712</x:v>
      </x:c>
      <x:c r="H57" s="20" t="str">
        <x:v>Imported</x:v>
      </x:c>
      <x:c r="I57" s="61" t="n">
        <x:v>30</x:v>
      </x:c>
      <x:c r="J57" s="61" t="n">
        <x:v>40</x:v>
      </x:c>
      <x:c r="K57" s="61" t="n">
        <x:v>35</x:v>
      </x:c>
      <x:c r="L57" s="20" t="str">
        <x:v>Current standard-size TCGplayer promo market around $35.</x:v>
      </x:c>
      <x:c r="M57" s="20" t="str">
        <x:v>https://www.tcgplayer.com/search/pokemon/product?q=Charizard+EX+%23XY17+Promo</x:v>
      </x:c>
      <x:c r="N57"/>
      <x:c r="O57"/>
    </x:row>
    <x:row r="58">
      <x:c r="A58" s="20" t="n">
        <x:v>10</x:v>
      </x:c>
      <x:c r="B58" s="20" t="str">
        <x:v>Victini EX #18</x:v>
      </x:c>
      <x:c r="C58" s="20" t="str">
        <x:v>Plasma Storm</x:v>
      </x:c>
      <x:c r="D58" s="20" t="n">
        <x:v>1</x:v>
      </x:c>
      <x:c r="E58" s="153" t="n">
        <x:v>11.62</x:v>
      </x:c>
      <x:c r="F58" s="153" t="n">
        <x:v>11.62</x:v>
      </x:c>
      <x:c r="G58" s="20" t="str">
        <x:v>713</x:v>
      </x:c>
      <x:c r="H58" s="20" t="str">
        <x:v>Imported</x:v>
      </x:c>
      <x:c r="I58" s="61" t="n">
        <x:v>10</x:v>
      </x:c>
      <x:c r="J58" s="61" t="n">
        <x:v>14</x:v>
      </x:c>
      <x:c r="K58" s="61" t="n">
        <x:v>12</x:v>
      </x:c>
      <x:c r="L58" s="20" t="str">
        <x:v>Current TCGplayer/PokeScope/PokemonWizard around $12.5.</x:v>
      </x:c>
      <x:c r="M58" s="20" t="str">
        <x:v>https://www.tcgplayer.com/search/pokemon/product?q=Victini+EX+%2318+Plasma+Storm</x:v>
      </x:c>
      <x:c r="N58"/>
      <x:c r="O58"/>
    </x:row>
    <x:row r="59">
      <x:c r="A59" s="20" t="n">
        <x:v>10</x:v>
      </x:c>
      <x:c r="B59" s="20" t="str">
        <x:v>Meloetta EX #RC11</x:v>
      </x:c>
      <x:c r="C59" s="20" t="str">
        <x:v>Legendary Treasures</x:v>
      </x:c>
      <x:c r="D59" s="20" t="n">
        <x:v>1</x:v>
      </x:c>
      <x:c r="E59" s="153" t="n">
        <x:v>12.29</x:v>
      </x:c>
      <x:c r="F59" s="153" t="n">
        <x:v>12.29</x:v>
      </x:c>
      <x:c r="G59" s="20" t="str">
        <x:v>714</x:v>
      </x:c>
      <x:c r="H59" s="20" t="str">
        <x:v>Imported</x:v>
      </x:c>
      <x:c r="I59" s="61" t="n">
        <x:v>12</x:v>
      </x:c>
      <x:c r="J59" s="61" t="n">
        <x:v>16</x:v>
      </x:c>
      <x:c r="K59" s="61" t="n">
        <x:v>14</x:v>
      </x:c>
      <x:c r="L59" s="20" t="str">
        <x:v>Current TCGplayer/PokemonWizard around $14.</x:v>
      </x:c>
      <x:c r="M59" s="20" t="str">
        <x:v>https://www.tcgplayer.com/search/pokemon/product?q=Meloetta+EX+%23RC11+Legendary+Treasures</x:v>
      </x:c>
      <x:c r="N59"/>
      <x:c r="O59"/>
    </x:row>
    <x:row r="60">
      <x:c r="A60" s="20" t="n">
        <x:v>10</x:v>
      </x:c>
      <x:c r="B60" s="20" t="str">
        <x:v>Latias EX #85</x:v>
      </x:c>
      <x:c r="C60" s="20" t="str">
        <x:v>Plasma Freeze</x:v>
      </x:c>
      <x:c r="D60" s="20" t="n">
        <x:v>1</x:v>
      </x:c>
      <x:c r="E60" s="153" t="n">
        <x:v>15</x:v>
      </x:c>
      <x:c r="F60" s="153" t="n">
        <x:v>15</x:v>
      </x:c>
      <x:c r="G60" s="20" t="str">
        <x:v>715</x:v>
      </x:c>
      <x:c r="H60" s="20" t="str">
        <x:v>Imported</x:v>
      </x:c>
      <x:c r="I60" s="61" t="n">
        <x:v>18</x:v>
      </x:c>
      <x:c r="J60" s="61" t="n">
        <x:v>35</x:v>
      </x:c>
      <x:c r="K60" s="61" t="n">
        <x:v>26.5</x:v>
      </x:c>
      <x:c r="L60" s="20" t="str">
        <x:v>Market is volatile/split: TCGplayer headline about $50, recent NM sold comps around $15–20; conservative cross-market range.</x:v>
      </x:c>
      <x:c r="M60" s="20" t="str">
        <x:v>https://www.tcgplayer.com/search/pokemon/product?q=Latias+EX+%2385+Plasma+Freeze</x:v>
      </x:c>
      <x:c r="N60"/>
      <x:c r="O60"/>
    </x:row>
    <x:row r="61">
      <x:c r="A61" s="20" t="n">
        <x:v>10</x:v>
      </x:c>
      <x:c r="B61" s="20" t="str">
        <x:v>M Sceptile EX #8</x:v>
      </x:c>
      <x:c r="C61" s="20" t="str">
        <x:v>Ancient Origins</x:v>
      </x:c>
      <x:c r="D61" s="20" t="n">
        <x:v>1</x:v>
      </x:c>
      <x:c r="E61" s="153" t="n">
        <x:v>18.2</x:v>
      </x:c>
      <x:c r="F61" s="153" t="n">
        <x:v>18.2</x:v>
      </x:c>
      <x:c r="G61" s="20" t="str">
        <x:v>716</x:v>
      </x:c>
      <x:c r="H61" s="20" t="str">
        <x:v>Imported</x:v>
      </x:c>
      <x:c r="I61" s="61" t="n">
        <x:v>16</x:v>
      </x:c>
      <x:c r="J61" s="61" t="n">
        <x:v>22</x:v>
      </x:c>
      <x:c r="K61" s="61" t="n">
        <x:v>19</x:v>
      </x:c>
      <x:c r="L61" s="20" t="str">
        <x:v>Current TCGplayer/PokemonWizard around $19–20.</x:v>
      </x:c>
      <x:c r="M61" s="20" t="str">
        <x:v>https://www.tcgplayer.com/search/pokemon/product?q=M+Sceptile+EX+%238+Ancient+Origins</x:v>
      </x:c>
      <x:c r="N61"/>
      <x:c r="O61"/>
    </x:row>
    <x:row r="62">
      <x:c r="A62" s="20" t="n">
        <x:v>10</x:v>
      </x:c>
      <x:c r="B62" s="20" t="str">
        <x:v>Mew #8</x:v>
      </x:c>
      <x:c r="C62" s="20" t="str">
        <x:v>Promo</x:v>
      </x:c>
      <x:c r="D62" s="20" t="n">
        <x:v>1</x:v>
      </x:c>
      <x:c r="E62" s="153" t="n">
        <x:v>8.45</x:v>
      </x:c>
      <x:c r="F62" s="153" t="n">
        <x:v>8.45</x:v>
      </x:c>
      <x:c r="G62" s="20" t="str">
        <x:v>717</x:v>
      </x:c>
      <x:c r="H62" s="20" t="str">
        <x:v>Imported</x:v>
      </x:c>
      <x:c r="I62" s="61" t="n">
        <x:v>8</x:v>
      </x:c>
      <x:c r="J62" s="61" t="n">
        <x:v>12</x:v>
      </x:c>
      <x:c r="K62" s="61" t="n">
        <x:v>10</x:v>
      </x:c>
      <x:c r="L62" s="20" t="str">
        <x:v>Assumes the standard non-glossy WotC promo matching the PDF value; TCGplayer market about $10. Glossy-finish variant is separate and much higher.</x:v>
      </x:c>
      <x:c r="M62" s="20" t="str">
        <x:v>https://www.tcgplayer.com/search/pokemon/product?q=Mew+%238+Promo</x:v>
      </x:c>
      <x:c r="N62"/>
      <x:c r="O62"/>
    </x:row>
    <x:row r="63">
      <x:c r="A63" s="20" t="n">
        <x:v>10</x:v>
      </x:c>
      <x:c r="B63" s="20" t="str">
        <x:v>Dragonite #5</x:v>
      </x:c>
      <x:c r="C63" s="20" t="str">
        <x:v>Dragon Vault</x:v>
      </x:c>
      <x:c r="D63" s="20" t="n">
        <x:v>1</x:v>
      </x:c>
      <x:c r="E63" s="153" t="n">
        <x:v>19.99</x:v>
      </x:c>
      <x:c r="F63" s="153" t="n">
        <x:v>19.99</x:v>
      </x:c>
      <x:c r="G63" s="20" t="str">
        <x:v>718</x:v>
      </x:c>
      <x:c r="H63" s="20" t="str">
        <x:v>Imported</x:v>
      </x:c>
      <x:c r="I63" s="61" t="n">
        <x:v>25</x:v>
      </x:c>
      <x:c r="J63" s="61" t="n">
        <x:v>35</x:v>
      </x:c>
      <x:c r="K63" s="61" t="n">
        <x:v>30</x:v>
      </x:c>
      <x:c r="L63" s="20" t="str">
        <x:v>Current Dragon Vault holo TCGplayer market about $30–31.</x:v>
      </x:c>
      <x:c r="M63" s="20" t="str">
        <x:v>https://www.tcgplayer.com/search/pokemon/product?q=Dragonite+%235+Dragon+Vault</x:v>
      </x:c>
      <x:c r="N63"/>
      <x:c r="O63"/>
    </x:row>
    <x:row r="64">
      <x:c r="A64" s="20" t="n">
        <x:v>11</x:v>
      </x:c>
      <x:c r="B64" s="20" t="str">
        <x:v>Steelix #87</x:v>
      </x:c>
      <x:c r="C64" s="20" t="str">
        <x:v>Unleashed</x:v>
      </x:c>
      <x:c r="D64" s="20" t="n">
        <x:v>1</x:v>
      </x:c>
      <x:c r="E64" s="153" t="n">
        <x:v>79.66</x:v>
      </x:c>
      <x:c r="F64" s="153" t="n">
        <x:v>79.66</x:v>
      </x:c>
      <x:c r="G64" s="20" t="str">
        <x:v>719</x:v>
      </x:c>
      <x:c r="H64" s="20" t="str">
        <x:v>Imported</x:v>
      </x:c>
      <x:c r="I64" s="61" t="n">
        <x:v>80</x:v>
      </x:c>
      <x:c r="J64" s="61" t="n">
        <x:v>120</x:v>
      </x:c>
      <x:c r="K64" s="61" t="n">
        <x:v>100</x:v>
      </x:c>
      <x:c r="L64" s="20" t="str">
        <x:v>Current Steelix Prime TCGplayer/PokeScope market about $112–113; range allows for sale dispersion.</x:v>
      </x:c>
      <x:c r="M64" s="20" t="str">
        <x:v>https://www.tcgplayer.com/search/pokemon/product?q=Steelix+%2387+Unleashed</x:v>
      </x:c>
      <x:c r="N64"/>
      <x:c r="O64"/>
    </x:row>
    <x:row r="65">
      <x:c r="A65" s="20" t="n">
        <x:v>11</x:v>
      </x:c>
      <x:c r="B65" s="20" t="str">
        <x:v>M Mewtwo EX #63</x:v>
      </x:c>
      <x:c r="C65" s="20" t="str">
        <x:v>BREAKthrough</x:v>
      </x:c>
      <x:c r="D65" s="20" t="n">
        <x:v>1</x:v>
      </x:c>
      <x:c r="E65" s="153" t="n">
        <x:v>27.87</x:v>
      </x:c>
      <x:c r="F65" s="153" t="n">
        <x:v>27.87</x:v>
      </x:c>
      <x:c r="G65" s="20" t="str">
        <x:v>720</x:v>
      </x:c>
      <x:c r="H65" s="20" t="str">
        <x:v>Imported</x:v>
      </x:c>
      <x:c r="I65" s="61" t="n">
        <x:v>35</x:v>
      </x:c>
      <x:c r="J65" s="61" t="n">
        <x:v>55</x:v>
      </x:c>
      <x:c r="K65" s="61" t="n">
        <x:v>45</x:v>
      </x:c>
      <x:c r="L65" s="20" t="str">
        <x:v>Current TCGplayer/PokemonWizard market about $52–53; recent raw eBay comps can be lower.</x:v>
      </x:c>
      <x:c r="M65" s="20" t="str">
        <x:v>https://www.tcgplayer.com/search/pokemon/product?q=M+Mewtwo+EX+%2363+BREAKthrough</x:v>
      </x:c>
      <x:c r="N65"/>
      <x:c r="O65"/>
    </x:row>
    <x:row r="66">
      <x:c r="A66" s="20" t="n">
        <x:v>11</x:v>
      </x:c>
      <x:c r="B66" s="20" t="str">
        <x:v>Rayquaza [Stamped] #11</x:v>
      </x:c>
      <x:c r="C66" s="20" t="str">
        <x:v>Dragon Vault</x:v>
      </x:c>
      <x:c r="D66" s="20" t="n">
        <x:v>1</x:v>
      </x:c>
      <x:c r="E66" s="153" t="n">
        <x:v>94.16</x:v>
      </x:c>
      <x:c r="F66" s="153" t="n">
        <x:v>94.16</x:v>
      </x:c>
      <x:c r="G66" s="20" t="str">
        <x:v>721</x:v>
      </x:c>
      <x:c r="H66" s="20" t="str">
        <x:v>Imported</x:v>
      </x:c>
      <x:c r="I66" s="61" t="n">
        <x:v>75</x:v>
      </x:c>
      <x:c r="J66" s="61" t="n">
        <x:v>95</x:v>
      </x:c>
      <x:c r="K66" s="61" t="n">
        <x:v>85</x:v>
      </x:c>
      <x:c r="L66" s="20" t="str">
        <x:v>Current Blister Exclusive TCGplayer/TCGIndex market around $84–89.</x:v>
      </x:c>
      <x:c r="M66" s="20" t="str">
        <x:v>https://www.tcgplayer.com/search/pokemon/product?q=Rayquaza+%5BStamped%5D+%2311+Dragon+Vault</x:v>
      </x:c>
      <x:c r="N66"/>
      <x:c r="O66"/>
    </x:row>
    <x:row r="67">
      <x:c r="A67" s="20" t="n">
        <x:v>11</x:v>
      </x:c>
      <x:c r="B67" s="20" t="str">
        <x:v>Dialga LV. X #105</x:v>
      </x:c>
      <x:c r="C67" s="20" t="str">
        <x:v>Great Encounters</x:v>
      </x:c>
      <x:c r="D67" s="20" t="n">
        <x:v>1</x:v>
      </x:c>
      <x:c r="E67" s="153" t="n">
        <x:v>85.89</x:v>
      </x:c>
      <x:c r="F67" s="153" t="n">
        <x:v>85.89</x:v>
      </x:c>
      <x:c r="G67" s="20" t="str">
        <x:v>722</x:v>
      </x:c>
      <x:c r="H67" s="20" t="str">
        <x:v>Imported</x:v>
      </x:c>
      <x:c r="I67" s="61" t="n">
        <x:v>100</x:v>
      </x:c>
      <x:c r="J67" s="61" t="n">
        <x:v>200</x:v>
      </x:c>
      <x:c r="K67" s="61" t="n">
        <x:v>150</x:v>
      </x:c>
      <x:c r="L67" s="20" t="str">
        <x:v>Very illiquid/split: TCGplayer headline ~$250, cross-market data roughly $43–173 and recent MP around $60; clean/NM range kept broad/conservative.</x:v>
      </x:c>
      <x:c r="M67" s="20" t="str">
        <x:v>https://www.tcgplayer.com/search/pokemon/product?q=Dialga+LV.+X+%23105+Great+Encounters</x:v>
      </x:c>
      <x:c r="N67"/>
      <x:c r="O67"/>
    </x:row>
    <x:row r="68">
      <x:c r="A68" s="20" t="n">
        <x:v>11</x:v>
      </x:c>
      <x:c r="B68" s="20" t="str">
        <x:v>Arceus LV. X #94</x:v>
      </x:c>
      <x:c r="C68" s="20" t="str">
        <x:v>Arceus</x:v>
      </x:c>
      <x:c r="D68" s="20" t="n">
        <x:v>1</x:v>
      </x:c>
      <x:c r="E68" s="153" t="n">
        <x:v>51.25</x:v>
      </x:c>
      <x:c r="F68" s="153" t="n">
        <x:v>51.25</x:v>
      </x:c>
      <x:c r="G68" s="20" t="str">
        <x:v>723</x:v>
      </x:c>
      <x:c r="H68" s="20" t="str">
        <x:v>Imported</x:v>
      </x:c>
      <x:c r="I68" s="61" t="n">
        <x:v>40</x:v>
      </x:c>
      <x:c r="J68" s="61" t="n">
        <x:v>55</x:v>
      </x:c>
      <x:c r="K68" s="61" t="n">
        <x:v>47.5</x:v>
      </x:c>
      <x:c r="L68" s="20" t="str">
        <x:v>Current TCGplayer market about $48; recent NM TCGplayer sale around mid-$40s.</x:v>
      </x:c>
      <x:c r="M68" s="20" t="str">
        <x:v>https://www.tcgplayer.com/search/pokemon/product?q=Arceus+LV.+X+%2394+Arceus</x:v>
      </x:c>
      <x:c r="N68"/>
      <x:c r="O68"/>
    </x:row>
    <x:row r="69">
      <x:c r="A69" s="20" t="n">
        <x:v>11</x:v>
      </x:c>
      <x:c r="B69" s="20" t="str">
        <x:v>Mewtwo EX #BW45</x:v>
      </x:c>
      <x:c r="C69" s="20" t="str">
        <x:v>Promo</x:v>
      </x:c>
      <x:c r="D69" s="20" t="n">
        <x:v>1</x:v>
      </x:c>
      <x:c r="E69" s="153" t="n">
        <x:v>12.39</x:v>
      </x:c>
      <x:c r="F69" s="153" t="n">
        <x:v>12.39</x:v>
      </x:c>
      <x:c r="G69" s="20" t="str">
        <x:v>724</x:v>
      </x:c>
      <x:c r="H69" s="20" t="str">
        <x:v>Imported</x:v>
      </x:c>
      <x:c r="I69" s="61" t="n">
        <x:v>17</x:v>
      </x:c>
      <x:c r="J69" s="61" t="n">
        <x:v>25</x:v>
      </x:c>
      <x:c r="K69" s="61" t="n">
        <x:v>21</x:v>
      </x:c>
      <x:c r="L69" s="20" t="str">
        <x:v>Current TCGplayer/Guardian roughly high teens to low-$20s.</x:v>
      </x:c>
      <x:c r="M69" s="20" t="str">
        <x:v>https://www.tcgplayer.com/search/pokemon/product?q=Mewtwo+EX+%23BW45+Promo</x:v>
      </x:c>
      <x:c r="N69"/>
      <x:c r="O69"/>
    </x:row>
    <x:row r="70">
      <x:c r="A70" s="20" t="n">
        <x:v>11</x:v>
      </x:c>
      <x:c r="B70" s="20" t="str">
        <x:v>Arceus #DP50</x:v>
      </x:c>
      <x:c r="C70" s="20" t="str">
        <x:v>Promo</x:v>
      </x:c>
      <x:c r="D70" s="20" t="n">
        <x:v>1</x:v>
      </x:c>
      <x:c r="E70" s="153" t="n">
        <x:v>18.76</x:v>
      </x:c>
      <x:c r="F70" s="153" t="n">
        <x:v>18.76</x:v>
      </x:c>
      <x:c r="G70" s="20" t="str">
        <x:v>725</x:v>
      </x:c>
      <x:c r="H70" s="20" t="str">
        <x:v>Imported</x:v>
      </x:c>
      <x:c r="I70" s="61" t="n">
        <x:v>28</x:v>
      </x:c>
      <x:c r="J70" s="61" t="n">
        <x:v>38</x:v>
      </x:c>
      <x:c r="K70" s="61" t="n">
        <x:v>33</x:v>
      </x:c>
      <x:c r="L70" s="20" t="str">
        <x:v>Current TCGplayer/EvoTerminal about $35.</x:v>
      </x:c>
      <x:c r="M70" s="20" t="str">
        <x:v>https://www.tcgplayer.com/search/pokemon/product?q=Arceus+%23DP50+Promo</x:v>
      </x:c>
      <x:c r="N70"/>
      <x:c r="O70"/>
    </x:row>
    <x:row r="71">
      <x:c r="A71" s="20" t="n">
        <x:v>12</x:v>
      </x:c>
      <x:c r="B71" s="20" t="str">
        <x:v>Emboar #26</x:v>
      </x:c>
      <x:c r="C71" s="20" t="str">
        <x:v>Boundaries Crossed</x:v>
      </x:c>
      <x:c r="D71" s="20" t="n">
        <x:v>1</x:v>
      </x:c>
      <x:c r="E71" s="153" t="n">
        <x:v>4.07</x:v>
      </x:c>
      <x:c r="F71" s="153" t="n">
        <x:v>4.07</x:v>
      </x:c>
      <x:c r="G71" s="20" t="str">
        <x:v>726</x:v>
      </x:c>
      <x:c r="H71" s="20" t="str">
        <x:v>Imported</x:v>
      </x:c>
      <x:c r="I71" s="61" t="n">
        <x:v>3.5</x:v>
      </x:c>
      <x:c r="J71" s="61" t="n">
        <x:v>5.5</x:v>
      </x:c>
      <x:c r="K71" s="61" t="n">
        <x:v>4.5</x:v>
      </x:c>
      <x:c r="L71" s="20" t="str">
        <x:v>Current TCGplayer market about $4.3–4.4.</x:v>
      </x:c>
      <x:c r="M71" s="20" t="str">
        <x:v>https://www.tcgplayer.com/search/pokemon/product?q=Emboar+%2326+Boundaries+Crossed</x:v>
      </x:c>
      <x:c r="N71"/>
      <x:c r="O71"/>
    </x:row>
    <x:row r="72">
      <x:c r="A72" s="20" t="n">
        <x:v>12</x:v>
      </x:c>
      <x:c r="B72" s="20" t="str">
        <x:v>Beartic [Reverse Holo] #37</x:v>
      </x:c>
      <x:c r="C72" s="20" t="str">
        <x:v>Next Destinies</x:v>
      </x:c>
      <x:c r="D72" s="20" t="n">
        <x:v>1</x:v>
      </x:c>
      <x:c r="E72" s="153" t="n">
        <x:v>2.16</x:v>
      </x:c>
      <x:c r="F72" s="153" t="n">
        <x:v>2.16</x:v>
      </x:c>
      <x:c r="G72" s="20" t="str">
        <x:v>727</x:v>
      </x:c>
      <x:c r="H72" s="20" t="str">
        <x:v>Imported</x:v>
      </x:c>
      <x:c r="I72" s="61" t="n">
        <x:v>1.75</x:v>
      </x:c>
      <x:c r="J72" s="61" t="n">
        <x:v>2.75</x:v>
      </x:c>
      <x:c r="K72" s="61" t="n">
        <x:v>2.25</x:v>
      </x:c>
      <x:c r="L72" s="20" t="str">
        <x:v>Current TCGplayer reverse-holo guide about $2.25.</x:v>
      </x:c>
      <x:c r="M72" s="20" t="str">
        <x:v>https://www.tcgplayer.com/search/pokemon/product?q=Beartic+%5BReverse+Holo%5D+%2337+Next+Destinies</x:v>
      </x:c>
      <x:c r="N72"/>
      <x:c r="O72"/>
    </x:row>
    <x:row r="73">
      <x:c r="A73" s="20" t="n">
        <x:v>12</x:v>
      </x:c>
      <x:c r="B73" s="20" t="str">
        <x:v>Thundurus #50</x:v>
      </x:c>
      <x:c r="C73" s="20" t="str">
        <x:v>Legendary Treasures</x:v>
      </x:c>
      <x:c r="D73" s="20" t="n">
        <x:v>1</x:v>
      </x:c>
      <x:c r="E73" s="153" t="n">
        <x:v>2.29</x:v>
      </x:c>
      <x:c r="F73" s="153" t="n">
        <x:v>2.29</x:v>
      </x:c>
      <x:c r="G73" s="20" t="str">
        <x:v>728</x:v>
      </x:c>
      <x:c r="H73" s="20" t="str">
        <x:v>Imported</x:v>
      </x:c>
      <x:c r="I73" s="61" t="n">
        <x:v>1.5</x:v>
      </x:c>
      <x:c r="J73" s="61" t="n">
        <x:v>2.75</x:v>
      </x:c>
      <x:c r="K73" s="61" t="n">
        <x:v>2.125</x:v>
      </x:c>
      <x:c r="L73" s="20" t="str">
        <x:v>Treated as Legendary Treasures holo set printing; TCGplayer holo market about $1.9. Deck-exclusive normal is lower.</x:v>
      </x:c>
      <x:c r="M73" s="20" t="str">
        <x:v>https://www.tcgplayer.com/search/pokemon/product?q=Thundurus+%2350+Legendary+Treasures</x:v>
      </x:c>
      <x:c r="N73"/>
      <x:c r="O73"/>
    </x:row>
    <x:row r="74">
      <x:c r="A74" s="20" t="n">
        <x:v>12</x:v>
      </x:c>
      <x:c r="B74" s="20" t="str">
        <x:v>Druddigon [Reverse Holo] #70</x:v>
      </x:c>
      <x:c r="C74" s="20" t="str">
        <x:v>Flashfire</x:v>
      </x:c>
      <x:c r="D74" s="20" t="n">
        <x:v>1</x:v>
      </x:c>
      <x:c r="E74" s="153" t="n">
        <x:v>0.99</x:v>
      </x:c>
      <x:c r="F74" s="153" t="n">
        <x:v>0.99</x:v>
      </x:c>
      <x:c r="G74" s="20" t="str">
        <x:v>729</x:v>
      </x:c>
      <x:c r="H74" s="20" t="str">
        <x:v>Imported</x:v>
      </x:c>
      <x:c r="I74" s="61" t="n">
        <x:v>0.8</x:v>
      </x:c>
      <x:c r="J74" s="61" t="n">
        <x:v>1.3</x:v>
      </x:c>
      <x:c r="K74" s="61" t="n">
        <x:v>1.05</x:v>
      </x:c>
      <x:c r="L74" s="20" t="str">
        <x:v>Current TCGplayer reverse-holo guide about $1.05.</x:v>
      </x:c>
      <x:c r="M74" s="20" t="str">
        <x:v>https://www.tcgplayer.com/search/pokemon/product?q=Druddigon+%5BReverse+Holo%5D+%2370+Flashfire</x:v>
      </x:c>
      <x:c r="N74"/>
      <x:c r="O74"/>
    </x:row>
    <x:row r="75">
      <x:c r="A75" s="20" t="n">
        <x:v>12</x:v>
      </x:c>
      <x:c r="B75" s="20" t="str">
        <x:v>Yanmega #98</x:v>
      </x:c>
      <x:c r="C75" s="20" t="str">
        <x:v>Triumphant</x:v>
      </x:c>
      <x:c r="D75" s="20" t="n">
        <x:v>1</x:v>
      </x:c>
      <x:c r="E75" s="153" t="n">
        <x:v>21.78</x:v>
      </x:c>
      <x:c r="F75" s="153" t="n">
        <x:v>21.78</x:v>
      </x:c>
      <x:c r="G75" s="20" t="str">
        <x:v>730</x:v>
      </x:c>
      <x:c r="H75" s="20" t="str">
        <x:v>Imported</x:v>
      </x:c>
      <x:c r="I75" s="61" t="n">
        <x:v>22</x:v>
      </x:c>
      <x:c r="J75" s="61" t="n">
        <x:v>30</x:v>
      </x:c>
      <x:c r="K75" s="61" t="n">
        <x:v>26</x:v>
      </x:c>
      <x:c r="L75" s="20" t="str">
        <x:v>Current Yanmega Prime TCGplayer/PokemonWizard around $26–28.</x:v>
      </x:c>
      <x:c r="M75" s="20" t="str">
        <x:v>https://www.tcgplayer.com/search/pokemon/product?q=Yanmega+%2398+Triumphant</x:v>
      </x:c>
      <x:c r="N75"/>
      <x:c r="O75"/>
    </x:row>
    <x:row r="76">
      <x:c r="A76" s="20" t="n">
        <x:v>12</x:v>
      </x:c>
      <x:c r="B76" s="20" t="str">
        <x:v>Salamence #64</x:v>
      </x:c>
      <x:c r="C76" s="20" t="str">
        <x:v>Plasma Blast</x:v>
      </x:c>
      <x:c r="D76" s="20" t="n">
        <x:v>1</x:v>
      </x:c>
      <x:c r="E76" s="153" t="n">
        <x:v>4.59</x:v>
      </x:c>
      <x:c r="F76" s="153" t="n">
        <x:v>4.59</x:v>
      </x:c>
      <x:c r="G76" s="20" t="str">
        <x:v>731</x:v>
      </x:c>
      <x:c r="H76" s="20" t="str">
        <x:v>Imported</x:v>
      </x:c>
      <x:c r="I76" s="61" t="n">
        <x:v>5.5</x:v>
      </x:c>
      <x:c r="J76" s="61" t="n">
        <x:v>8</x:v>
      </x:c>
      <x:c r="K76" s="61" t="n">
        <x:v>6.75</x:v>
      </x:c>
      <x:c r="L76" s="20" t="str">
        <x:v>Current Plasma Blast holo TCGplayer market about $6.9.</x:v>
      </x:c>
      <x:c r="M76" s="20" t="str">
        <x:v>https://www.tcgplayer.com/search/pokemon/product?q=Salamence+%2364+Plasma+Blast</x:v>
      </x:c>
      <x:c r="N76"/>
      <x:c r="O76"/>
    </x:row>
    <x:row r="77">
      <x:c r="A77" t="n">
        <x:v>2</x:v>
      </x:c>
      <x:c r="B77" t="str">
        <x:v>Gyarados G #30</x:v>
      </x:c>
      <x:c r="C77" t="str">
        <x:v>Platinum</x:v>
      </x:c>
      <x:c r="D77" t="n">
        <x:v>1</x:v>
      </x:c>
      <x:c r="E77" t="n">
        <x:v>8.39</x:v>
      </x:c>
      <x:c r="F77" t="n">
        <x:v>8.39</x:v>
      </x:c>
      <x:c r="G77" t="str">
        <x:v>734</x:v>
      </x:c>
      <x:c r="H77" t="str">
        <x:v>Imported — TCGplayer + PriceCharting checked</x:v>
      </x:c>
      <x:c r="I77" t="n">
        <x:v>8.39</x:v>
      </x:c>
      <x:c r="J77" t="n">
        <x:v>12.82</x:v>
      </x:c>
      <x:c r="K77" t="n">
        <x:v>10.605</x:v>
      </x:c>
      <x:c r="L77" t="str">
        <x:v>PriceCharting PDF $8.39/card + TCGplayer exact-printing NM $12.82. Two-source span $8.39–$12.82; no eBay/other sources.</x:v>
      </x:c>
      <x:c r="M77" t="str">
        <x:v>https://www.tcgplayer.com/product/86005/pokemon-platinum-gyarados-g</x:v>
      </x:c>
      <x:c r="N77" t="n">
        <x:v>12.82</x:v>
      </x:c>
      <x:c r="O77" t="str">
        <x:v>TCGplayer + PriceCharting PDF only</x:v>
      </x:c>
    </x:row>
    <x:row r="78">
      <x:c r="A78" t="n">
        <x:v>2</x:v>
      </x:c>
      <x:c r="B78" t="str">
        <x:v>Milotic C #35</x:v>
      </x:c>
      <x:c r="C78" s="155" t="str">
        <x:v>Supreme Victors</x:v>
      </x:c>
      <x:c r="D78" s="155" t="n">
        <x:v>1</x:v>
      </x:c>
      <x:c r="E78" s="155" t="n">
        <x:v>6</x:v>
      </x:c>
      <x:c r="F78" s="156" t="n">
        <x:v>6</x:v>
      </x:c>
      <x:c r="G78" t="str">
        <x:v>735</x:v>
      </x:c>
      <x:c r="H78" s="168" t="str">
        <x:v>Imported — TCGplayer + PriceCharting checked</x:v>
      </x:c>
      <x:c r="I78" s="169" t="n">
        <x:v>6</x:v>
      </x:c>
      <x:c r="J78" s="169" t="n">
        <x:v>8.94</x:v>
      </x:c>
      <x:c r="K78" s="169" t="n">
        <x:v>7.47</x:v>
      </x:c>
      <x:c r="L78" t="str">
        <x:v>PriceCharting PDF $6.00/card + TCGplayer exact-printing NM $8.94. Two-source span $6.00–$8.94; no eBay/other sources.</x:v>
      </x:c>
      <x:c r="M78" t="str">
        <x:v>https://www.tcgplayer.com/search/pokemon/product?q=Milotic+C+35%2F147+Supreme+Victors</x:v>
      </x:c>
      <x:c r="N78" t="n">
        <x:v>8.94</x:v>
      </x:c>
      <x:c r="O78" t="str">
        <x:v>TCGplayer + PriceCharting PDF only</x:v>
      </x:c>
    </x:row>
    <x:row r="79">
      <x:c r="A79" t="n">
        <x:v>2</x:v>
      </x:c>
      <x:c r="B79" t="str">
        <x:v>Blastoise #13</x:v>
      </x:c>
      <x:c r="C79" t="str">
        <x:v>Unleashed</x:v>
      </x:c>
      <x:c r="D79" t="n">
        <x:v>1</x:v>
      </x:c>
      <x:c r="E79" t="n">
        <x:v>10.66</x:v>
      </x:c>
      <x:c r="F79" t="n">
        <x:v>10.66</x:v>
      </x:c>
      <x:c r="G79" t="str">
        <x:v>736</x:v>
      </x:c>
      <x:c r="H79" t="str">
        <x:v>Imported — TCGplayer + PriceCharting checked</x:v>
      </x:c>
      <x:c r="I79" t="n">
        <x:v>9.22</x:v>
      </x:c>
      <x:c r="J79" t="n">
        <x:v>10.66</x:v>
      </x:c>
      <x:c r="K79" t="n">
        <x:v>9.940000000000001</x:v>
      </x:c>
      <x:c r="L79" t="str">
        <x:v>PriceCharting PDF $10.66/card + TCGplayer exact-printing NM $9.22. Two-source span $9.22–$10.66; no eBay/other sources.</x:v>
      </x:c>
      <x:c r="M79" t="str">
        <x:v>https://www.tcgplayer.com/product/83895/pokemon-unleashed-blastoise</x:v>
      </x:c>
      <x:c r="N79" t="n">
        <x:v>9.22</x:v>
      </x:c>
      <x:c r="O79" t="str">
        <x:v>TCGplayer + PriceCharting PDF only</x:v>
      </x:c>
    </x:row>
    <x:row r="80">
      <x:c r="A80" t="n">
        <x:v>2</x:v>
      </x:c>
      <x:c r="B80" t="str">
        <x:v>Samurott #BW22</x:v>
      </x:c>
      <x:c r="C80" t="str">
        <x:v>Promo</x:v>
      </x:c>
      <x:c r="D80" t="n">
        <x:v>1</x:v>
      </x:c>
      <x:c r="E80" t="n">
        <x:v>3.91</x:v>
      </x:c>
      <x:c r="F80" t="n">
        <x:v>3.91</x:v>
      </x:c>
      <x:c r="G80" t="str">
        <x:v>737</x:v>
      </x:c>
      <x:c r="H80" t="str">
        <x:v>Imported — TCGplayer + PriceCharting checked</x:v>
      </x:c>
      <x:c r="I80" t="n">
        <x:v>0.68</x:v>
      </x:c>
      <x:c r="J80" t="n">
        <x:v>3.91</x:v>
      </x:c>
      <x:c r="K80" t="n">
        <x:v>2.295</x:v>
      </x:c>
      <x:c r="L80" t="str">
        <x:v>PriceCharting PDF $3.91/card + TCGplayer exact-printing NM $0.68. Two-source span $0.68–$3.91; no eBay/other sources.</x:v>
      </x:c>
      <x:c r="M80" t="str">
        <x:v>https://www.tcgplayer.com/product/88909/pokemon-black-and-white-promos-samurott-bw22</x:v>
      </x:c>
      <x:c r="N80" t="n">
        <x:v>0.68</x:v>
      </x:c>
      <x:c r="O80" t="str">
        <x:v>TCGplayer + PriceCharting PDF only</x:v>
      </x:c>
    </x:row>
    <x:row r="81">
      <x:c r="A81" t="n">
        <x:v>2</x:v>
      </x:c>
      <x:c r="B81" t="str">
        <x:v>Vaporeon #25</x:v>
      </x:c>
      <x:c r="C81" t="str">
        <x:v>Dark Explorers</x:v>
      </x:c>
      <x:c r="D81" t="n">
        <x:v>1</x:v>
      </x:c>
      <x:c r="E81" t="n">
        <x:v>6.95</x:v>
      </x:c>
      <x:c r="F81" t="n">
        <x:v>6.95</x:v>
      </x:c>
      <x:c r="G81" t="str">
        <x:v>738</x:v>
      </x:c>
      <x:c r="H81" t="str">
        <x:v>Imported — TCGplayer + PriceCharting checked</x:v>
      </x:c>
      <x:c r="I81" t="n">
        <x:v>6.95</x:v>
      </x:c>
      <x:c r="J81" t="n">
        <x:v>7.53</x:v>
      </x:c>
      <x:c r="K81" t="n">
        <x:v>7.24</x:v>
      </x:c>
      <x:c r="L81" t="str">
        <x:v>PriceCharting PDF $6.95/card + TCGplayer exact-printing NM $7.53. Two-source span $6.95–$7.53; no eBay/other sources.</x:v>
      </x:c>
      <x:c r="M81" t="str">
        <x:v>https://www.tcgplayer.com/search/pokemon/product?q=Vaporeon+25%2F108+Dark+Explorers</x:v>
      </x:c>
      <x:c r="N81" t="n">
        <x:v>7.53</x:v>
      </x:c>
      <x:c r="O81" t="str">
        <x:v>TCGplayer + PriceCharting PDF only</x:v>
      </x:c>
    </x:row>
    <x:row r="82">
      <x:c r="A82" t="n">
        <x:v>2</x:v>
      </x:c>
      <x:c r="B82" t="str">
        <x:v>Dewott [Reverse Holo] #29</x:v>
      </x:c>
      <x:c r="C82" t="str">
        <x:v>Black &amp; White</x:v>
      </x:c>
      <x:c r="D82" t="n">
        <x:v>1</x:v>
      </x:c>
      <x:c r="E82" t="n">
        <x:v>2.12</x:v>
      </x:c>
      <x:c r="F82" t="n">
        <x:v>2.12</x:v>
      </x:c>
      <x:c r="G82" t="str">
        <x:v>739</x:v>
      </x:c>
      <x:c r="H82" t="str">
        <x:v>Imported — TCGplayer + PriceCharting checked</x:v>
      </x:c>
      <x:c r="I82" t="n">
        <x:v>2.12</x:v>
      </x:c>
      <x:c r="J82" t="n">
        <x:v>2.24</x:v>
      </x:c>
      <x:c r="K82" t="n">
        <x:v>2.18</x:v>
      </x:c>
      <x:c r="L82" t="str">
        <x:v>PriceCharting PDF $2.12/card + TCGplayer exact-printing NM $2.24. Two-source span $2.12–$2.24; no eBay/other sources.</x:v>
      </x:c>
      <x:c r="M82" t="str">
        <x:v>https://www.tcgplayer.com/categories/trading-and-collectible-card-games/pokemon/price-guides/black-and-white</x:v>
      </x:c>
      <x:c r="N82" t="n">
        <x:v>2.24</x:v>
      </x:c>
      <x:c r="O82" t="str">
        <x:v>TCGplayer + PriceCharting PDF only</x:v>
      </x:c>
    </x:row>
    <x:row r="83">
      <x:c r="A83" t="n">
        <x:v>3</x:v>
      </x:c>
      <x:c r="B83" t="str">
        <x:v>Piplup #RC6</x:v>
      </x:c>
      <x:c r="C83" t="str">
        <x:v>Legendary Treasures</x:v>
      </x:c>
      <x:c r="D83" t="n">
        <x:v>2</x:v>
      </x:c>
      <x:c r="E83" t="n">
        <x:v>22.2</x:v>
      </x:c>
      <x:c r="F83" t="n">
        <x:v>11.1</x:v>
      </x:c>
      <x:c r="G83" t="str">
        <x:v>740, 741</x:v>
      </x:c>
      <x:c r="H83" t="str">
        <x:v>Imported — qty corrected; TCGplayer + PriceCharting checked</x:v>
      </x:c>
      <x:c r="I83" t="n">
        <x:v>11.1</x:v>
      </x:c>
      <x:c r="J83" t="n">
        <x:v>14.21</x:v>
      </x:c>
      <x:c r="K83" t="n">
        <x:v>12.655000000000001</x:v>
      </x:c>
      <x:c r="L83" t="str">
        <x:v>PriceCharting PDF $11.10/card + TCGplayer exact-printing NM $14.21. Two-source span $11.10–$14.21; no eBay/other sources. User-confirmed physical quantity = 2.</x:v>
      </x:c>
      <x:c r="M83" t="str">
        <x:v>https://www.tcgplayer.com/product/88154/pokemon-legendary-treasures-radiant-collection-piplup</x:v>
      </x:c>
      <x:c r="N83" t="n">
        <x:v>14.21</x:v>
      </x:c>
      <x:c r="O83" t="str">
        <x:v>TCGplayer + PriceCharting PDF only</x:v>
      </x:c>
    </x:row>
    <x:row r="84">
      <x:c r="A84" t="n">
        <x:v>3</x:v>
      </x:c>
      <x:c r="B84" t="str">
        <x:v>Vaporeon #20</x:v>
      </x:c>
      <x:c r="C84" t="str">
        <x:v>Plasma Freeze</x:v>
      </x:c>
      <x:c r="D84" t="n">
        <x:v>1</x:v>
      </x:c>
      <x:c r="E84" t="n">
        <x:v>2.99</x:v>
      </x:c>
      <x:c r="F84" t="n">
        <x:v>2.99</x:v>
      </x:c>
      <x:c r="G84" t="str">
        <x:v>742</x:v>
      </x:c>
      <x:c r="H84" t="str">
        <x:v>Imported — TCGplayer + PriceCharting checked</x:v>
      </x:c>
      <x:c r="I84" t="n">
        <x:v>2.99</x:v>
      </x:c>
      <x:c r="J84" t="n">
        <x:v>4.24</x:v>
      </x:c>
      <x:c r="K84" t="n">
        <x:v>3.615</x:v>
      </x:c>
      <x:c r="L84" t="str">
        <x:v>PriceCharting PDF $2.99/card + TCGplayer exact-printing NM $4.24. Two-source span $2.99–$4.24; no eBay/other sources.</x:v>
      </x:c>
      <x:c r="M84" t="str">
        <x:v>https://www.tcgplayer.com/product/90291/pokemon-plasma-freeze-vaporeon-team-plasma</x:v>
      </x:c>
      <x:c r="N84" t="n">
        <x:v>4.24</x:v>
      </x:c>
      <x:c r="O84" t="str">
        <x:v>TCGplayer + PriceCharting PDF only</x:v>
      </x:c>
    </x:row>
    <x:row r="85">
      <x:c r="A85" t="n">
        <x:v>3</x:v>
      </x:c>
      <x:c r="B85" t="str">
        <x:v>Dewott [Reverse Holo] #40</x:v>
      </x:c>
      <x:c r="C85" t="str">
        <x:v>Boundaries Crossed</x:v>
      </x:c>
      <x:c r="D85" t="n">
        <x:v>1</x:v>
      </x:c>
      <x:c r="E85" t="n">
        <x:v>1.58</x:v>
      </x:c>
      <x:c r="F85" t="n">
        <x:v>1.58</x:v>
      </x:c>
      <x:c r="G85" t="str">
        <x:v>743</x:v>
      </x:c>
      <x:c r="H85" t="str">
        <x:v>Imported — TCGplayer + PriceCharting checked</x:v>
      </x:c>
      <x:c r="I85" t="n">
        <x:v>0.67</x:v>
      </x:c>
      <x:c r="J85" t="n">
        <x:v>1.58</x:v>
      </x:c>
      <x:c r="K85" t="n">
        <x:v>1.125</x:v>
      </x:c>
      <x:c r="L85" t="str">
        <x:v>PriceCharting PDF $1.58/card + TCGplayer exact-printing NM $0.67. Two-source span $0.67–$1.58; no eBay/other sources.</x:v>
      </x:c>
      <x:c r="M85" t="str">
        <x:v>https://www.tcgplayer.com/categories/trading-and-collectible-card-games/pokemon/price-guides/boundaries-crossed</x:v>
      </x:c>
      <x:c r="N85" t="n">
        <x:v>0.67</x:v>
      </x:c>
      <x:c r="O85" t="str">
        <x:v>TCGplayer + PriceCharting PDF only</x:v>
      </x:c>
    </x:row>
    <x:row r="86">
      <x:c r="A86" t="n">
        <x:v>3</x:v>
      </x:c>
      <x:c r="B86" t="str">
        <x:v>Vaporeon #52</x:v>
      </x:c>
      <x:c r="C86" t="str">
        <x:v>Call of Legends</x:v>
      </x:c>
      <x:c r="D86" t="n">
        <x:v>1</x:v>
      </x:c>
      <x:c r="E86" t="n">
        <x:v>4.99</x:v>
      </x:c>
      <x:c r="F86" t="n">
        <x:v>4.99</x:v>
      </x:c>
      <x:c r="G86" t="str">
        <x:v>744</x:v>
      </x:c>
      <x:c r="H86" t="str">
        <x:v>Imported — TCGplayer + PriceCharting checked</x:v>
      </x:c>
      <x:c r="I86" t="n">
        <x:v>4.99</x:v>
      </x:c>
      <x:c r="J86" t="n">
        <x:v>7.31</x:v>
      </x:c>
      <x:c r="K86" t="n">
        <x:v>6.15</x:v>
      </x:c>
      <x:c r="L86" t="str">
        <x:v>PriceCharting PDF $4.99/card + TCGplayer exact-printing NM $7.31. Two-source span $4.99–$7.31; no eBay/other sources.</x:v>
      </x:c>
      <x:c r="M86" t="str">
        <x:v>https://www.tcgplayer.com/search/pokemon/call-of-legends?productLineName=pokemon&amp;setName=call-of-legends</x:v>
      </x:c>
      <x:c r="N86" t="n">
        <x:v>7.31</x:v>
      </x:c>
      <x:c r="O86" t="str">
        <x:v>TCGplayer + PriceCharting PDF only</x:v>
      </x:c>
    </x:row>
    <x:row r="87">
      <x:c r="A87" t="n">
        <x:v>3</x:v>
      </x:c>
      <x:c r="B87" t="str">
        <x:v>Magikarp #61</x:v>
      </x:c>
      <x:c r="C87" t="str">
        <x:v>Call of Legends</x:v>
      </x:c>
      <x:c r="D87" t="n">
        <x:v>1</x:v>
      </x:c>
      <x:c r="E87" t="n">
        <x:v>2.19</x:v>
      </x:c>
      <x:c r="F87" t="n">
        <x:v>2.19</x:v>
      </x:c>
      <x:c r="G87" t="str">
        <x:v>745</x:v>
      </x:c>
      <x:c r="H87" t="str">
        <x:v>Imported — TCGplayer + PriceCharting checked</x:v>
      </x:c>
      <x:c r="I87" t="n">
        <x:v>2.19</x:v>
      </x:c>
      <x:c r="J87" t="n">
        <x:v>2.23</x:v>
      </x:c>
      <x:c r="K87" t="n">
        <x:v>2.21</x:v>
      </x:c>
      <x:c r="L87" t="str">
        <x:v>PriceCharting PDF $2.19/card + TCGplayer exact-printing NM $2.23. Two-source span $2.19–$2.23; no eBay/other sources.</x:v>
      </x:c>
      <x:c r="M87" t="str">
        <x:v>https://www.tcgplayer.com/search/pokemon/product?q=Magikarp+61%2F95+Call+of+Legends</x:v>
      </x:c>
      <x:c r="N87" t="n">
        <x:v>2.23</x:v>
      </x:c>
      <x:c r="O87" t="str">
        <x:v>TCGplayer + PriceCharting PDF only</x:v>
      </x:c>
    </x:row>
    <x:row r="88">
      <x:c r="A88" t="n">
        <x:v>3</x:v>
      </x:c>
      <x:c r="B88" t="str">
        <x:v>Shellos West Sea [Reverse Holo] #107</x:v>
      </x:c>
      <x:c r="C88" t="str">
        <x:v>Secret Wonders</x:v>
      </x:c>
      <x:c r="D88" t="n">
        <x:v>1</x:v>
      </x:c>
      <x:c r="E88" t="n">
        <x:v>4.22</x:v>
      </x:c>
      <x:c r="F88" t="n">
        <x:v>4.22</x:v>
      </x:c>
      <x:c r="G88" t="str">
        <x:v>746</x:v>
      </x:c>
      <x:c r="H88" t="str">
        <x:v>Imported — TCGplayer + PriceCharting checked</x:v>
      </x:c>
      <x:c r="I88" t="n">
        <x:v>4.22</x:v>
      </x:c>
      <x:c r="J88" t="n">
        <x:v>5.27</x:v>
      </x:c>
      <x:c r="K88" t="n">
        <x:v>4.744999999999999</x:v>
      </x:c>
      <x:c r="L88" t="str">
        <x:v>PriceCharting PDF $4.22/card + TCGplayer exact-printing NM $5.27. Two-source span $4.22–$5.27; no eBay/other sources.</x:v>
      </x:c>
      <x:c r="M88" t="str">
        <x:v>https://www.tcgplayer.com/categories/trading-and-collectible-card-games/pokemon/price-guides/secret-wonders</x:v>
      </x:c>
      <x:c r="N88" t="n">
        <x:v>5.27</x:v>
      </x:c>
      <x:c r="O88" t="str">
        <x:v>TCGplayer + PriceCharting PDF only</x:v>
      </x:c>
    </x:row>
    <x:row r="89">
      <x:c r="A89" t="n">
        <x:v>3</x:v>
      </x:c>
      <x:c r="B89" t="str">
        <x:v>Piplup [Reverse Holo] #33</x:v>
      </x:c>
      <x:c r="C89" t="str">
        <x:v>Legendary Treasures</x:v>
      </x:c>
      <x:c r="D89" t="n">
        <x:v>1</x:v>
      </x:c>
      <x:c r="E89" t="n">
        <x:v>14</x:v>
      </x:c>
      <x:c r="F89" t="n">
        <x:v>14</x:v>
      </x:c>
      <x:c r="G89" t="str">
        <x:v>747</x:v>
      </x:c>
      <x:c r="H89" t="str">
        <x:v>Imported — TCGplayer + PriceCharting checked</x:v>
      </x:c>
      <x:c r="I89" t="n">
        <x:v>14</x:v>
      </x:c>
      <x:c r="J89" t="n">
        <x:v>33.14</x:v>
      </x:c>
      <x:c r="K89" t="n">
        <x:v>23.57</x:v>
      </x:c>
      <x:c r="L89" t="str">
        <x:v>PriceCharting PDF $14.00/card + TCGplayer exact-printing NM $33.14. Two-source span $14.00–$33.14; no eBay/other sources.</x:v>
      </x:c>
      <x:c r="M89" t="str">
        <x:v>https://www.tcgplayer.com/categories/trading-and-collectible-card-games/pokemon/price-guides/legendary-treasures</x:v>
      </x:c>
      <x:c r="N89" t="n">
        <x:v>33.14</x:v>
      </x:c>
      <x:c r="O89" t="str">
        <x:v>TCGplayer + PriceCharting PDF only</x:v>
      </x:c>
    </x:row>
    <x:row r="90">
      <x:c r="A90" t="n">
        <x:v>4</x:v>
      </x:c>
      <x:c r="B90" t="str">
        <x:v>Magikarp [Reverse Holo] #30</x:v>
      </x:c>
      <x:c r="C90" t="str">
        <x:v>Legendary Treasures</x:v>
      </x:c>
      <x:c r="D90" t="n">
        <x:v>1</x:v>
      </x:c>
      <x:c r="E90" t="n">
        <x:v>19.6</x:v>
      </x:c>
      <x:c r="F90" t="n">
        <x:v>19.6</x:v>
      </x:c>
      <x:c r="G90" t="str">
        <x:v>748</x:v>
      </x:c>
      <x:c r="H90" t="str">
        <x:v>Imported — TCGplayer + PriceCharting checked</x:v>
      </x:c>
      <x:c r="I90" t="n">
        <x:v>19.6</x:v>
      </x:c>
      <x:c r="J90" t="n">
        <x:v>28.49</x:v>
      </x:c>
      <x:c r="K90" t="n">
        <x:v>24.045</x:v>
      </x:c>
      <x:c r="L90" t="str">
        <x:v>PriceCharting PDF $19.60/card + TCGplayer exact-printing NM $28.49. Two-source span $19.60–$28.49; no eBay/other sources.</x:v>
      </x:c>
      <x:c r="M90" t="str">
        <x:v>https://www.tcgplayer.com/categories/trading-and-collectible-card-games/pokemon/price-guides/legendary-treasures</x:v>
      </x:c>
      <x:c r="N90" t="n">
        <x:v>28.49</x:v>
      </x:c>
      <x:c r="O90" t="str">
        <x:v>TCGplayer + PriceCharting PDF only</x:v>
      </x:c>
    </x:row>
    <x:row r="91">
      <x:c r="A91" t="n">
        <x:v>4</x:v>
      </x:c>
      <x:c r="B91" t="str">
        <x:v>Lapras #12</x:v>
      </x:c>
      <x:c r="C91" t="str">
        <x:v>Southern Islands</x:v>
      </x:c>
      <x:c r="D91" t="n">
        <x:v>1</x:v>
      </x:c>
      <x:c r="E91" t="n">
        <x:v>47.64</x:v>
      </x:c>
      <x:c r="F91" t="n">
        <x:v>47.64</x:v>
      </x:c>
      <x:c r="G91" t="str">
        <x:v>749</x:v>
      </x:c>
      <x:c r="H91" t="str">
        <x:v>Imported — TCGplayer + PriceCharting checked</x:v>
      </x:c>
      <x:c r="I91" t="n">
        <x:v>47.64</x:v>
      </x:c>
      <x:c r="J91" t="n">
        <x:v>63.89</x:v>
      </x:c>
      <x:c r="K91" t="n">
        <x:v>55.765</x:v>
      </x:c>
      <x:c r="L91" t="str">
        <x:v>PriceCharting PDF $47.64/card + TCGplayer exact-printing NM $63.89. Two-source span $47.64–$63.89; no eBay/other sources.</x:v>
      </x:c>
      <x:c r="M91" t="str">
        <x:v>https://www.tcgplayer.com/categories/trading-and-collectible-card-games/pokemon/price-guides/southern-islands</x:v>
      </x:c>
      <x:c r="N91" t="n">
        <x:v>63.89</x:v>
      </x:c>
      <x:c r="O91" t="str">
        <x:v>TCGplayer + PriceCharting PDF only</x:v>
      </x:c>
    </x:row>
    <x:row r="92">
      <x:c r="A92" t="n">
        <x:v>4</x:v>
      </x:c>
      <x:c r="B92" t="str">
        <x:v>Magikarp [Reverse Holo] #23</x:v>
      </x:c>
      <x:c r="C92" t="str">
        <x:v>Dragons Exalted</x:v>
      </x:c>
      <x:c r="D92" t="n">
        <x:v>2</x:v>
      </x:c>
      <x:c r="E92" t="n">
        <x:v>23.92</x:v>
      </x:c>
      <x:c r="F92" t="n">
        <x:v>11.96</x:v>
      </x:c>
      <x:c r="G92" t="str">
        <x:v>750, 751</x:v>
      </x:c>
      <x:c r="H92" t="str">
        <x:v>Imported — TCGplayer + PriceCharting checked</x:v>
      </x:c>
      <x:c r="I92" t="n">
        <x:v>11.96</x:v>
      </x:c>
      <x:c r="J92" t="n">
        <x:v>14.19</x:v>
      </x:c>
      <x:c r="K92" t="n">
        <x:v>13.075</x:v>
      </x:c>
      <x:c r="L92" t="str">
        <x:v>PriceCharting PDF $11.96/card + TCGplayer exact-printing NM $14.19. Two-source span $11.96–$14.19; no eBay/other sources.</x:v>
      </x:c>
      <x:c r="M92" t="str">
        <x:v>https://www.tcgplayer.com/categories/trading-and-collectible-card-games/pokemon/price-guides/dragons-exalted</x:v>
      </x:c>
      <x:c r="N92" t="n">
        <x:v>14.19</x:v>
      </x:c>
      <x:c r="O92" t="str">
        <x:v>TCGplayer + PriceCharting PDF only</x:v>
      </x:c>
    </x:row>
    <x:row r="93">
      <x:c r="A93" t="n">
        <x:v>4</x:v>
      </x:c>
      <x:c r="B93" t="str">
        <x:v>Lickilicky [Reverse Holo] #33</x:v>
      </x:c>
      <x:c r="C93" t="str">
        <x:v>Platinum</x:v>
      </x:c>
      <x:c r="D93" t="n">
        <x:v>1</x:v>
      </x:c>
      <x:c r="E93" t="n">
        <x:v>5.41</x:v>
      </x:c>
      <x:c r="F93" t="n">
        <x:v>5.41</x:v>
      </x:c>
      <x:c r="G93" t="str">
        <x:v>752</x:v>
      </x:c>
      <x:c r="H93" t="str">
        <x:v>Imported — TCGplayer + PriceCharting checked</x:v>
      </x:c>
      <x:c r="I93" t="n">
        <x:v>5.41</x:v>
      </x:c>
      <x:c r="J93" t="n">
        <x:v>6.1</x:v>
      </x:c>
      <x:c r="K93" t="n">
        <x:v>5.755</x:v>
      </x:c>
      <x:c r="L93" t="str">
        <x:v>PriceCharting PDF $5.41/card + TCGplayer exact-printing NM $6.10. Two-source span $5.41–$6.10; no eBay/other sources.</x:v>
      </x:c>
      <x:c r="M93" t="str">
        <x:v>https://www.tcgplayer.com/categories/trading-and-collectible-card-games/pokemon/price-guides/platinum</x:v>
      </x:c>
      <x:c r="N93" t="n">
        <x:v>6.1</x:v>
      </x:c>
      <x:c r="O93" t="str">
        <x:v>TCGplayer + PriceCharting PDF only</x:v>
      </x:c>
    </x:row>
    <x:row r="94">
      <x:c r="A94" t="n">
        <x:v>4</x:v>
      </x:c>
      <x:c r="B94" t="str">
        <x:v>Unfezant [Reverse Holo] #125</x:v>
      </x:c>
      <x:c r="C94" t="str">
        <x:v>Boundaries Crossed</x:v>
      </x:c>
      <x:c r="D94" t="n">
        <x:v>1</x:v>
      </x:c>
      <x:c r="E94" t="n">
        <x:v>1.75</x:v>
      </x:c>
      <x:c r="F94" t="n">
        <x:v>1.75</x:v>
      </x:c>
      <x:c r="G94" t="str">
        <x:v>753</x:v>
      </x:c>
      <x:c r="H94" t="str">
        <x:v>Imported — TCGplayer + PriceCharting checked</x:v>
      </x:c>
      <x:c r="I94" t="n">
        <x:v>1.08</x:v>
      </x:c>
      <x:c r="J94" t="n">
        <x:v>1.75</x:v>
      </x:c>
      <x:c r="K94" t="n">
        <x:v>1.415</x:v>
      </x:c>
      <x:c r="L94" t="str">
        <x:v>PriceCharting PDF $1.75/card + TCGplayer exact-printing NM $1.08. Two-source span $1.08–$1.75; no eBay/other sources.</x:v>
      </x:c>
      <x:c r="M94" t="str">
        <x:v>https://www.tcgplayer.com/categories/trading-and-collectible-card-games/pokemon/price-guides/boundaries-crossed</x:v>
      </x:c>
      <x:c r="N94" t="n">
        <x:v>1.08</x:v>
      </x:c>
      <x:c r="O94" t="str">
        <x:v>TCGplayer + PriceCharting PDF only</x:v>
      </x:c>
    </x:row>
    <x:row r="95">
      <x:c r="A95" t="n">
        <x:v>4</x:v>
      </x:c>
      <x:c r="B95" t="str">
        <x:v>Cleffa #20</x:v>
      </x:c>
      <x:c r="C95" t="str">
        <x:v>Neo Genesis</x:v>
      </x:c>
      <x:c r="D95" t="n">
        <x:v>2</x:v>
      </x:c>
      <x:c r="E95" t="n">
        <x:v>17.98</x:v>
      </x:c>
      <x:c r="F95" t="n">
        <x:v>8.99</x:v>
      </x:c>
      <x:c r="G95" t="str">
        <x:v>754, 755</x:v>
      </x:c>
      <x:c r="H95" t="str">
        <x:v>Imported — TCGplayer + PriceCharting checked</x:v>
      </x:c>
      <x:c r="I95" t="n">
        <x:v>8.99</x:v>
      </x:c>
      <x:c r="J95" t="n">
        <x:v>22.3</x:v>
      </x:c>
      <x:c r="K95" t="n">
        <x:v>15.645</x:v>
      </x:c>
      <x:c r="L95" t="str">
        <x:v>PriceCharting PDF $8.99/card + TCGplayer exact-printing NM $22.30. Two-source span $8.99–$22.30; no eBay/other sources.</x:v>
      </x:c>
      <x:c r="M95" t="str">
        <x:v>https://www.tcgplayer.com/search/pokemon/product?q=Cleffa+20%2F111+Neo+Genesis</x:v>
      </x:c>
      <x:c r="N95" t="n">
        <x:v>22.3</x:v>
      </x:c>
      <x:c r="O95" t="str">
        <x:v>TCGplayer + PriceCharting PDF only</x:v>
      </x:c>
    </x:row>
    <x:row r="96">
      <x:c r="A96" t="n">
        <x:v>4</x:v>
      </x:c>
      <x:c r="B96" t="str">
        <x:v>Pidgeotto [Reverse Holo] #48</x:v>
      </x:c>
      <x:c r="C96" t="str">
        <x:v>Call of Legends</x:v>
      </x:c>
      <x:c r="D96" t="n">
        <x:v>1</x:v>
      </x:c>
      <x:c r="E96" t="n">
        <x:v>5.25</x:v>
      </x:c>
      <x:c r="F96" t="n">
        <x:v>5.25</x:v>
      </x:c>
      <x:c r="G96" t="str">
        <x:v>756</x:v>
      </x:c>
      <x:c r="H96" t="str">
        <x:v>Imported — TCGplayer + PriceCharting checked</x:v>
      </x:c>
      <x:c r="I96" t="n">
        <x:v>5.25</x:v>
      </x:c>
      <x:c r="J96" t="n">
        <x:v>8.81</x:v>
      </x:c>
      <x:c r="K96" t="n">
        <x:v>7.03</x:v>
      </x:c>
      <x:c r="L96" t="str">
        <x:v>PriceCharting PDF $5.25/card + TCGplayer exact-printing NM $8.81. Two-source span $5.25–$8.81; no eBay/other sources.</x:v>
      </x:c>
      <x:c r="M96" t="str">
        <x:v>https://www.tcgplayer.com/categories/trading-and-collectible-card-games/pokemon/price-guides/call-of-legends</x:v>
      </x:c>
      <x:c r="N96" t="n">
        <x:v>8.81</x:v>
      </x:c>
      <x:c r="O96" t="str">
        <x:v>TCGplayer + PriceCharting PDF only</x:v>
      </x:c>
    </x:row>
    <x:row r="97">
      <x:c r="A97" t="n">
        <x:v>5</x:v>
      </x:c>
      <x:c r="B97" t="str">
        <x:v>Dark Dragonair #33</x:v>
      </x:c>
      <x:c r="C97" t="str">
        <x:v>Team Rocket</x:v>
      </x:c>
      <x:c r="D97" t="n">
        <x:v>1</x:v>
      </x:c>
      <x:c r="E97" t="n">
        <x:v>5.16</x:v>
      </x:c>
      <x:c r="F97" t="n">
        <x:v>5.16</x:v>
      </x:c>
      <x:c r="G97" t="str">
        <x:v>757</x:v>
      </x:c>
      <x:c r="H97" t="str">
        <x:v>Imported — TCGplayer + PriceCharting checked</x:v>
      </x:c>
      <x:c r="I97" t="n">
        <x:v>5.16</x:v>
      </x:c>
      <x:c r="J97" t="n">
        <x:v>14.49</x:v>
      </x:c>
      <x:c r="K97" t="n">
        <x:v>9.825</x:v>
      </x:c>
      <x:c r="L97" t="str">
        <x:v>PriceCharting PDF $5.16/card + TCGplayer exact-printing NM $14.49. Two-source span $5.16–$14.49; no eBay/other sources.</x:v>
      </x:c>
      <x:c r="M97" t="str">
        <x:v>https://www.tcgplayer.com/search/pokemon/product?q=Dark+Dragonair+33%2F82+Team+Rocket</x:v>
      </x:c>
      <x:c r="N97" t="n">
        <x:v>14.49</x:v>
      </x:c>
      <x:c r="O97" t="str">
        <x:v>TCGplayer + PriceCharting PDF only</x:v>
      </x:c>
    </x:row>
    <x:row r="98">
      <x:c r="A98" t="n">
        <x:v>5</x:v>
      </x:c>
      <x:c r="B98" t="str">
        <x:v>Raticate G [Reverse Holo] #78</x:v>
      </x:c>
      <x:c r="C98" t="str">
        <x:v>Supreme Victors</x:v>
      </x:c>
      <x:c r="D98" t="n">
        <x:v>1</x:v>
      </x:c>
      <x:c r="E98" t="n">
        <x:v>3.49</x:v>
      </x:c>
      <x:c r="F98" t="n">
        <x:v>3.49</x:v>
      </x:c>
      <x:c r="G98" t="str">
        <x:v>758</x:v>
      </x:c>
      <x:c r="H98" t="str">
        <x:v>Imported — TCGplayer + PriceCharting checked</x:v>
      </x:c>
      <x:c r="I98" t="n">
        <x:v>3.49</x:v>
      </x:c>
      <x:c r="J98" t="n">
        <x:v>4.31</x:v>
      </x:c>
      <x:c r="K98" t="n">
        <x:v>3.9</x:v>
      </x:c>
      <x:c r="L98" t="str">
        <x:v>PriceCharting PDF $3.49/card + TCGplayer exact-printing NM $4.31. Two-source span $3.49–$4.31; no eBay/other sources.</x:v>
      </x:c>
      <x:c r="M98" t="str">
        <x:v>https://www.tcgplayer.com/categories/trading-and-collectible-card-games/pokemon/price-guides/supreme-victors</x:v>
      </x:c>
      <x:c r="N98" t="n">
        <x:v>4.31</x:v>
      </x:c>
      <x:c r="O98" t="str">
        <x:v>TCGplayer + PriceCharting PDF only</x:v>
      </x:c>
    </x:row>
    <x:row r="99">
      <x:c r="A99" t="n">
        <x:v>5</x:v>
      </x:c>
      <x:c r="B99" t="str">
        <x:v>Porygon2 [Reverse Holo] #49</x:v>
      </x:c>
      <x:c r="C99" t="str">
        <x:v>Great Encounters</x:v>
      </x:c>
      <x:c r="D99" t="n">
        <x:v>1</x:v>
      </x:c>
      <x:c r="E99" t="n">
        <x:v>9.99</x:v>
      </x:c>
      <x:c r="F99" t="n">
        <x:v>9.99</x:v>
      </x:c>
      <x:c r="G99" t="str">
        <x:v>759</x:v>
      </x:c>
      <x:c r="H99" t="str">
        <x:v>Imported — TCGplayer + PriceCharting checked</x:v>
      </x:c>
      <x:c r="I99" t="n">
        <x:v>8.8</x:v>
      </x:c>
      <x:c r="J99" t="n">
        <x:v>9.99</x:v>
      </x:c>
      <x:c r="K99" t="n">
        <x:v>9.395</x:v>
      </x:c>
      <x:c r="L99" t="str">
        <x:v>PriceCharting PDF $9.99/card + TCGplayer exact-printing NM $8.80. Two-source span $8.80–$9.99; no eBay/other sources.</x:v>
      </x:c>
      <x:c r="M99" t="str">
        <x:v>https://www.tcgplayer.com/product/88326/pokemon-great-encounters-porygon2</x:v>
      </x:c>
      <x:c r="N99" t="n">
        <x:v>8.8</x:v>
      </x:c>
      <x:c r="O99" t="str">
        <x:v>TCGplayer + PriceCharting PDF only</x:v>
      </x:c>
    </x:row>
    <x:row r="100">
      <x:c r="A100" t="n">
        <x:v>5</x:v>
      </x:c>
      <x:c r="B100" t="str">
        <x:v>Dratini #38</x:v>
      </x:c>
      <x:c r="C100" t="str">
        <x:v>Base Set 2</x:v>
      </x:c>
      <x:c r="D100" t="n">
        <x:v>1</x:v>
      </x:c>
      <x:c r="E100" t="n">
        <x:v>1.3</x:v>
      </x:c>
      <x:c r="F100" t="n">
        <x:v>1.3</x:v>
      </x:c>
      <x:c r="G100" t="str">
        <x:v>760</x:v>
      </x:c>
      <x:c r="H100" t="str">
        <x:v>Imported — TCGplayer + PriceCharting checked</x:v>
      </x:c>
      <x:c r="I100" t="n">
        <x:v>1.26</x:v>
      </x:c>
      <x:c r="J100" t="n">
        <x:v>1.3</x:v>
      </x:c>
      <x:c r="K100" t="n">
        <x:v>1.28</x:v>
      </x:c>
      <x:c r="L100" t="str">
        <x:v>PriceCharting PDF $1.30/card + TCGplayer exact-printing NM $1.26. Two-source span $1.26–$1.30; no eBay/other sources.</x:v>
      </x:c>
      <x:c r="M100" t="str">
        <x:v>https://www.tcgplayer.com/search/pokemon/product?q=Dratini+38%2F130+Base+Set+2</x:v>
      </x:c>
      <x:c r="N100" t="n">
        <x:v>1.26</x:v>
      </x:c>
      <x:c r="O100" t="str">
        <x:v>TCGplayer + PriceCharting PDF only</x:v>
      </x:c>
    </x:row>
    <x:row r="101">
      <x:c r="A101" t="n">
        <x:v>5</x:v>
      </x:c>
      <x:c r="B101" t="str">
        <x:v>Ditto #35</x:v>
      </x:c>
      <x:c r="C101" t="str">
        <x:v>EX Delta Species</x:v>
      </x:c>
      <x:c r="D101" t="n">
        <x:v>1</x:v>
      </x:c>
      <x:c r="E101" t="n">
        <x:v>42.73</x:v>
      </x:c>
      <x:c r="F101" t="n">
        <x:v>42.73</x:v>
      </x:c>
      <x:c r="G101" t="str">
        <x:v>761</x:v>
      </x:c>
      <x:c r="H101" t="str">
        <x:v>Imported — TCGplayer + PriceCharting checked</x:v>
      </x:c>
      <x:c r="I101" t="n">
        <x:v>42.73</x:v>
      </x:c>
      <x:c r="J101" t="n">
        <x:v>69.85</x:v>
      </x:c>
      <x:c r="K101" t="n">
        <x:v>56.28999999999999</x:v>
      </x:c>
      <x:c r="L101" t="str">
        <x:v>PriceCharting PDF $42.73/card + TCGplayer exact-printing NM $69.85. Two-source span $42.73–$69.85; no eBay/other sources.</x:v>
      </x:c>
      <x:c r="M101" t="str">
        <x:v>https://www.tcgplayer.com/product/84832/pokemon-ex-delta-species-ditto</x:v>
      </x:c>
      <x:c r="N101" t="n">
        <x:v>69.85</x:v>
      </x:c>
      <x:c r="O101" t="str">
        <x:v>TCGplayer + PriceCharting PDF only</x:v>
      </x:c>
    </x:row>
    <x:row r="102">
      <x:c r="A102" t="n">
        <x:v>5</x:v>
      </x:c>
      <x:c r="B102" t="str">
        <x:v>Snorlax [Reverse Holo] #109</x:v>
      </x:c>
      <x:c r="C102" t="str">
        <x:v>Boundaries Crossed</x:v>
      </x:c>
      <x:c r="D102" t="n">
        <x:v>2</x:v>
      </x:c>
      <x:c r="E102" t="n">
        <x:v>79.24</x:v>
      </x:c>
      <x:c r="F102" t="n">
        <x:v>39.62</x:v>
      </x:c>
      <x:c r="G102" t="str">
        <x:v>762, 763</x:v>
      </x:c>
      <x:c r="H102" t="str">
        <x:v>Imported — TCGplayer + PriceCharting checked</x:v>
      </x:c>
      <x:c r="I102" t="n">
        <x:v>39.62</x:v>
      </x:c>
      <x:c r="J102" t="n">
        <x:v>51.34</x:v>
      </x:c>
      <x:c r="K102" t="n">
        <x:v>45.480000000000004</x:v>
      </x:c>
      <x:c r="L102" t="str">
        <x:v>PriceCharting PDF $39.62/card + TCGplayer exact-printing NM $51.34. Two-source span $39.62–$51.34; no eBay/other sources.</x:v>
      </x:c>
      <x:c r="M102" t="str">
        <x:v>https://www.tcgplayer.com/categories/trading-and-collectible-card-games/pokemon/price-guides/boundaries-crossed</x:v>
      </x:c>
      <x:c r="N102" t="n">
        <x:v>51.34</x:v>
      </x:c>
      <x:c r="O102" t="str">
        <x:v>TCGplayer + PriceCharting PDF only</x:v>
      </x:c>
    </x:row>
    <x:row r="103">
      <x:c r="A103" t="n">
        <x:v>5</x:v>
      </x:c>
      <x:c r="B103" t="str">
        <x:v>Altaria C #49</x:v>
      </x:c>
      <x:c r="C103" t="str">
        <x:v>Supreme Victors</x:v>
      </x:c>
      <x:c r="D103" t="n">
        <x:v>1</x:v>
      </x:c>
      <x:c r="E103" t="n">
        <x:v>2.83</x:v>
      </x:c>
      <x:c r="F103" t="n">
        <x:v>2.83</x:v>
      </x:c>
      <x:c r="G103" t="str">
        <x:v>764</x:v>
      </x:c>
      <x:c r="H103" t="str">
        <x:v>Imported — TCGplayer + PriceCharting checked</x:v>
      </x:c>
      <x:c r="I103" t="n">
        <x:v>2.83</x:v>
      </x:c>
      <x:c r="J103" t="n">
        <x:v>2.92</x:v>
      </x:c>
      <x:c r="K103" t="n">
        <x:v>2.875</x:v>
      </x:c>
      <x:c r="L103" t="str">
        <x:v>PriceCharting PDF $2.83/card + TCGplayer exact-printing NM $2.92. Two-source span $2.83–$2.92; no eBay/other sources.</x:v>
      </x:c>
      <x:c r="M103" t="str">
        <x:v>https://www.tcgplayer.com/search/pokemon/product?q=Altaria+C+49%2F147+Supreme+Victors</x:v>
      </x:c>
      <x:c r="N103" t="n">
        <x:v>2.92</x:v>
      </x:c>
      <x:c r="O103" t="str">
        <x:v>TCGplayer + PriceCharting PDF only</x:v>
      </x:c>
    </x:row>
    <x:row r="104">
      <x:c r="A104" t="n">
        <x:v>6</x:v>
      </x:c>
      <x:c r="B104" t="str">
        <x:v>Braviary [Reverse Holo] #88</x:v>
      </x:c>
      <x:c r="C104" t="str">
        <x:v>Emerging Powers</x:v>
      </x:c>
      <x:c r="D104" t="n">
        <x:v>1</x:v>
      </x:c>
      <x:c r="E104" t="n">
        <x:v>1.78</x:v>
      </x:c>
      <x:c r="F104" t="n">
        <x:v>1.78</x:v>
      </x:c>
      <x:c r="G104" t="str">
        <x:v>765</x:v>
      </x:c>
      <x:c r="H104" t="str">
        <x:v>Imported — TCGplayer + PriceCharting checked</x:v>
      </x:c>
      <x:c r="I104" t="n">
        <x:v>1.78</x:v>
      </x:c>
      <x:c r="J104" t="n">
        <x:v>2.02</x:v>
      </x:c>
      <x:c r="K104" t="n">
        <x:v>1.9</x:v>
      </x:c>
      <x:c r="L104" t="str">
        <x:v>PriceCharting PDF $1.78/card + TCGplayer exact-printing NM $2.02. Two-source span $1.78–$2.02; no eBay/other sources.</x:v>
      </x:c>
      <x:c r="M104" t="str">
        <x:v>https://www.tcgplayer.com/product/83950/pokemon-emerging-powers-braviary</x:v>
      </x:c>
      <x:c r="N104" t="n">
        <x:v>2.02</x:v>
      </x:c>
      <x:c r="O104" t="str">
        <x:v>TCGplayer + PriceCharting PDF only</x:v>
      </x:c>
    </x:row>
    <x:row r="105">
      <x:c r="A105" t="n">
        <x:v>6</x:v>
      </x:c>
      <x:c r="B105" t="str">
        <x:v>Braviary #88</x:v>
      </x:c>
      <x:c r="C105" t="str">
        <x:v>Emerging Powers</x:v>
      </x:c>
      <x:c r="D105" t="n">
        <x:v>3</x:v>
      </x:c>
      <x:c r="E105" t="n">
        <x:v>6.27</x:v>
      </x:c>
      <x:c r="F105" t="n">
        <x:v>2.09</x:v>
      </x:c>
      <x:c r="G105" t="str">
        <x:v>766, 767, 768</x:v>
      </x:c>
      <x:c r="H105" t="str">
        <x:v>Imported — TCGplayer + PriceCharting checked</x:v>
      </x:c>
      <x:c r="I105" t="n">
        <x:v>1.99</x:v>
      </x:c>
      <x:c r="J105" t="n">
        <x:v>2.09</x:v>
      </x:c>
      <x:c r="K105" t="n">
        <x:v>2.04</x:v>
      </x:c>
      <x:c r="L105" t="str">
        <x:v>PriceCharting PDF $2.09/card + TCGplayer exact-printing NM $1.99. Two-source span $1.99–$2.09; no eBay/other sources.</x:v>
      </x:c>
      <x:c r="M105" t="str">
        <x:v>https://www.tcgplayer.com/product/83950/pokemon-emerging-powers-braviary</x:v>
      </x:c>
      <x:c r="N105" t="n">
        <x:v>1.99</x:v>
      </x:c>
      <x:c r="O105" t="str">
        <x:v>TCGplayer + PriceCharting PDF only</x:v>
      </x:c>
    </x:row>
    <x:row r="106">
      <x:c r="A106" t="n">
        <x:v>6</x:v>
      </x:c>
      <x:c r="B106" t="str">
        <x:v>Druddigon [Reverse Holo] #89</x:v>
      </x:c>
      <x:c r="C106" t="str">
        <x:v>Noble Victories</x:v>
      </x:c>
      <x:c r="D106" t="n">
        <x:v>1</x:v>
      </x:c>
      <x:c r="E106" t="n">
        <x:v>1.69</x:v>
      </x:c>
      <x:c r="F106" t="n">
        <x:v>1.69</x:v>
      </x:c>
      <x:c r="G106" t="str">
        <x:v>769</x:v>
      </x:c>
      <x:c r="H106" t="str">
        <x:v>Imported — TCGplayer + PriceCharting checked</x:v>
      </x:c>
      <x:c r="I106" t="n">
        <x:v>0.88</x:v>
      </x:c>
      <x:c r="J106" t="n">
        <x:v>1.69</x:v>
      </x:c>
      <x:c r="K106" t="n">
        <x:v>1.285</x:v>
      </x:c>
      <x:c r="L106" t="str">
        <x:v>PriceCharting PDF $1.69/card + TCGplayer exact-printing NM $0.88. Two-source span $0.88–$1.69; no eBay/other sources.</x:v>
      </x:c>
      <x:c r="M106" t="str">
        <x:v>https://www.tcgplayer.com/product/84978/pokemon-noble-victories-druddigon</x:v>
      </x:c>
      <x:c r="N106" t="n">
        <x:v>0.88</x:v>
      </x:c>
      <x:c r="O106" t="str">
        <x:v>TCGplayer + PriceCharting PDF only</x:v>
      </x:c>
    </x:row>
    <x:row r="107">
      <x:c r="A107"/>
      <x:c r="B107"/>
      <x:c r="C107"/>
      <x:c r="D107"/>
      <x:c r="E107"/>
      <x:c r="F107"/>
      <x:c r="G107"/>
      <x:c r="H107"/>
      <x:c r="I107"/>
      <x:c r="J107"/>
      <x:c r="K107"/>
      <x:c r="L107"/>
      <x:c r="M107"/>
      <x:c r="N107"/>
      <x:c r="O107"/>
    </x:row>
    <x:row r="108">
      <x:c r="A108"/>
      <x:c r="B108"/>
      <x:c r="C108" t="str">
        <x:v>PDF totals (all imports)</x:v>
      </x:c>
      <x:c r="D108" t="n">
        <x:v>105</x:v>
      </x:c>
      <x:c r="E108" t="n">
        <x:v>147</x:v>
      </x:c>
      <x:c r="F108" t="n">
        <x:v>2122.53</x:v>
      </x:c>
      <x:c r="G108"/>
      <x:c r="H108" t="str">
        <x:v>Researched totals</x:v>
      </x:c>
      <x:c r="I108" t="n">
        <x:v>1835.8</x:v>
      </x:c>
      <x:c r="J108" t="n">
        <x:v>2812.55</x:v>
      </x:c>
      <x:c r="K108" t="n">
        <x:v>2324.175</x:v>
      </x:c>
      <x:c r="L108"/>
      <x:c r="M108"/>
      <x:c r="N108"/>
      <x:c r="O108"/>
    </x:row>
    <x:row r="109">
      <x:c r="A109"/>
      <x:c r="B109"/>
      <x:c r="C109"/>
      <x:c r="D109"/>
      <x:c r="E109"/>
      <x:c r="F109"/>
      <x:c r="G109"/>
      <x:c r="H109"/>
      <x:c r="I109"/>
      <x:c r="J109"/>
      <x:c r="K109"/>
      <x:c r="L109"/>
      <x:c r="M109"/>
      <x:c r="N109"/>
      <x:c r="O109"/>
    </x:row>
    <x:row r="110">
      <x:c r="A110"/>
      <x:c r="B110"/>
      <x:c r="C110"/>
      <x:c r="D110"/>
      <x:c r="E110"/>
      <x:c r="F110"/>
      <x:c r="G110"/>
      <x:c r="H110"/>
      <x:c r="I110"/>
      <x:c r="J110"/>
      <x:c r="K110"/>
      <x:c r="L110"/>
      <x:c r="M110"/>
      <x:c r="N110"/>
      <x:c r="O11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65" hidden="0" customWidth="1"/>
    <x:col min="3" max="3" width="4" hidden="0" customWidth="1"/>
    <x:col min="4" max="4" width="22" hidden="0" customWidth="1"/>
    <x:col min="5" max="5" width="18" hidden="0" customWidth="1"/>
    <x:col min="6" max="6" width="65" hidden="0" customWidth="1"/>
  </x:cols>
  <x:sheetData>
    <x:row r="1" ht="28" customHeight="1">
      <x:c r="A1" s="46" t="str">
        <x:v>Pokémon Collection — Chat Handoff / Source of Truth</x:v>
      </x:c>
      <x:c r="B1" s="46"/>
      <x:c r="C1" s="46"/>
      <x:c r="D1" s="46"/>
      <x:c r="E1" s="46"/>
      <x:c r="F1" s="46"/>
    </x:row>
    <x:row r="2">
      <x:c r="A2" s="20"/>
      <x:c r="B2" s="20"/>
      <x:c r="C2" s="20"/>
      <x:c r="D2" s="20"/>
      <x:c r="E2" s="20"/>
      <x:c r="F2" s="20"/>
    </x:row>
    <x:row r="3">
      <x:c r="A3" s="46" t="str">
        <x:v>Latest workbook status</x:v>
      </x:c>
      <x:c r="B3" s="20" t="str">
        <x:v>Use this workbook as the source of truth. Continue from the latest version only.</x:v>
      </x:c>
      <x:c r="C3" s="20"/>
      <x:c r="D3" s="46" t="str">
        <x:v>Most Recent Mock Grade</x:v>
      </x:c>
      <x:c r="E3" s="46" t="str">
        <x:v>Card</x:v>
      </x:c>
      <x:c r="F3" s="20" t="str">
        <x:v>Rayquaza 11/20 D.V. stamped — copy 2 of 2</x:v>
      </x:c>
    </x:row>
    <x:row r="4">
      <x:c r="A4" s="46" t="str">
        <x:v>Physical-card rule</x:v>
      </x:c>
      <x:c r="B4" s="20" t="str">
        <x:v>Every card the user sends or identifies is a new physical card unless explicitly stated to be a correction/update.</x:v>
      </x:c>
      <x:c r="C4" s="20"/>
      <x:c r="D4" s="46"/>
      <x:c r="E4" s="46" t="str">
        <x:v>Centering</x:v>
      </x:c>
      <x:c r="F4" s="20" t="str">
        <x:v>PSA 10 — 53.8/46.2 L-R; 50.3/49.7 T-B</x:v>
      </x:c>
    </x:row>
    <x:row r="5">
      <x:c r="A5" s="46" t="str">
        <x:v>$1 logging rule</x:v>
      </x:c>
      <x:c r="B5" s="20" t="str">
        <x:v>Normally log cards only if clean/NM raw value is about $1+, unless the user explicitly asks to include all cards from a batch/export.</x:v>
      </x:c>
      <x:c r="C5" s="20"/>
      <x:c r="D5" s="46"/>
      <x:c r="E5" s="46" t="str">
        <x:v>Corners</x:v>
      </x:c>
      <x:c r="F5" s="20" t="str">
        <x:v>PSA 8–9</x:v>
      </x:c>
    </x:row>
    <x:row r="6">
      <x:c r="A6" s="46" t="str">
        <x:v>Raw pricing sources</x:v>
      </x:c>
      <x:c r="B6" s="20" t="str">
        <x:v>Use TCGplayer + PriceCharting. Do not use eBay comps unless the user explicitly asks.</x:v>
      </x:c>
      <x:c r="C6" s="20"/>
      <x:c r="D6" s="46"/>
      <x:c r="E6" s="46" t="str">
        <x:v>Edges</x:v>
      </x:c>
      <x:c r="F6" s="20" t="str">
        <x:v>PSA 8 — reverse right-edge chips/nicks + bottom touches</x:v>
      </x:c>
    </x:row>
    <x:row r="7">
      <x:c r="A7" s="46" t="str">
        <x:v>PSA population source</x:v>
      </x:c>
      <x:c r="B7" s="20" t="str">
        <x:v>Use PSA's own site as the source of truth. Leave unresolved exact-printing populations blank rather than substitute a different variant.</x:v>
      </x:c>
      <x:c r="C7" s="20"/>
      <x:c r="D7" s="46"/>
      <x:c r="E7" s="46" t="str">
        <x:v>Surface</x:v>
      </x:c>
      <x:c r="F7" s="20" t="str">
        <x:v>PSA 9 — faint mark above 40 treated as minor scuff/print line</x:v>
      </x:c>
    </x:row>
    <x:row r="8">
      <x:c r="A8" s="46" t="str">
        <x:v>Variant rule</x:v>
      </x:c>
      <x:c r="B8" s="20" t="str">
        <x:v>Do not infer reverse holo, holo, stamped, 1st Edition, etc. from surrounding context. Use only what the card/photo/user explicitly establishes.</x:v>
      </x:c>
      <x:c r="C8" s="20"/>
      <x:c r="D8" s="46"/>
      <x:c r="E8" s="46" t="str">
        <x:v>Overall</x:v>
      </x:c>
      <x:c r="F8" s="20" t="str">
        <x:v>PSA 8 most likely; PSA 9 upside</x:v>
      </x:c>
    </x:row>
    <x:row r="9">
      <x:c r="A9" s="46" t="str">
        <x:v>Grading method</x:v>
      </x:c>
      <x:c r="B9" s="20" t="str">
        <x:v>Always grade Centering / Corners / Edges / Surface separately, then give the overall PSA estimate and probabilities.</x:v>
      </x:c>
      <x:c r="C9" s="20"/>
      <x:c r="D9" s="46"/>
      <x:c r="E9" s="46" t="str">
        <x:v>Odds</x:v>
      </x:c>
      <x:c r="F9" s="20" t="str">
        <x:v>PSA 7 ~8% | PSA 8 ~62% | PSA 9 ~29% | PSA 10 ~1%</x:v>
      </x:c>
    </x:row>
    <x:row r="10">
      <x:c r="A10" s="46" t="str">
        <x:v>Grading strictness</x:v>
      </x:c>
      <x:c r="B10" s="20" t="str">
        <x:v>Grade harshly and defect-first. Inspect all four reverse corners and the full reverse perimeter before assigning corners/edges. Do not give visible whitening, chips, nicks or dings the benefit of the doubt.</x:v>
      </x:c>
      <x:c r="C10" s="20"/>
      <x:c r="D10" s="20"/>
      <x:c r="E10" s="20"/>
      <x:c r="F10" s="20"/>
    </x:row>
    <x:row r="11">
      <x:c r="A11" s="46" t="str">
        <x:v>Surface-photo method</x:v>
      </x:c>
      <x:c r="B11" s="20" t="str">
        <x:v>Best input: unsleeved straight front/back plus multiple shallow-angle still photos under one strong light source.</x:v>
      </x:c>
      <x:c r="C11" s="20"/>
      <x:c r="D11" s="20"/>
      <x:c r="E11" s="20"/>
      <x:c r="F11" s="20"/>
    </x:row>
    <x:row r="12">
      <x:c r="A12" s="46" t="str">
        <x:v>Centering method</x:v>
      </x:c>
      <x:c r="B12" s="20" t="str">
        <x:v>If the user provides centering-app measurements, use those over eyeballing. Do not invent numeric centering ratios by eye for close 8/9/10 calls.</x:v>
      </x:c>
      <x:c r="C12" s="20"/>
      <x:c r="D12" s="20"/>
      <x:c r="E12" s="20"/>
      <x:c r="F12" s="20"/>
    </x:row>
    <x:row r="13">
      <x:c r="A13" s="46" t="str">
        <x:v>Duplicate grading</x:v>
      </x:c>
      <x:c r="B13" s="20" t="str">
        <x:v>Each physical copy gets its own mock grade. Never inherit a visual grade from another copy of the same card.</x:v>
      </x:c>
      <x:c r="C13" s="20"/>
      <x:c r="D13" s="20"/>
      <x:c r="E13" s="20"/>
      <x:c r="F13" s="20"/>
    </x:row>
    <x:row r="14">
      <x:c r="A14" s="46" t="str">
        <x:v>Current task style</x:v>
      </x:c>
      <x:c r="B14" s="20" t="str">
        <x:v>Immediately after EVERY completed mock grade or re-grade, update the Grading Candidates row and corresponding master-card condition notes before moving to the next card. Do not wait for the user to ask.</x:v>
      </x:c>
      <x:c r="C14" s="20"/>
      <x:c r="D14" s="20"/>
      <x:c r="E14" s="20"/>
      <x:c r="F14" s="20"/>
    </x:row>
    <x:row r="15">
      <x:c r="A15" s="46" t="str">
        <x:v>Current grading batch</x:v>
      </x:c>
      <x:c r="B15" s="20" t="str">
        <x:v>2026-08-18: Added and graded Legendary Treasures Rayquaza 93/113 holo (new physical card): PSA 8 most likely, with centering 9 at 51.1/48.9 L-R and 59.3/40.7 T-B, corners 8–9, edges 8, surface 9–10; odds PSA 7 3% / PSA 8 72% / PSA 9 25% / PSA 10 ~0%. Every completed grade/re-grade is written to the workbook immediately.</x:v>
      </x:c>
      <x:c r="C15" s="20"/>
      <x:c r="D15" s="20"/>
      <x:c r="E15" s="20"/>
      <x:c r="F15" s="20"/>
    </x:row>
    <x:row r="16">
      <x:c r="A16" t="str">
        <x:v>Graded-value source hierarchy</x:v>
      </x:c>
      <x:c r="B16" t="str">
        <x:v>1) PSA.com actual recent sales for the exact card + exact grade; when 3+ usable recent sales exist, use the median. 2) If direct sales are too sparse, use PSA's current Estimate. 3) If PSA has neither enough sales nor a usable estimate, use PriceCharting as the fallback/sanity check. Raw pricing remains TCGplayer + PriceCharting.</x:v>
      </x:c>
    </x:row>
    <x:row r="17">
      <x:c r="A17" t="str">
        <x:v>EV formula rule</x:v>
      </x:c>
      <x:c r="B17" t="str">
        <x:v>Expected Graded Value must include all modeled grade outcomes, including PSA 5 when present: SUMPRODUCT(P6:P10, Values6:10) + P5×Value5. Summary grading EV ranges must extend through every completed grading row. Gross EV uplift is expected slab value minus raw midpoint and does NOT subtract grading/shipping/selling costs.</x:v>
      </x:c>
    </x:row>
  </x:sheetData>
  <x:mergeCells>
    <x:mergeCell ref="A1:F1"/>
  </x:mergeCells>
  <x:pageMargins left="0.7" right="0.7" top="0.75" bottom="0.75" header="0.3" footer="0.3"/>
</x:worksheet>
</file>